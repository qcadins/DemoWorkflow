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firstSheet="1"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B4"/>
  <c i="5" r="C4"/>
  <c i="5" r="C10"/>
  <c i="5" l="1" r="B10"/>
  <c i="6" l="1" r="B4"/>
  <c i="2" l="1" r="C4"/>
  <c i="2" r="C10"/>
  <c i="2" r="B10"/>
  <c i="3" l="1" r="C4"/>
  <c i="4" r="B4"/>
  <c i="2" l="1"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2" l="1" r="C9"/>
  <c i="1" r="B12"/>
  <c i="5" r="C9" s="1"/>
  <c i="2" l="1" r="B9"/>
  <c i="5" r="B9"/>
  <c i="3" r="B47"/>
  <c i="3" r="B42"/>
  <c i="3" r="B38"/>
  <c i="3" r="B32"/>
  <c i="3" r="B28"/>
  <c i="3" l="1" r="B14"/>
  <c i="1" l="1" r="B26"/>
  <c i="3" l="1" r="B21"/>
  <c i="3" r="B4" s="1"/>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<sst xmlns="http://schemas.openxmlformats.org/spreadsheetml/2006/main" count="4714" uniqueCount="4271">
  <si>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</si>
  <si>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</si>
  <si>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</si>
  <si>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</si>
  <si>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</si>
  <si>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</si>
  <si>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</si>
  <si>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</si>
  <si>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</si>
  <si>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</si>
  <si>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</si>
  <si>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</si>
  <si>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</si>
  <si>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</si>
  <si>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</si>
  <si>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</si>
  <si>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</si>
  <si>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</si>
  <si>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</si>
  <si>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</si>
  <si>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</si>
  <si>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</si>
  <si>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</si>
  <si>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</si>
  <si>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</si>
  <si>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</si>
  <si>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</si>
  <si>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</si>
  <si>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</si>
  <si>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</si>
  <si>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</si>
  <si>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</si>
  <si>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</si>
  <si>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</si>
  <si>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</si>
  <si>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</si>
  <si>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</si>
  <si>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</si>
  <si>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</si>
  <si>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</si>
  <si>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</si>
  <si>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</si>
  <si>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</si>
  <si>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</si>
  <si>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</si>
  <si>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</si>
  <si>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</si>
  <si>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</si>
  <si>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</si>
  <si>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</si>
  <si>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</si>
  <si>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</si>
  <si>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</si>
  <si>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</si>
  <si>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</si>
  <si>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</si>
  <si>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</si>
  <si>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</si>
  <si>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</si>
  <si>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</si>
  <si>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</si>
  <si>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</si>
  <si>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</si>
  <si>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</si>
  <si>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</si>
  <si>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</si>
  <si>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</si>
  <si>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</si>
  <si>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</si>
  <si>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</si>
  <si>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</si>
  <si>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</si>
  <si>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</si>
  <si>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</si>
  <si>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</si>
  <si>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</si>
  <si>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</si>
  <si>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</si>
  <si>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</si>
  <si>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</si>
  <si>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</si>
  <si>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</si>
  <si>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</si>
  <si>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</si>
  <si>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</si>
  <si>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</si>
  <si>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</si>
  <si>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</si>
  <si>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</si>
  <si>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</si>
  <si>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</si>
  <si>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</si>
  <si>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</si>
  <si>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</si>
  <si>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</si>
  <si>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</si>
  <si>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</si>
  <si>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</si>
  <si>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</si>
  <si>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</si>
  <si>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</si>
  <si>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</si>
  <si>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</si>
  <si>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</si>
  <si>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</si>
  <si>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</si>
  <si>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</si>
  <si>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</si>
  <si>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</si>
  <si>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</si>
  <si>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</si>
  <si>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</si>
  <si>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</si>
  <si>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</si>
  <si>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</si>
  <si>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</si>
  <si>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</si>
  <si>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</si>
  <si>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</si>
  <si>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</si>
  <si>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</si>
  <si>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</si>
  <si>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</si>
  <si>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</si>
  <si>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</si>
  <si>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</si>
  <si>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</si>
  <si>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</si>
  <si>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</si>
  <si>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</si>
  <si>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</si>
  <si>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</si>
  <si>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</si>
  <si>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</si>
  <si>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</si>
  <si>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</si>
  <si>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</si>
  <si>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</si>
  <si>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</si>
  <si>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</si>
  <si>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</si>
  <si>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</si>
  <si>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</si>
  <si>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</si>
  <si>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</si>
  <si>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</si>
  <si>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</si>
  <si>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</si>
  <si>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</si>
  <si>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</si>
  <si>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</si>
  <si>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</si>
  <si>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</si>
  <si>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</si>
  <si>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</si>
  <si>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</si>
  <si>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</si>
  <si>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</si>
  <si>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</si>
  <si>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</si>
  <si>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</si>
  <si>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</si>
  <si>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</si>
  <si>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</si>
  <si>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</si>
  <si>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</si>
  <si>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</si>
  <si>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</si>
  <si>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</si>
  <si>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</si>
  <si>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</si>
  <si>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</si>
  <si>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</si>
  <si>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</si>
  <si>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</si>
  <si>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</si>
  <si>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</si>
  <si>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</si>
  <si>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</si>
  <si>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</si>
  <si>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</si>
  <si>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</si>
  <si>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</si>
  <si>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</si>
  <si>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</si>
  <si>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</si>
  <si>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</si>
  <si>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</si>
  <si>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</si>
  <si>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</si>
  <si>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</si>
  <si>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</si>
  <si>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</si>
  <si>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</si>
  <si>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</si>
  <si>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</si>
  <si>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</si>
  <si>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</si>
  <si>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</si>
  <si>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</si>
  <si>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</si>
  <si>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</si>
  <si>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</si>
  <si>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</si>
  <si>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</si>
  <si>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</si>
  <si>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</si>
  <si>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</si>
  <si>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</si>
  <si>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</si>
  <si>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</si>
  <si>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</si>
  <si>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</si>
  <si>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</si>
  <si>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</si>
  <si>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</si>
  <si>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</si>
  <si>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</si>
  <si>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</si>
  <si>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</si>
  <si>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</si>
  <si>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</si>
  <si>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</si>
  <si>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</si>
  <si>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</si>
  <si>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</si>
  <si>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</si>
  <si>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</si>
  <si>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</si>
  <si>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</si>
  <si>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</si>
  <si>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</si>
  <si>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</si>
  <si>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</si>
  <si>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</si>
  <si>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</si>
  <si>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</si>
  <si>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</si>
  <si>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</si>
  <si>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</si>
  <si>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</si>
  <si>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</si>
  <si>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</si>
  <si>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</si>
  <si>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</si>
  <si>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</si>
  <si>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</si>
  <si>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</si>
  <si>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</si>
  <si>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</si>
  <si>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</si>
  <si>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</si>
  <si>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</si>
  <si>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</si>
  <si>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</si>
  <si>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</si>
  <si>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</si>
  <si>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</si>
  <si>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</si>
  <si>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</si>
  <si>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</si>
  <si>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</si>
  <si>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</si>
  <si>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</si>
  <si>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</si>
  <si>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</si>
  <si>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</si>
  <si>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</si>
  <si>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</si>
  <si>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</si>
  <si>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</si>
  <si>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</si>
  <si>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</si>
  <si>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</si>
  <si>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</si>
  <si>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</si>
  <si>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</si>
  <si>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</si>
  <si>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</si>
  <si>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</si>
  <si>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</si>
  <si>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</si>
  <si>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</si>
  <si>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</si>
  <si>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</si>
  <si>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</si>
  <si>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</si>
  <si>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</si>
  <si>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</si>
  <si>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</si>
  <si>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</si>
  <si>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</si>
  <si>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</si>
  <si>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</si>
  <si>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</si>
  <si>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</si>
  <si>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</si>
  <si>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</si>
  <si>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</si>
  <si>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</si>
  <si>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</si>
  <si>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</si>
  <si>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</si>
  <si>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</si>
  <si>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</si>
  <si>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</si>
  <si>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</si>
  <si>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</si>
  <si>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</si>
  <si>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</si>
  <si>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</si>
  <si>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</si>
  <si>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</si>
  <si>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</si>
  <si>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</si>
  <si>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</si>
  <si>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</si>
  <si>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</si>
  <si>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</si>
  <si>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</si>
  <si>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</si>
  <si>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</si>
  <si>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</si>
  <si>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</si>
  <si>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</si>
  <si>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</si>
  <si>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</si>
  <si>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</si>
  <si>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</si>
  <si>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</si>
  <si>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</si>
  <si>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</si>
  <si>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</si>
  <si>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</si>
  <si>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</si>
  <si>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</si>
  <si>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</si>
  <si>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</si>
  <si>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</si>
  <si>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</si>
  <si>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</si>
  <si>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</si>
  <si>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</si>
  <si>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</si>
  <si>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</si>
  <si>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</si>
  <si>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</si>
  <si>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</si>
  <si>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</si>
  <si>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</si>
  <si>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</si>
  <si>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</si>
  <si>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</si>
  <si>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</si>
  <si>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</si>
  <si>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</si>
  <si>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</si>
  <si>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</si>
  <si>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</si>
  <si>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</si>
  <si>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</si>
  <si>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</si>
  <si>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</si>
  <si>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</si>
  <si>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</si>
  <si>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</si>
  <si>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</si>
  <si>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</si>
  <si>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</si>
  <si>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</si>
  <si>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</si>
  <si>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</si>
  <si>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</si>
  <si>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</si>
  <si>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</si>
  <si>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</si>
  <si>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</si>
  <si>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</si>
  <si>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</si>
  <si>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</si>
  <si>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</si>
  <si>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</si>
  <si>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</si>
  <si>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</si>
  <si>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</si>
  <si>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</si>
  <si>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</si>
  <si>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</si>
  <si>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</si>
  <si>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</si>
  <si>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</si>
  <si>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</si>
  <si>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</si>
  <si>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</si>
  <si>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</si>
  <si>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</si>
  <si>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</si>
  <si>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</si>
  <si>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</si>
  <si>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</si>
  <si>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</si>
  <si>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</si>
  <si>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</si>
  <si>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</si>
  <si>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</si>
  <si>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</si>
  <si>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</si>
  <si>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</si>
  <si>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</si>
  <si>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</si>
  <si>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</si>
  <si>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</si>
  <si>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</si>
  <si>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</si>
  <si>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</si>
  <si>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</si>
  <si>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</si>
  <si>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</si>
  <si>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</si>
  <si>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</si>
  <si>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</si>
  <si>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</si>
  <si>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</si>
  <si>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</si>
  <si>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</si>
  <si>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</si>
  <si>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</si>
  <si>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</si>
  <si>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</si>
  <si>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</si>
  <si>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</si>
  <si>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</si>
  <si>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</si>
  <si>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</si>
  <si>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</si>
  <si>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</si>
  <si>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</si>
  <si>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</si>
  <si>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</si>
  <si>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</si>
  <si>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</si>
  <si>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</si>
  <si>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</si>
  <si>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</si>
  <si>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</si>
  <si>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</si>
  <si>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</si>
  <si>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</si>
  <si>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</si>
  <si>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</si>
  <si>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</si>
  <si>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</si>
  <si>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</si>
  <si>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</si>
  <si>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</si>
  <si>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</si>
  <si>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</si>
  <si>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</si>
  <si>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</si>
  <si>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</si>
  <si>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</si>
  <si>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</si>
  <si>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</si>
  <si>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</si>
  <si>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</si>
  <si>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</si>
  <si>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</si>
  <si>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</si>
  <si>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</si>
  <si>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</si>
  <si>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</si>
  <si>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</si>
  <si>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</si>
  <si>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</si>
  <si>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</si>
  <si>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</si>
  <si>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</si>
  <si>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</si>
  <si>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</si>
  <si>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</si>
  <si>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</si>
  <si>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</si>
  <si>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</si>
  <si>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</si>
  <si>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</si>
  <si>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</si>
  <si>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</si>
  <si>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</si>
  <si>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</si>
  <si>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</si>
  <si>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</si>
  <si>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</si>
  <si>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</si>
  <si>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</si>
  <si>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</si>
  <si>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</si>
  <si>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</si>
  <si>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</si>
  <si>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</si>
  <si>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</si>
  <si>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</si>
  <si>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</si>
  <si>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</si>
  <si>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</si>
  <si>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</si>
  <si>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</si>
  <si>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</si>
  <si>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</si>
  <si>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</si>
  <si>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</si>
  <si>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</si>
  <si>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</si>
  <si>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</si>
  <si>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</si>
  <si>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</si>
  <si>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</si>
  <si>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</si>
  <si>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</si>
  <si>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</si>
  <si>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</si>
  <si>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</si>
  <si>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</si>
  <si>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</si>
  <si>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</si>
  <si>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</si>
  <si>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</si>
  <si>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</si>
  <si>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</si>
  <si>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</si>
  <si>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</si>
  <si>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</si>
  <si>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</si>
  <si>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</si>
  <si>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</si>
  <si>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</si>
  <si>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</si>
  <si>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</si>
  <si>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</si>
  <si>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</si>
  <si>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</si>
  <si>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</si>
  <si>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</si>
  <si>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</si>
  <si>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</si>
  <si>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</si>
  <si>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</si>
  <si>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</si>
  <si>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</si>
  <si>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</si>
  <si>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</si>
  <si>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</si>
  <si>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</si>
  <si>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</si>
  <si>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</si>
  <si>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</si>
  <si>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</si>
  <si>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</si>
  <si>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</si>
  <si>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</si>
  <si>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</si>
  <si>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</si>
  <si>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</si>
  <si>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</si>
  <si>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</si>
  <si>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</si>
  <si>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</si>
  <si>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</si>
  <si>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</si>
  <si>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</si>
  <si>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</si>
  <si>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</si>
  <si>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</si>
  <si>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</si>
  <si>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</si>
  <si>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</si>
  <si>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</si>
  <si>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</si>
  <si>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</si>
  <si>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</si>
  <si>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</si>
  <si>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</si>
  <si>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</si>
  <si>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</si>
  <si>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</si>
  <si>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</si>
  <si>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</si>
  <si>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</si>
  <si>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</si>
  <si>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</si>
  <si>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</si>
  <si>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</si>
  <si>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</si>
  <si>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</si>
  <si>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</si>
  <si>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</si>
  <si>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</si>
  <si>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</si>
  <si>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</si>
  <si>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</si>
  <si>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</si>
  <si>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</si>
  <si>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</si>
  <si>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</si>
  <si>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</si>
  <si>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</si>
  <si>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</si>
  <si>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</si>
  <si>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</si>
  <si>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</si>
  <si>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</si>
  <si>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</si>
  <si>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</si>
  <si>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</si>
  <si>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</si>
  <si>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</si>
  <si>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</si>
  <si>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</si>
  <si>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</si>
  <si>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</si>
  <si>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</si>
  <si>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</si>
  <si>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</si>
  <si>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</si>
  <si>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</si>
  <si>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</si>
  <si>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</si>
  <si>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</si>
  <si>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</si>
  <si>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</si>
  <si>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</si>
  <si>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</si>
  <si>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</si>
  <si>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</si>
  <si>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</si>
  <si>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</si>
  <si>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</si>
  <si>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</si>
  <si>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</si>
  <si>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</si>
  <si>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</si>
  <si>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</si>
  <si>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</si>
  <si>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</si>
  <si>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</si>
  <si>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</si>
  <si>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</si>
  <si>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</si>
  <si>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</si>
  <si>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</si>
  <si>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</si>
  <si>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</si>
  <si>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</si>
  <si>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</si>
  <si>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</si>
  <si>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</si>
  <si>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</si>
  <si>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</si>
  <si>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</si>
  <si>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</si>
  <si>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</si>
  <si>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</si>
  <si>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</si>
  <si>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</si>
  <si>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</si>
  <si>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</si>
  <si>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</si>
  <si>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</si>
  <si>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</si>
  <si>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</si>
  <si>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</si>
  <si>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</si>
  <si>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</si>
  <si>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</si>
  <si>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</si>
  <si>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</si>
  <si>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</si>
  <si>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</si>
  <si>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</si>
  <si>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</si>
  <si>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</si>
  <si>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</si>
  <si>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</si>
  <si>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</si>
  <si>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</si>
  <si>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</si>
  <si>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</si>
  <si>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</si>
  <si>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</si>
  <si>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</si>
  <si>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</si>
  <si>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</si>
  <si>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</si>
  <si>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</si>
  <si>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</si>
  <si>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</si>
  <si>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</si>
  <si>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</si>
  <si>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</si>
  <si>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</si>
  <si>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</si>
  <si>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</si>
  <si>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</si>
  <si>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</si>
  <si>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</si>
  <si>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</si>
  <si>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</si>
  <si>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</si>
  <si>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</si>
  <si>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</si>
  <si>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</si>
  <si>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</si>
  <si>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</si>
  <si>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</si>
  <si>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</si>
  <si>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</si>
  <si>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</si>
  <si>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</si>
  <si>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</si>
  <si>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</si>
  <si>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</si>
  <si>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</si>
  <si>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</si>
  <si>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</si>
  <si>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</si>
  <si>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</si>
  <si>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</si>
  <si>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</si>
  <si>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</si>
  <si>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</si>
  <si>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</si>
  <si>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</si>
  <si>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</si>
  <si>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</si>
  <si>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</si>
  <si>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</si>
  <si>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</si>
  <si>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</si>
  <si>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</si>
  <si>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</si>
  <si>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</si>
  <si>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</si>
  <si>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</si>
  <si>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</si>
  <si>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</si>
  <si>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</si>
  <si>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</si>
  <si>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</si>
  <si>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</si>
  <si>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</si>
  <si>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</si>
  <si>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</si>
  <si>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</si>
  <si>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</si>
  <si>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</si>
  <si>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</si>
  <si>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</si>
  <si>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</si>
  <si>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</si>
  <si>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</si>
  <si>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</si>
  <si>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</si>
  <si>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</si>
  <si>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</si>
  <si>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</si>
  <si>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</si>
  <si>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</si>
  <si>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</si>
  <si>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</si>
  <si>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</si>
  <si>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</si>
  <si>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</si>
  <si>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</si>
  <si>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</si>
  <si>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</si>
  <si>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</si>
  <si>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</si>
  <si>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</si>
  <si>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</si>
  <si>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</si>
  <si>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</si>
  <si>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</si>
  <si>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</si>
  <si>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</si>
  <si>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</si>
  <si>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</si>
  <si>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</si>
  <si>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</si>
  <si>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</si>
  <si>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</si>
  <si>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</si>
  <si>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</si>
  <si>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</si>
  <si>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</si>
  <si>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</si>
  <si>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</si>
  <si>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</si>
  <si>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</si>
  <si>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</si>
  <si>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</si>
  <si>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</si>
  <si>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</si>
  <si>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</si>
  <si>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</si>
  <si>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</si>
  <si>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</si>
  <si>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</si>
  <si>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</si>
  <si>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</si>
  <si>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</si>
  <si>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</si>
  <si>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</si>
  <si>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</si>
  <si>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</si>
  <si>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</si>
  <si>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</si>
  <si>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</si>
  <si>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</si>
  <si>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</si>
  <si>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</si>
  <si>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</si>
  <si>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</si>
  <si>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</si>
  <si>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</si>
  <si>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</si>
  <si>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</si>
  <si>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</si>
  <si>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</si>
  <si>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</si>
  <si>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</si>
  <si>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</si>
  <si>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</si>
  <si>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</si>
  <si>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</si>
  <si>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</si>
  <si>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</si>
  <si>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</si>
  <si>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</si>
  <si>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</si>
  <si>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</si>
  <si>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</si>
  <si>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</si>
  <si>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</si>
  <si>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</si>
  <si>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</si>
  <si>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</si>
  <si>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</si>
  <si>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</si>
  <si>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</si>
  <si>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</si>
  <si>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</si>
  <si>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</si>
  <si>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</si>
  <si>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</si>
  <si>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</si>
  <si>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</si>
  <si>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</si>
  <si>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</si>
  <si>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</si>
  <si>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</si>
  <si>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</si>
  <si>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</si>
  <si>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</si>
  <si>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</si>
  <si>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</si>
  <si>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</si>
  <si>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</si>
  <si>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</si>
  <si>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</si>
  <si>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</si>
  <si>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</si>
  <si>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</si>
  <si>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</si>
  <si>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</si>
  <si>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</si>
  <si>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</si>
  <si>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</si>
  <si>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</si>
  <si>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</si>
  <si>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</si>
  <si>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</si>
  <si>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</si>
  <si>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</si>
  <si>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</si>
  <si>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</si>
  <si>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</si>
  <si>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</si>
  <si>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</si>
  <si>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</si>
  <si>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</si>
  <si>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</si>
  <si>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</si>
  <si>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</si>
  <si>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</si>
  <si>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</si>
  <si>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</si>
  <si>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</si>
  <si>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</si>
  <si>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</si>
  <si>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</si>
  <si>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</si>
  <si>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</si>
  <si>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</si>
  <si>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</si>
  <si>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</si>
  <si>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</si>
  <si>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</si>
  <si>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</si>
  <si>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</si>
  <si>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</si>
  <si>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</si>
  <si>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</si>
  <si>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</si>
  <si>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</si>
  <si>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</si>
  <si>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</si>
  <si>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</si>
  <si>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</si>
  <si>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</si>
  <si>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</si>
  <si>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</si>
  <si>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</si>
  <si>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</si>
  <si>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</si>
  <si>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</si>
  <si>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</si>
  <si>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</si>
  <si>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</si>
  <si>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</si>
  <si>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</si>
  <si>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</si>
  <si>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</si>
  <si>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</si>
  <si>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</si>
  <si>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</si>
  <si>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</si>
  <si>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</si>
  <si>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</si>
  <si>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</si>
  <si>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</si>
  <si>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</si>
  <si>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</si>
  <si>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</si>
  <si>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</si>
  <si>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</si>
  <si>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</si>
  <si>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</si>
  <si>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</si>
  <si>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</si>
  <si>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</si>
  <si>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</si>
  <si>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</si>
  <si>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</si>
  <si>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</si>
  <si>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</si>
  <si>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</si>
  <si>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</si>
  <si>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</si>
  <si>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</si>
  <si>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</si>
  <si>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</si>
  <si>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</si>
  <si>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</si>
  <si>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</si>
  <si>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</si>
  <si>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</si>
  <si>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</si>
  <si>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</si>
  <si>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</si>
  <si>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</si>
  <si>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</si>
  <si>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</si>
  <si>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</si>
  <si>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</si>
  <si>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</si>
  <si>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</si>
  <si>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</si>
  <si>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</si>
  <si>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</si>
  <si>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</si>
  <si>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</si>
  <si>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</si>
  <si>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</si>
  <si>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</si>
  <si>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</si>
  <si>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</si>
  <si>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</si>
  <si>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</si>
  <si>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</si>
  <si>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</si>
  <si>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</si>
  <si>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</si>
  <si>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</si>
  <si>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</si>
  <si>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</si>
  <si>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</si>
  <si>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</si>
  <si>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</si>
  <si>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</si>
  <si>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</si>
  <si>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</si>
  <si>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</si>
  <si>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</si>
  <si>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</si>
  <si>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</si>
  <si>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</si>
  <si>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</si>
  <si>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</si>
  <si>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</si>
  <si>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</si>
  <si>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</si>
  <si>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</si>
  <si>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</si>
  <si>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</si>
  <si>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</si>
  <si>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</si>
  <si>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</si>
  <si>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</si>
  <si>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</si>
  <si>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</si>
  <si>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</si>
  <si>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</si>
  <si>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</si>
  <si>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</si>
  <si>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</si>
  <si>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</si>
  <si>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</si>
  <si>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</si>
  <si>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</si>
  <si>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</si>
  <si>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</si>
  <si>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</si>
  <si>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</si>
  <si>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</si>
  <si>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</si>
  <si>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</si>
  <si>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</si>
  <si>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</si>
  <si>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</si>
  <si>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</si>
  <si>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</si>
  <si>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</si>
  <si>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</si>
  <si>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</si>
  <si>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</si>
  <si>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</si>
  <si>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</si>
  <si>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</si>
  <si>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</si>
  <si>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</si>
  <si>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</si>
  <si>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</si>
  <si>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</si>
  <si>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</si>
  <si>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</si>
  <si>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</si>
  <si>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</si>
  <si>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</si>
  <si>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</si>
  <si>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</si>
  <si>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</si>
  <si>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</si>
  <si>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</si>
  <si>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</si>
  <si>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</si>
  <si>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</si>
  <si>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</si>
  <si>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</si>
  <si>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</si>
  <si>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</si>
  <si>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</si>
  <si>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</si>
  <si>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</si>
  <si>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</si>
  <si>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</si>
  <si>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</si>
  <si>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</si>
  <si>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</si>
  <si>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</si>
  <si>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</si>
  <si>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</si>
  <si>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</si>
  <si>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</si>
  <si>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</si>
  <si>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</si>
  <si>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</si>
  <si>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</si>
  <si>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</si>
  <si>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</si>
  <si>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</si>
  <si>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</si>
  <si>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</si>
  <si>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</si>
  <si>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</si>
  <si>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</si>
  <si>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</si>
  <si>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</si>
  <si>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</si>
  <si>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</si>
  <si>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</si>
  <si>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</si>
  <si>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</si>
  <si>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</si>
  <si>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</si>
  <si>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</si>
  <si>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</si>
  <si>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</si>
  <si>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</si>
  <si>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</si>
  <si>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</si>
  <si>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</si>
  <si>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</si>
  <si>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</si>
  <si>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</si>
  <si>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</si>
  <si>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</si>
  <si>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</si>
  <si>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</si>
  <si>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</si>
  <si>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</si>
  <si>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</si>
  <si>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</si>
  <si>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</si>
  <si>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</si>
  <si>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</si>
  <si>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</si>
  <si>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</si>
  <si>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</si>
  <si>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</si>
  <si>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</si>
  <si>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</si>
  <si>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</si>
  <si>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</si>
  <si>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</si>
  <si>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</si>
  <si>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</si>
  <si>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</si>
  <si>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</si>
  <si>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</si>
  <si>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</si>
  <si>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</si>
  <si>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</si>
  <si>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</si>
  <si>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</si>
  <si>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</si>
  <si>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</si>
  <si>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</si>
  <si>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</si>
  <si>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</si>
  <si>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</si>
  <si>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</si>
  <si>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</si>
  <si>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</si>
  <si>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</si>
  <si>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</si>
  <si>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</si>
  <si>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</si>
  <si>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</si>
  <si>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</si>
  <si>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</si>
  <si>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</si>
  <si>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</si>
  <si>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</si>
  <si>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</si>
  <si>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</si>
  <si>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</si>
  <si>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</si>
  <si>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</si>
  <si>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</si>
  <si>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</si>
  <si>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</si>
  <si>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</si>
  <si>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</si>
  <si>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</si>
  <si>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</si>
  <si>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</si>
  <si>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</si>
  <si>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</si>
  <si>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</si>
  <si>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</si>
  <si>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</si>
  <si>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</si>
  <si>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</si>
  <si>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</si>
  <si>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</si>
  <si>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</si>
  <si>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</si>
  <si>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</si>
  <si>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</si>
  <si>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</si>
  <si>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</si>
  <si>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</si>
  <si>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</si>
  <si>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</si>
  <si>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</si>
  <si>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</si>
  <si>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</si>
  <si>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</si>
  <si>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</si>
  <si>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</si>
  <si>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</si>
  <si>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</si>
  <si>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</si>
  <si>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</si>
  <si>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</si>
  <si>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</si>
  <si>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</si>
  <si>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</si>
  <si>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</si>
  <si>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</si>
  <si>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</si>
  <si>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</si>
  <si>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</si>
  <si>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</si>
  <si>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</si>
  <si>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</si>
  <si>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</si>
  <si>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</si>
  <si>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</si>
  <si>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</si>
  <si>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</si>
  <si>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</si>
  <si>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</si>
  <si>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</si>
  <si>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</si>
  <si>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</si>
  <si>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</si>
  <si>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</si>
  <si>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</si>
  <si>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</si>
  <si>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</si>
  <si>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</si>
  <si>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</si>
  <si>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</si>
  <si>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</si>
  <si>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</si>
  <si>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</si>
  <si>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</si>
  <si>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</si>
  <si>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</si>
  <si>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</si>
  <si>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</si>
  <si>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</si>
  <si>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</si>
  <si>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</si>
  <si>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</si>
  <si>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</si>
  <si>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</si>
  <si>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</si>
  <si>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</si>
  <si>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</si>
  <si>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</si>
  <si>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</si>
  <si>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</si>
  <si>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</si>
  <si>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</si>
  <si>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</si>
  <si>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</si>
  <si>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</si>
  <si>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</si>
  <si>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</si>
  <si>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</si>
  <si>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</si>
  <si>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</si>
  <si>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</si>
  <si>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</si>
  <si>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</si>
  <si>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</si>
  <si>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</si>
  <si>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</si>
  <si>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</si>
  <si>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</si>
  <si>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</si>
  <si>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</si>
  <si>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</si>
  <si>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</si>
  <si>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</si>
  <si>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</si>
  <si>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</si>
  <si>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</si>
  <si>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</si>
  <si>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</si>
  <si>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</si>
  <si>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</si>
  <si>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</si>
  <si>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</si>
  <si>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</si>
  <si>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</si>
  <si>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</si>
  <si>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</si>
  <si>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</si>
  <si>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</si>
  <si>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</si>
  <si>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</si>
  <si>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</si>
  <si>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</si>
  <si>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</si>
  <si>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</si>
  <si>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</si>
  <si>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</si>
  <si>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</si>
  <si>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</si>
  <si>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</si>
  <si>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</si>
  <si>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</si>
  <si>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</si>
  <si>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</si>
  <si>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</si>
  <si>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</si>
  <si>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</si>
  <si>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</si>
  <si>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</si>
  <si>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</si>
  <si>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</si>
  <si>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</si>
  <si>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</si>
  <si>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</si>
  <si>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</si>
  <si>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</si>
  <si>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</si>
  <si>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</si>
  <si>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</si>
  <si>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</si>
  <si>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</si>
  <si>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</si>
  <si>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</si>
  <si>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</si>
  <si>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</si>
  <si>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</si>
  <si>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</si>
  <si>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</si>
  <si>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</si>
  <si>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</si>
  <si>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</si>
  <si>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</si>
  <si>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</si>
  <si>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</si>
  <si>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</si>
  <si>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</si>
  <si>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</si>
  <si>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</si>
  <si>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</si>
  <si>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</si>
  <si>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</si>
  <si>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</si>
  <si>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</si>
  <si>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</si>
  <si>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</si>
  <si>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</si>
  <si>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</si>
  <si>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</si>
  <si>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</si>
  <si>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</si>
  <si>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</si>
  <si>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</si>
  <si>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</si>
  <si>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</si>
  <si>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</si>
  <si>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</si>
  <si>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</si>
  <si>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</si>
  <si>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</si>
  <si>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</si>
  <si>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</si>
  <si>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</si>
  <si>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</si>
  <si>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</si>
  <si>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</si>
  <si>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</si>
  <si>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</si>
  <si>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</si>
  <si>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</si>
  <si>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</si>
  <si>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</si>
  <si>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</si>
  <si>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</si>
  <si>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</si>
  <si>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</si>
  <si>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</si>
  <si>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</si>
  <si>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</si>
  <si>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</si>
  <si>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</si>
  <si>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</si>
  <si>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</si>
  <si>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</si>
  <si>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</si>
  <si>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</si>
  <si>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</si>
  <si>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</si>
  <si>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</si>
  <si>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</si>
  <si>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</si>
  <si>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</si>
  <si>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</si>
  <si>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</si>
  <si>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</si>
  <si>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</si>
  <si>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</si>
  <si>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</si>
  <si>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</si>
  <si>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</si>
  <si>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</si>
  <si>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</si>
  <si>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</si>
  <si>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</si>
  <si>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</si>
  <si>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</si>
  <si>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</si>
  <si>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</si>
  <si>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</si>
  <si>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</si>
  <si>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</si>
  <si>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</si>
  <si>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</si>
  <si>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</si>
  <si>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</si>
  <si>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</si>
  <si>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</si>
  <si>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</si>
  <si>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</si>
  <si>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</si>
  <si>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</si>
  <si>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</si>
  <si>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</si>
  <si>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</si>
  <si>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</si>
  <si>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</si>
  <si>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</si>
  <si>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</si>
  <si>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</si>
  <si>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</si>
  <si>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</si>
  <si>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</si>
  <si>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</si>
  <si>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</si>
  <si>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</si>
  <si>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</si>
  <si>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</si>
  <si>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</si>
  <si>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</si>
  <si>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</si>
  <si>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</si>
  <si>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</si>
  <si>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</si>
  <si>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</si>
  <si>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</si>
  <si>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</si>
  <si>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</si>
  <si>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</si>
  <si>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</si>
  <si>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</si>
  <si>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</si>
  <si>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</si>
  <si>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</si>
  <si>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</si>
  <si>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</si>
  <si>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</si>
  <si>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</si>
  <si>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</si>
  <si>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</si>
  <si>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</si>
  <si>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</si>
  <si>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</si>
  <si>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</si>
  <si>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</si>
  <si>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</si>
  <si>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</si>
  <si>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</si>
  <si>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</si>
  <si>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</si>
  <si>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</si>
  <si>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</si>
  <si>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</si>
  <si>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</si>
  <si>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</si>
  <si>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</si>
  <si>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</si>
  <si>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</si>
  <si>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</si>
  <si>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</si>
  <si>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</si>
  <si>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</si>
  <si>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</si>
  <si>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</si>
  <si>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</si>
  <si>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</si>
  <si>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</si>
  <si>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</si>
  <si>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</si>
  <si>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</si>
  <si>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</si>
  <si>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</si>
  <si>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</si>
  <si>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</si>
  <si>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</si>
  <si>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</si>
  <si>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</si>
  <si>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</si>
  <si>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</si>
  <si>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</si>
  <si>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</si>
  <si>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</si>
  <si>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</si>
  <si>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</si>
  <si>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</si>
  <si>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</si>
  <si>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</si>
  <si>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</si>
  <si>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</si>
  <si>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</si>
  <si>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</si>
  <si>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</si>
  <si>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</si>
  <si>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</si>
  <si>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</si>
  <si>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</si>
  <si>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</si>
  <si>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</si>
  <si>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</si>
  <si>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</si>
  <si>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</si>
  <si>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</si>
  <si>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</si>
  <si>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</si>
  <si>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</si>
  <si>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</si>
  <si>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</si>
  <si>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</si>
  <si>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</si>
  <si>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</si>
  <si>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</si>
  <si>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</si>
  <si>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</si>
  <si>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</si>
  <si>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</si>
  <si>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</si>
  <si>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</si>
  <si>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</si>
  <si>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</si>
  <si>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</si>
  <si>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</si>
  <si>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</si>
  <si>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</si>
  <si>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</si>
  <si>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</si>
  <si>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</si>
  <si>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</si>
  <si>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</si>
  <si>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</si>
  <si>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</si>
  <si>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</si>
  <si>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</si>
  <si>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</si>
  <si>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</si>
  <si>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</si>
  <si>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</si>
  <si>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</si>
  <si>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</si>
  <si>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</si>
  <si>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</si>
  <si>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</si>
  <si>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</si>
  <si>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</si>
  <si>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</si>
  <si>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</si>
  <si>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</si>
  <si>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</si>
  <si>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</si>
  <si>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</si>
  <si>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</si>
  <si>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</si>
  <si>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</si>
  <si>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</si>
  <si>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</si>
  <si>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</si>
  <si>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</si>
  <si>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</si>
  <si>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</si>
  <si>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</si>
  <si>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</si>
  <si>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</si>
  <si>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</si>
  <si>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</si>
  <si>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</si>
  <si>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</si>
  <si>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</si>
  <si>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</si>
  <si>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</si>
  <si>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</si>
  <si>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</si>
  <si>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</si>
  <si>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</si>
  <si>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</si>
  <si>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</si>
  <si>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</si>
  <si>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</si>
  <si>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</si>
  <si>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</si>
  <si>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</si>
  <si>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</si>
  <si>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</si>
  <si>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</si>
  <si>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</si>
  <si>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</si>
  <si>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</si>
  <si>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</si>
  <si>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</si>
  <si>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</si>
  <si>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</si>
  <si>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</si>
  <si>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</si>
  <si>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</si>
  <si>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</si>
  <si>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</si>
  <si>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</si>
  <si>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</si>
  <si>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</si>
  <si>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</si>
  <si>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</si>
  <si>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</si>
  <si>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</si>
  <si>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</si>
  <si>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</si>
  <si>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</si>
  <si>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</si>
  <si>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</si>
  <si>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</si>
  <si>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</si>
  <si>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</si>
  <si>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</si>
  <si>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</si>
  <si>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</si>
  <si>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</si>
  <si>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</si>
  <si>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</si>
  <si>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</si>
  <si>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</si>
  <si>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</si>
  <si>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</si>
  <si>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</si>
  <si>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</si>
  <si>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</si>
  <si>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</si>
  <si>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</si>
  <si>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</si>
  <si>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</si>
  <si>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</si>
  <si>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</si>
  <si>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</si>
  <si>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</si>
  <si>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</si>
  <si>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</si>
  <si>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</si>
  <si>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</si>
  <si>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</si>
  <si>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</si>
  <si>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</si>
  <si>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</si>
  <si>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</si>
  <si>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</si>
  <si>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</si>
  <si>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</si>
  <si>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</si>
  <si>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</si>
  <si>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</si>
  <si>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</si>
  <si>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</si>
  <si>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</si>
  <si>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</si>
  <si>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</si>
  <si>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</si>
  <si>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</si>
  <si>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</si>
  <si>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</si>
  <si>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</si>
  <si>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</si>
  <si>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</si>
  <si>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</si>
  <si>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</si>
  <si>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</si>
  <si>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</si>
  <si>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</si>
  <si>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</si>
  <si>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</si>
  <si>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</si>
  <si>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</si>
  <si>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</si>
  <si>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</si>
  <si>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</si>
  <si>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</si>
  <si>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</si>
  <si>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</si>
  <si>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</si>
  <si>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</si>
  <si>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</si>
  <si>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</si>
  <si>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</si>
  <si>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</si>
  <si>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</si>
  <si>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</si>
  <si>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</si>
  <si>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</si>
  <si>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</si>
  <si>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</si>
  <si>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</si>
  <si>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</si>
  <si>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</si>
  <si>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</si>
  <si>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</si>
  <si>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</si>
  <si>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</si>
  <si>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</si>
  <si>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</si>
  <si>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</si>
  <si>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</si>
  <si>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</si>
  <si>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</si>
  <si>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</si>
  <si>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</si>
  <si>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</si>
  <si>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</si>
  <si>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</si>
  <si>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</si>
  <si>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</si>
  <si>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</si>
  <si>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</si>
  <si>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</si>
  <si>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</si>
  <si>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</si>
  <si>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</si>
  <si>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</si>
  <si>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</si>
  <si>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</si>
  <si>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</si>
  <si>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</si>
  <si>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</si>
  <si>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</si>
  <si>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</si>
  <si>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</si>
  <si>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</si>
  <si>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</si>
  <si>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</si>
  <si>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</si>
  <si>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</si>
  <si>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</si>
  <si>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</si>
  <si>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</si>
  <si>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</si>
  <si>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</si>
  <si>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</si>
  <si>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</si>
  <si>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</si>
  <si>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</si>
  <si>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</si>
  <si>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</si>
  <si>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</si>
  <si>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</si>
  <si>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</si>
  <si>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</si>
  <si>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</si>
  <si>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</si>
  <si>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</si>
  <si>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</si>
  <si>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</si>
  <si>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</si>
  <si>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</si>
  <si>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</si>
  <si>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</si>
  <si>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</si>
  <si>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</si>
  <si>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</si>
  <si>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</si>
  <si>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</si>
  <si>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</si>
  <si>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</si>
  <si>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</si>
  <si>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</si>
  <si>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</si>
  <si>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</si>
  <si>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</si>
  <si>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</si>
  <si>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</si>
  <si>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</si>
  <si>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</si>
  <si>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</si>
  <si>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</si>
  <si>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</si>
  <si>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</si>
  <si>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</si>
  <si>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</si>
  <si>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</si>
  <si>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</si>
  <si>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</si>
  <si>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</si>
  <si>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</si>
  <si>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</si>
  <si>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</si>
  <si>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</si>
  <si>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</si>
  <si>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</si>
  <si>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</si>
  <si>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</si>
  <si>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</si>
  <si>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</si>
  <si>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</si>
  <si>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</si>
  <si>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</si>
  <si>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</si>
  <si>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</si>
  <si>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</si>
  <si>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</si>
  <si>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</si>
  <si>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</si>
  <si>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</si>
  <si>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</si>
  <si>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</si>
  <si>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</si>
  <si>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</si>
  <si>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</si>
  <si>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</si>
  <si>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</si>
  <si>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</si>
  <si>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</si>
  <si>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</si>
  <si>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</si>
  <si>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</si>
  <si>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</si>
  <si>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</si>
  <si>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</si>
  <si>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</si>
  <si>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</si>
  <si>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</si>
  <si>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</si>
  <si>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</si>
  <si>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</si>
  <si>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</si>
  <si>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</si>
  <si>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</si>
  <si>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</si>
  <si>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</si>
  <si>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</si>
  <si>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</si>
  <si>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</si>
  <si>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</si>
  <si>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</si>
  <si>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</si>
  <si>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</si>
  <si>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</si>
  <si>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</si>
  <si>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</si>
  <si>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</si>
  <si>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</si>
  <si>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</si>
  <si>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</si>
  <si>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</si>
  <si>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</si>
  <si>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</si>
  <si>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</si>
  <si>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</si>
  <si>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</si>
  <si>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</si>
  <si>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</si>
  <si>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</si>
  <si>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</si>
  <si>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</si>
  <si>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</si>
  <si>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</si>
  <si>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</si>
  <si>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</si>
  <si>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</si>
  <si>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</si>
  <si>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</si>
  <si>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</si>
  <si>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</si>
  <si>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</si>
  <si>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</si>
  <si>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</si>
  <si>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</si>
  <si>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</si>
  <si>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</si>
  <si>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</si>
  <si>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</si>
  <si>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</si>
  <si>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</si>
  <si>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</si>
  <si>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</si>
  <si>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</si>
  <si>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</si>
  <si>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</si>
  <si>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</si>
  <si>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</si>
  <si>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</si>
  <si>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</si>
  <si>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</si>
  <si>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</si>
  <si>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</si>
  <si>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</si>
  <si>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</si>
  <si>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</si>
  <si>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</si>
  <si>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</si>
  <si>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</si>
  <si>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</si>
  <si>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</si>
  <si>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</si>
  <si>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</si>
  <si>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</si>
  <si>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</si>
  <si>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</si>
  <si>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</si>
  <si>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</si>
  <si>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</si>
  <si>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</si>
  <si>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</si>
  <si>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</si>
  <si>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</si>
  <si>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</si>
  <si>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</si>
  <si>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</si>
  <si>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</si>
  <si>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</si>
  <si>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</si>
  <si>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</si>
  <si>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</si>
  <si>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</si>
  <si>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</si>
  <si>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</si>
  <si>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</si>
  <si>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</si>
  <si>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</si>
  <si>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</si>
  <si>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</si>
  <si>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</si>
  <si>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</si>
  <si>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</si>
  <si>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</si>
  <si>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</si>
  <si>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</si>
  <si>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</si>
  <si>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</si>
  <si>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</si>
  <si>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</si>
  <si>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</si>
  <si>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</si>
  <si>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</si>
  <si>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</si>
  <si>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</si>
  <si>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</si>
  <si>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</si>
  <si>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</si>
  <si>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</si>
  <si>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</si>
  <si>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</si>
  <si>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</si>
  <si>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</si>
  <si>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</si>
  <si>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</si>
  <si>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</si>
  <si>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</si>
  <si>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</si>
  <si>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</si>
  <si>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</si>
  <si>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</si>
  <si>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</si>
  <si>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</si>
  <si>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</si>
  <si>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</si>
  <si>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</si>
  <si>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</si>
  <si>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</si>
  <si>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</si>
  <si>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</si>
  <si>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</si>
  <si>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</si>
  <si>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</si>
  <si>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</si>
  <si>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</si>
  <si>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</si>
  <si>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</si>
  <si>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</si>
  <si>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</si>
  <si>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</si>
  <si>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</si>
  <si>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</si>
  <si>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</si>
  <si>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</si>
  <si>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</si>
  <si>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</si>
  <si>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</si>
  <si>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</si>
  <si>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</si>
  <si>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</si>
  <si>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</si>
  <si>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</si>
  <si>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</si>
  <si>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</si>
  <si>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</si>
  <si>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</si>
  <si>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</si>
  <si>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</si>
  <si>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</si>
  <si>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</si>
  <si>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</si>
  <si>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</si>
  <si>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</si>
  <si>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</si>
  <si>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</si>
  <si>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</si>
  <si>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</si>
  <si>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</si>
  <si>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</si>
  <si>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</si>
  <si>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</si>
  <si>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</si>
  <si>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</si>
  <si>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</si>
  <si>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</si>
  <si>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</si>
  <si>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</si>
  <si>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</si>
  <si>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</si>
  <si>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</si>
  <si>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</si>
  <si>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</si>
  <si>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</si>
  <si>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</si>
  <si>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</si>
  <si>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</si>
  <si>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</si>
  <si>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</si>
  <si>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</si>
  <si>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</si>
  <si>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</si>
  <si>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</si>
  <si>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</si>
  <si>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</si>
  <si>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</si>
  <si>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</si>
  <si>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</si>
  <si>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</si>
  <si>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</si>
  <si>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</si>
  <si>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</si>
  <si>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</si>
  <si>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</si>
  <si>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</si>
  <si>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</si>
  <si>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</si>
  <si>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</si>
  <si>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</si>
  <si>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</si>
  <si>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</si>
  <si>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</si>
  <si>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</si>
  <si>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</si>
  <si>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</si>
  <si>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</si>
  <si>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</si>
  <si>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</si>
  <si>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</si>
  <si>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</si>
  <si>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</si>
  <si>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</si>
  <si>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</si>
  <si>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</si>
  <si>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</si>
  <si>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</si>
  <si>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</si>
  <si>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</si>
  <si>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</si>
  <si>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</si>
  <si>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</si>
  <si>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</si>
  <si>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</si>
  <si>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</si>
  <si>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</si>
  <si>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</si>
  <si>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</si>
  <si>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</si>
  <si>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</si>
  <si>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</si>
  <si>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</si>
  <si>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</si>
  <si>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</si>
  <si>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</si>
  <si>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</si>
  <si>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</si>
  <si>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</si>
  <si>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</si>
  <si>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</si>
  <si>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</si>
  <si>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</si>
  <si>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</si>
  <si>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</si>
  <si>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</si>
  <si>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</si>
  <si>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</si>
  <si>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</si>
  <si>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</si>
  <si>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</si>
  <si>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</si>
  <si>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</si>
  <si>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</si>
  <si>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</si>
  <si>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</si>
  <si>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</si>
  <si>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</si>
  <si>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</si>
  <si>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</si>
  <si>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</si>
  <si>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</si>
  <si>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</si>
  <si>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</si>
  <si>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</si>
  <si>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</si>
  <si>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</si>
  <si>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</si>
  <si>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</si>
  <si>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</si>
  <si>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</si>
  <si>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</si>
  <si>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</si>
  <si>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</si>
  <si>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</si>
  <si>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</si>
  <si>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</si>
  <si>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</si>
  <si>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</si>
  <si>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</si>
  <si>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</si>
  <si>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</si>
  <si>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</si>
  <si>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</si>
  <si>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</si>
  <si>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</si>
  <si>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</si>
  <si>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</si>
  <si>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</si>
  <si>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</si>
  <si>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</si>
  <si>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</si>
  <si>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</si>
  <si>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</si>
  <si>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</si>
  <si>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</si>
  <si>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</si>
  <si>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</si>
  <si>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</si>
  <si>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</si>
  <si>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</si>
  <si>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</si>
  <si>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</si>
  <si>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</si>
  <si>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</si>
  <si>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</si>
  <si>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</si>
  <si>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</si>
  <si>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</si>
  <si>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</si>
  <si>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</si>
  <si>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</si>
  <si>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</si>
  <si>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</si>
  <si>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</si>
  <si>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</si>
  <si>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</si>
  <si>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</si>
  <si>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</si>
  <si>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</si>
  <si>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</si>
  <si>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</si>
  <si>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</si>
  <si>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</si>
  <si>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</si>
  <si>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</si>
  <si>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</si>
  <si>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</si>
  <si>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</si>
  <si>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</si>
  <si>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</si>
  <si>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</si>
  <si>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</si>
  <si>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</si>
  <si>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</si>
  <si>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</si>
  <si>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</si>
  <si>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</si>
  <si>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</si>
  <si>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</si>
  <si>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</si>
  <si>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</si>
  <si>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</si>
  <si>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</si>
  <si>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</si>
  <si>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</si>
  <si>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</si>
  <si>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</si>
  <si>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</si>
  <si>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</si>
  <si>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</si>
  <si>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</si>
  <si>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</si>
  <si>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</si>
  <si>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</si>
  <si>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</si>
  <si>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</si>
  <si>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</si>
  <si>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</si>
  <si>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</si>
  <si>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</si>
  <si>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</si>
  <si>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</si>
  <si>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</si>
  <si>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</si>
  <si>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</si>
  <si>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</si>
  <si>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</si>
  <si>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</si>
  <si>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</si>
  <si>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</si>
  <si>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</si>
  <si>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</si>
  <si>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</si>
  <si>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</si>
  <si>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</si>
  <si>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</si>
  <si>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</si>
  <si>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</si>
  <si>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</si>
  <si>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</si>
  <si>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</si>
  <si>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</si>
  <si>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</si>
  <si>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</si>
  <si>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</si>
  <si>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</si>
  <si>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</si>
  <si>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</si>
  <si>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</si>
  <si>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</si>
  <si>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</si>
  <si>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</si>
  <si>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</si>
  <si>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</si>
  <si>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</si>
  <si>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</si>
  <si>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</si>
  <si>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</si>
  <si>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</si>
  <si>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</si>
  <si>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</si>
  <si>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</si>
  <si>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</si>
  <si>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</si>
  <si>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</si>
  <si>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</si>
  <si>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</si>
  <si>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</si>
  <si>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</si>
  <si>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</si>
  <si>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</si>
  <si>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</si>
  <si>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</si>
  <si>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</si>
  <si>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</si>
  <si>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</si>
  <si>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</si>
  <si>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</si>
  <si>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</si>
  <si>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</si>
  <si>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</si>
  <si>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</si>
  <si>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</si>
  <si>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</si>
  <si>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</si>
  <si>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</si>
  <si>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</si>
  <si>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</si>
  <si>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</si>
  <si>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</si>
  <si>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</si>
  <si>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</si>
  <si>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</si>
  <si>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</si>
  <si>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</si>
  <si>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</si>
  <si>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</si>
  <si>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</si>
  <si>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</si>
  <si>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</si>
  <si>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</si>
  <si>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</si>
  <si>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</si>
  <si>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</si>
  <si>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</si>
  <si>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</si>
  <si>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</si>
  <si>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</si>
  <si>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</si>
  <si>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</si>
  <si>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</si>
  <si>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</si>
  <si>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</si>
  <si>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</si>
  <si>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</si>
  <si>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</si>
  <si>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</si>
  <si>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</si>
  <si>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</si>
  <si>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</si>
  <si>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</si>
  <si>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</si>
  <si>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</si>
  <si>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</si>
  <si>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</si>
  <si>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</si>
  <si>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</si>
  <si>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</si>
  <si>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</si>
  <si>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</si>
  <si>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</si>
  <si>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</si>
  <si>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</si>
  <si>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</si>
  <si>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</si>
  <si>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</si>
  <si>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</si>
  <si>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</si>
  <si>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</si>
  <si>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</si>
  <si>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</si>
  <si>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</si>
  <si>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</si>
  <si>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</si>
  <si>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</si>
  <si>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</si>
  <si>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</si>
  <si>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</si>
  <si>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</si>
  <si>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</si>
  <si>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</si>
  <si>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</si>
  <si>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</si>
  <si>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</si>
  <si>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</si>
  <si>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</si>
  <si>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</si>
  <si>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</si>
  <si>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</si>
  <si>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</si>
  <si>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</si>
  <si>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</si>
  <si>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</si>
  <si>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</si>
  <si>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</si>
  <si>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</si>
  <si>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</si>
  <si>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</si>
  <si>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</si>
  <si>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</si>
  <si>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</si>
  <si>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</si>
  <si>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</si>
  <si>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</si>
  <si>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</si>
  <si>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</si>
  <si>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</si>
  <si>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</si>
  <si>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</si>
  <si>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</si>
  <si>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</si>
  <si>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</si>
  <si>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</si>
  <si>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</si>
  <si>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</si>
  <si>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</si>
  <si>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</si>
  <si>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</si>
  <si>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</si>
  <si>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</si>
  <si>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</si>
  <si>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</si>
  <si>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</si>
  <si>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</si>
  <si>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</si>
  <si>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</si>
  <si>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</si>
  <si>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</si>
  <si>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</si>
  <si>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</si>
  <si>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</si>
  <si>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</si>
  <si>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</si>
  <si>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</si>
  <si>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</si>
  <si>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</si>
  <si>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</si>
  <si>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</si>
  <si>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</si>
  <si>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</si>
  <si>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</si>
  <si>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</si>
  <si>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</si>
  <si>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</si>
  <si>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</si>
  <si>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</si>
  <si>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</si>
  <si>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</si>
  <si>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</si>
  <si>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</si>
  <si>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</si>
  <si>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</si>
  <si>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</si>
  <si>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</si>
  <si>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</si>
  <si>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</si>
  <si>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</si>
  <si>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</si>
  <si>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</si>
  <si>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</si>
  <si>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</si>
  <si>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</si>
  <si>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</si>
  <si>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</si>
  <si>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</si>
  <si>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</si>
  <si>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</si>
  <si>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</si>
  <si>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</si>
  <si>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</si>
  <si>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</si>
  <si>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</si>
  <si>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</si>
  <si>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</si>
  <si>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</si>
  <si>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</si>
  <si>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</si>
  <si>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</si>
  <si>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</si>
  <si>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</si>
  <si>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</si>
  <si>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</si>
  <si>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</si>
  <si>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</si>
  <si>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</si>
  <si>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</si>
  <si>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</si>
  <si>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</si>
  <si>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</si>
  <si>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</si>
  <si>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</si>
  <si>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</si>
  <si>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</si>
  <si>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</si>
  <si>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</si>
  <si>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</si>
  <si>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</si>
  <si>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</si>
  <si>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</si>
  <si>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</si>
  <si>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</si>
  <si>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</si>
  <si>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</si>
  <si>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</si>
  <si>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</si>
  <si>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</si>
  <si>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</si>
  <si>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</si>
  <si>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</si>
  <si>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</si>
  <si>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</si>
  <si>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</si>
  <si>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</si>
  <si>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</si>
  <si>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</si>
  <si>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</si>
  <si>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</si>
  <si>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</si>
  <si>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</si>
  <si>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</si>
  <si>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</si>
  <si>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</si>
  <si>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</si>
  <si>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</si>
  <si>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</si>
  <si>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</si>
  <si>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</si>
  <si>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</si>
  <si>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</si>
  <si>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</si>
  <si>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</si>
  <si>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</si>
  <si>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</si>
  <si>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</si>
  <si>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</si>
  <si>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</si>
  <si>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</si>
  <si>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</si>
  <si>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</si>
  <si>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</si>
  <si>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</si>
  <si>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</si>
  <si>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</si>
  <si>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</si>
  <si>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</si>
  <si>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</si>
  <si>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</si>
  <si>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</si>
  <si>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</si>
  <si>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</si>
  <si>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</si>
  <si>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</si>
  <si>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</si>
  <si>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</si>
  <si>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</si>
  <si>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</si>
  <si>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</si>
  <si>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</si>
  <si>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</si>
  <si>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</si>
  <si>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</si>
  <si>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</si>
  <si>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</si>
  <si>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</si>
  <si>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</si>
  <si>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</si>
  <si>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</si>
  <si>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</si>
  <si>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</si>
  <si>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</si>
  <si>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</si>
  <si>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</si>
  <si>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</si>
  <si>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</si>
  <si>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</si>
  <si>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</si>
  <si>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</si>
  <si>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</si>
  <si>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</si>
  <si>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</si>
  <si>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</si>
  <si>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</si>
  <si>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</si>
  <si>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</si>
  <si>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</si>
  <si>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</si>
  <si>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</si>
  <si>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</si>
  <si>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</si>
  <si>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</si>
  <si>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</si>
  <si>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</si>
  <si>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</si>
  <si>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</si>
  <si>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</si>
  <si>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</si>
  <si>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</si>
  <si>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</si>
  <si>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</si>
  <si>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</si>
  <si>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</si>
  <si>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</si>
  <si>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</si>
  <si>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</si>
  <si>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</si>
  <si>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</si>
  <si>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</si>
  <si>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</si>
  <si>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</si>
  <si>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</si>
  <si>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</si>
  <si>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</si>
  <si>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</si>
  <si>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</si>
  <si>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</si>
  <si>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</si>
  <si>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</si>
  <si>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</si>
  <si>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</si>
  <si>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</si>
  <si>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</si>
  <si>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</si>
  <si>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</si>
  <si>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</si>
  <si>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</si>
  <si>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</si>
  <si>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</si>
  <si>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</si>
  <si>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</si>
  <si>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</si>
  <si>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</si>
  <si>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</si>
  <si>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</si>
  <si>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</si>
  <si>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</si>
  <si>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</si>
  <si>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</si>
  <si>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</si>
  <si>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</si>
  <si>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</si>
  <si>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</si>
  <si>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</si>
  <si>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</si>
  <si>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</si>
  <si>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</si>
  <si>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</si>
  <si>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</si>
  <si>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</si>
  <si>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</si>
  <si>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</si>
  <si>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</si>
  <si>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</si>
  <si>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</si>
  <si>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</si>
  <si>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</si>
  <si>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</si>
  <si>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</si>
  <si>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</si>
  <si>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</si>
  <si>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</si>
  <si>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</si>
  <si>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</si>
  <si>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</si>
  <si>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</si>
  <si>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</si>
  <si>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</si>
  <si>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</si>
  <si>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</si>
  <si>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</si>
  <si>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</si>
  <si>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</si>
  <si>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</si>
  <si>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</si>
  <si>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</si>
  <si>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</si>
  <si>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</si>
  <si>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</si>
  <si>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</si>
  <si>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</si>
  <si>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</si>
  <si>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</si>
  <si>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</si>
  <si>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</si>
  <si>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</si>
  <si>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</si>
  <si>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</si>
  <si>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</si>
  <si>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</si>
  <si>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</si>
  <si>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</si>
  <si>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</si>
  <si>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</si>
  <si>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</si>
  <si>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</si>
  <si>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</si>
  <si>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</si>
  <si>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</si>
  <si>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</si>
  <si>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</si>
  <si>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</si>
  <si>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</si>
  <si>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</si>
  <si>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</si>
  <si>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</si>
  <si>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</si>
  <si>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</si>
  <si>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</si>
  <si>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</si>
  <si>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</si>
  <si>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</si>
  <si>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</si>
  <si>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</si>
  <si>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</si>
  <si>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</si>
  <si>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</si>
  <si>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</si>
  <si>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</si>
  <si>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</si>
  <si>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</si>
  <si>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</si>
  <si>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</si>
  <si>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</si>
  <si>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</si>
  <si>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</si>
  <si>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</si>
  <si>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</si>
  <si>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</si>
  <si>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</si>
  <si>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</si>
  <si>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</si>
  <si>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</si>
  <si>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</si>
  <si>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</si>
  <si>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</si>
  <si>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</si>
  <si>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</si>
  <si>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</si>
  <si>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</si>
  <si>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</si>
  <si>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</si>
  <si>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</si>
  <si>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</si>
  <si>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</si>
  <si>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</si>
  <si>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</si>
  <si>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</si>
  <si>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</si>
  <si>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</si>
  <si>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</si>
  <si>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</si>
  <si>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</si>
  <si>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</si>
  <si>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</si>
  <si>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</si>
  <si>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</si>
  <si>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</si>
  <si>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</si>
  <si>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</si>
  <si>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</si>
  <si>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</si>
  <si>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</si>
  <si>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</si>
  <si>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</si>
  <si>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</si>
  <si>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</si>
  <si>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</si>
  <si>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</si>
  <si>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</si>
  <si>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</si>
  <si>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</si>
  <si>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</si>
  <si>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</si>
  <si>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</si>
  <si>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</si>
  <si>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</si>
  <si>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</si>
  <si>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</si>
  <si>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</si>
  <si>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</si>
  <si>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</si>
  <si>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</si>
  <si>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</si>
  <si>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</si>
  <si>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</si>
  <si>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</si>
  <si>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</si>
  <si>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</si>
  <si>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</si>
  <si>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</si>
  <si>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</si>
  <si>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</si>
  <si>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</si>
  <si>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</si>
  <si>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</si>
  <si>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</si>
  <si>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</si>
  <si>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</si>
  <si>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</si>
  <si>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</si>
  <si>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</si>
  <si>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</si>
  <si>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</si>
  <si>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</si>
  <si>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</si>
  <si>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</si>
  <si>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</si>
  <si>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</si>
  <si>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</si>
  <si>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</si>
  <si>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</si>
  <si>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</si>
  <si>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</si>
  <si>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</si>
  <si>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</si>
  <si>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</si>
  <si>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</si>
  <si>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</si>
  <si>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</si>
  <si>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</si>
  <si>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</si>
  <si>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</si>
  <si>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</si>
  <si>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</si>
  <si>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</si>
  <si>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</si>
  <si>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</si>
  <si>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</si>
  <si>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</si>
  <si>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</si>
  <si>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</si>
  <si>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</si>
  <si>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</si>
  <si>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</si>
  <si>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</si>
  <si>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</si>
  <si>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</si>
  <si>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</si>
  <si>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</si>
  <si>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</si>
  <si>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</si>
  <si>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</si>
  <si>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</si>
  <si>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</si>
  <si>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</si>
  <si>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</si>
  <si>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</si>
  <si>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</si>
  <si>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</si>
  <si>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</si>
  <si>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</si>
  <si>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</si>
  <si>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</si>
  <si>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</si>
  <si>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</si>
  <si>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</si>
  <si>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</si>
  <si>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</si>
  <si>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</si>
  <si>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</si>
  <si>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</si>
  <si>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</si>
  <si>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</si>
  <si>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</si>
  <si>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</si>
  <si>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</si>
  <si>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</si>
  <si>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</si>
  <si>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</si>
  <si>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</si>
  <si>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</si>
  <si>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</si>
  <si>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</si>
  <si>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</si>
  <si>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</si>
  <si>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</si>
  <si>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</si>
  <si>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</si>
  <si>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</si>
  <si>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</si>
  <si>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</si>
  <si>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</si>
  <si>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</si>
  <si>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</si>
  <si>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</si>
  <si>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</si>
  <si>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</si>
  <si>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</si>
  <si>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</si>
  <si>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</si>
  <si>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</si>
  <si>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</si>
  <si>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</si>
  <si>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</si>
  <si>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</si>
  <si>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</si>
  <si>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</si>
  <si>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</si>
  <si>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</si>
  <si>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</si>
  <si>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</si>
  <si>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</si>
  <si>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</si>
  <si>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</si>
  <si>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</si>
  <si>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</si>
  <si>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</si>
  <si>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</si>
  <si>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</si>
  <si>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</si>
  <si>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</si>
  <si>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</si>
  <si>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</si>
  <si>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</si>
  <si>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</si>
  <si>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</si>
  <si>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</si>
  <si>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</si>
  <si>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</si>
  <si>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</si>
  <si>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</si>
  <si>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</si>
  <si>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</si>
  <si>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</si>
  <si>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</si>
  <si>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</si>
  <si>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</si>
  <si>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</si>
  <si>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</si>
  <si>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</si>
  <si>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</si>
  <si>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</si>
  <si>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</si>
  <si>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</si>
  <si>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</si>
  <si>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</si>
  <si>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</si>
  <si>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</si>
  <si>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</si>
  <si>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</si>
  <si>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</si>
  <si>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</si>
  <si>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</si>
  <si>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</si>
  <si>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</si>
  <si>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</si>
  <si>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</si>
  <si>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</si>
  <si>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</si>
  <si>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</si>
  <si>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</si>
  <si>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</si>
  <si>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</si>
  <si>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</si>
  <si>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</si>
  <si>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</si>
  <si>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</si>
  <si>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</si>
  <si>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</si>
  <si>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</si>
  <si>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</si>
  <si>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</si>
  <si>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</si>
  <si>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</si>
  <si>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</si>
  <si>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</si>
  <si>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</si>
  <si>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</si>
  <si>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</si>
  <si>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</si>
  <si>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</si>
  <si>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</si>
  <si>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</si>
  <si>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</si>
  <si>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</si>
  <si>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</si>
  <si>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</si>
  <si>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</si>
  <si>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</si>
  <si>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</si>
  <si>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</si>
  <si>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</si>
  <si>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</si>
  <si>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</si>
  <si>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</si>
  <si>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</si>
  <si>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</si>
  <si>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</si>
  <si>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</si>
  <si>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</si>
  <si>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</si>
  <si>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</si>
  <si>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</si>
  <si>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</si>
  <si>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</si>
  <si>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</si>
  <si>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</si>
  <si>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</si>
  <si>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</si>
  <si>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</si>
  <si>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</si>
  <si>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</si>
  <si>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</si>
  <si>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</si>
  <si>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</si>
  <si>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</si>
  <si>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</si>
  <si>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</si>
  <si>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</si>
  <si>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</si>
  <si>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</si>
  <si>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</si>
  <si>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</si>
  <si>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</si>
  <si>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</si>
  <si>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</si>
  <si>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</si>
  <si>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</si>
  <si>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</si>
  <si>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</si>
  <si>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</si>
  <si>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</si>
  <si>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</si>
  <si>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</si>
  <si>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</si>
  <si>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</si>
  <si>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</si>
  <si>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</si>
  <si>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</si>
  <si>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</si>
  <si>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</si>
  <si>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</si>
  <si>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</si>
  <si>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</si>
  <si>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</si>
  <si>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</si>
  <si>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</si>
  <si>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</si>
  <si>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</si>
  <si>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</si>
  <si>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</si>
  <si>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</si>
  <si>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</si>
  <si>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</si>
  <si>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</si>
  <si>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</si>
  <si>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</si>
  <si>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</si>
  <si>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</si>
  <si>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</si>
  <si>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</si>
  <si>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</si>
  <si>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</si>
  <si>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</si>
  <si>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</si>
  <si>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</si>
  <si>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</si>
  <si>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</si>
  <si>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</si>
  <si>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</si>
  <si>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</si>
  <si>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</si>
  <si>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</si>
  <si>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</si>
  <si>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</si>
  <si>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</si>
  <si>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</si>
  <si>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</si>
  <si>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</si>
  <si>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</si>
  <si>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</si>
  <si>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</si>
  <si>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</si>
  <si>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</si>
  <si>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</si>
  <si>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</si>
  <si>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</si>
  <si>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</si>
  <si>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</si>
  <si>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</si>
  <si>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</si>
  <si>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</si>
  <si>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</si>
  <si>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</si>
  <si>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</si>
  <si>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</si>
  <si>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</si>
  <si>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</si>
  <si>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</si>
  <si>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</si>
  <si>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</si>
  <si>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</si>
  <si>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</si>
  <si>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</si>
  <si>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</si>
  <si>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</si>
  <si>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</si>
  <si>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</si>
  <si>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</si>
  <si>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</si>
  <si>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</si>
  <si>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</si>
  <si>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</si>
  <si>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</si>
  <si>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</si>
  <si>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</si>
  <si>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</si>
  <si>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</si>
  <si>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</si>
  <si>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</si>
  <si>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</si>
  <si>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</si>
  <si>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</si>
  <si>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</si>
  <si>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</si>
  <si>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</si>
  <si>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</si>
  <si>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</si>
  <si>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</si>
  <si>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</si>
  <si>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</si>
  <si>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</si>
  <si>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</si>
  <si>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</si>
  <si>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</si>
  <si>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</si>
  <si>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</si>
  <si>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</si>
  <si>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</si>
  <si>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</si>
  <si>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</si>
  <si>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</si>
  <si>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</si>
  <si>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</si>
  <si>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</si>
  <si>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</si>
  <si>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</si>
  <si>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</si>
  <si>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</si>
  <si>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</si>
  <si>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</si>
  <si>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</si>
  <si>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</si>
  <si>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</si>
  <si>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</si>
  <si>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</si>
  <si>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</si>
  <si>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</si>
  <si>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</si>
  <si>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</si>
  <si>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</si>
  <si>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</si>
  <si>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</si>
  <si>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</si>
  <si>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</si>
  <si>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</si>
  <si>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</si>
  <si>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</si>
  <si>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</si>
  <si>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</si>
  <si>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</si>
  <si>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</si>
  <si>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</si>
  <si>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</si>
  <si>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</si>
  <si>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</si>
  <si>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</si>
  <si>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</si>
  <si>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</si>
  <si>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</si>
  <si>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</si>
  <si>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</si>
  <si>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</si>
  <si>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</si>
  <si>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</si>
  <si>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</si>
  <si>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</si>
  <si>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</si>
  <si>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</si>
  <si>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</si>
  <si>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</si>
  <si>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</si>
  <si>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</si>
  <si>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</si>
  <si>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</si>
  <si>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</si>
  <si>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</si>
  <si>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</si>
  <si>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</si>
  <si>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</si>
  <si>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</si>
  <si>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</si>
  <si>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</si>
  <si>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</si>
  <si>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</si>
  <si>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</si>
  <si>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</si>
  <si>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</si>
  <si>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</si>
  <si>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</si>
  <si>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</si>
  <si>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</si>
  <si>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</si>
  <si>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</si>
  <si>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</si>
  <si>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</si>
  <si>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</si>
  <si>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</si>
  <si>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</si>
  <si>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</si>
  <si>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</si>
  <si>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</si>
  <si>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</si>
  <si>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</si>
  <si>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</si>
  <si>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</si>
  <si>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</si>
  <si>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</si>
  <si>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</si>
  <si>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</si>
  <si>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</si>
  <si>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</si>
  <si>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</si>
  <si>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</si>
  <si>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</si>
  <si>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</si>
  <si>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</si>
  <si>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</si>
  <si>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</si>
  <si>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</si>
  <si>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</si>
  <si>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</si>
  <si>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</si>
  <si>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</si>
  <si>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</si>
  <si>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</si>
  <si>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</si>
  <si>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</si>
  <si>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</si>
  <si>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</si>
  <si>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</si>
  <si>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</si>
  <si>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</si>
  <si>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</si>
  <si>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</si>
  <si>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</si>
  <si>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</si>
  <si>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</si>
  <si>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</si>
  <si>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</si>
  <si>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</si>
  <si>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</si>
  <si>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</si>
  <si>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</si>
  <si>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</si>
  <si>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</si>
  <si>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</si>
  <si>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</si>
  <si>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</si>
  <si>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</si>
  <si>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</si>
  <si>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</si>
  <si>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</si>
  <si>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</si>
  <si>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</si>
  <si>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</si>
  <si>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</si>
  <si>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</si>
  <si>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</si>
  <si>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</si>
  <si>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</si>
  <si>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</si>
  <si>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</si>
  <si>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</si>
  <si>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</si>
  <si>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</si>
  <si>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</si>
  <si>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</si>
  <si>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</si>
  <si>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</si>
  <si>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</si>
  <si>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</si>
  <si>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</si>
  <si>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</si>
  <si>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</si>
  <si>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</si>
  <si>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</si>
  <si>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</si>
  <si>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</si>
  <si>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</si>
  <si>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</si>
  <si>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</si>
  <si>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</si>
  <si>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</si>
  <si>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</si>
  <si>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</si>
  <si>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</si>
  <si>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</si>
  <si>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</si>
  <si>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</si>
  <si>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</si>
  <si>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</si>
  <si>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</si>
  <si>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</si>
  <si>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</si>
  <si>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</si>
  <si>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</si>
  <si>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</si>
  <si>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</si>
  <si>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</si>
  <si>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</si>
  <si>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</si>
  <si>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</si>
  <si>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</si>
  <si>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</si>
  <si>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</si>
  <si>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</si>
  <si>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</si>
  <si>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</si>
  <si>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</si>
  <si>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</si>
  <si>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</si>
  <si>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</si>
  <si>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</si>
  <si>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</si>
  <si>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</si>
  <si>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</si>
  <si>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</si>
  <si>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</si>
  <si>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</si>
  <si>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</si>
  <si>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</si>
  <si>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</si>
  <si>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</si>
  <si>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</si>
  <si>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</si>
  <si>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</si>
  <si>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</si>
  <si>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</si>
  <si>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</si>
  <si>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</si>
  <si>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</si>
  <si>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</si>
  <si>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</si>
  <si>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</si>
  <si>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</si>
  <si>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</si>
  <si>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</si>
  <si>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</si>
  <si>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</si>
  <si>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</si>
  <si>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</si>
  <si>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</si>
  <si>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</si>
  <si>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</si>
  <si>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</si>
  <si>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</si>
  <si>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</si>
  <si>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</si>
  <si>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</si>
  <si>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</si>
  <si>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</si>
  <si>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</si>
  <si>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</si>
  <si>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</si>
  <si>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</si>
  <si>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</si>
  <si>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</si>
  <si>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</si>
  <si>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</si>
  <si>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</si>
  <si>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</si>
  <si>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</si>
  <si>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</si>
  <si>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</si>
  <si>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</si>
  <si>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</si>
  <si>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</si>
  <si>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</si>
  <si>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</si>
  <si>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</si>
  <si>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</si>
  <si>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</si>
  <si>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</si>
  <si>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</si>
  <si>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</si>
  <si>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</si>
  <si>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</si>
  <si>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</si>
  <si>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</si>
  <si>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</si>
  <si>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</si>
  <si>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</si>
  <si>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</si>
  <si>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</si>
  <si>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</si>
  <si>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</si>
  <si>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</si>
  <si>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</si>
  <si>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</si>
  <si>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</si>
  <si>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</si>
  <si>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</si>
  <si>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</si>
  <si>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</si>
  <si>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</si>
  <si>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</si>
  <si>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</si>
  <si>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</si>
  <si>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</si>
  <si>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</si>
  <si>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</si>
  <si>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</si>
  <si>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</si>
  <si>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</si>
  <si>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</si>
  <si>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</si>
  <si>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</si>
  <si>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</si>
  <si>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</si>
  <si>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</si>
  <si>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</si>
  <si>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</si>
  <si>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</si>
  <si>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</si>
  <si>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</si>
  <si>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</si>
  <si>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</si>
  <si>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</si>
  <si>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</si>
  <si>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</si>
  <si>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</si>
  <si>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</si>
  <si>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</si>
  <si>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</si>
  <si>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</si>
  <si>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</si>
  <si>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</si>
  <si>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</si>
  <si>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</si>
  <si>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</si>
  <si>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</si>
  <si>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</si>
  <si>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</si>
  <si>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</si>
  <si>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</si>
  <si>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</si>
  <si>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</si>
  <si>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</si>
  <si>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</si>
  <si>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</si>
  <si>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</si>
  <si>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</si>
  <si>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</si>
  <si>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</si>
  <si>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</si>
  <si>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</si>
  <si>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</si>
  <si>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</si>
  <si>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</si>
  <si>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</si>
  <si>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</si>
  <si>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</si>
  <si>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</si>
  <si>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</si>
  <si>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</si>
  <si>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</si>
  <si>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</si>
  <si>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</si>
  <si>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</si>
  <si>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</si>
  <si>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</si>
  <si>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</si>
  <si>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</si>
  <si>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</si>
  <si>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</si>
  <si>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</si>
  <si>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</si>
  <si>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</si>
  <si>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</si>
  <si>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</si>
  <si>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</si>
  <si>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</si>
  <si>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</si>
  <si>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</si>
  <si>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</si>
  <si>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</si>
  <si>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</si>
  <si>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</si>
  <si>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</si>
  <si>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</si>
  <si>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</si>
  <si>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</si>
  <si>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</si>
  <si>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</si>
  <si>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</si>
  <si>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</si>
  <si>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</si>
  <si>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</si>
  <si>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</si>
  <si>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</si>
  <si>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</si>
  <si>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</si>
  <si>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</si>
  <si>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</si>
  <si>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</si>
  <si>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</si>
  <si>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</si>
  <si>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</si>
  <si>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</si>
  <si>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</si>
  <si>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</si>
  <si>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</si>
  <si>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</si>
  <si>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</si>
  <si>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</si>
  <si>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</si>
  <si>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</si>
  <si>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</si>
  <si>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</si>
  <si>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</si>
  <si>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</si>
  <si>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</si>
  <si>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</si>
  <si>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</si>
  <si>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</si>
  <si>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</si>
  <si>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</si>
  <si>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</si>
  <si>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</si>
  <si>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</si>
  <si>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</si>
  <si>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</si>
  <si>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</si>
  <si>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</si>
  <si>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</si>
  <si>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</si>
  <si>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</si>
  <si>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</si>
  <si>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</si>
  <si>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</si>
  <si>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</si>
  <si>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</si>
  <si>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</si>
  <si>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</si>
  <si>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</si>
  <si>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</si>
  <si>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</si>
  <si>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</si>
  <si>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</si>
  <si>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</si>
  <si>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</si>
  <si>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</si>
  <si>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</si>
  <si>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</si>
  <si>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</si>
  <si>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</si>
  <si>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</si>
  <si>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</si>
  <si>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</si>
  <si>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</si>
  <si>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</si>
  <si>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</si>
  <si>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</si>
  <si>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</si>
  <si>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</si>
  <si>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</si>
  <si>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</si>
  <si>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</si>
  <si>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</si>
  <si>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</si>
  <si>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</si>
  <si>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</si>
  <si>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</si>
  <si>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</si>
  <si>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</si>
  <si>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</si>
  <si>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</si>
  <si>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</si>
  <si>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</si>
  <si>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</si>
  <si>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</si>
  <si>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</si>
  <si>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</si>
  <si>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</si>
  <si>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</si>
  <si>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</si>
  <si>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</si>
  <si>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</si>
  <si>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</si>
  <si>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</si>
  <si>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</si>
  <si>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</si>
  <si>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</si>
  <si>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</si>
  <si>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</si>
  <si>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</si>
  <si>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</si>
  <si>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</si>
  <si>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</si>
  <si>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</si>
  <si>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</si>
  <si>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</si>
  <si>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</si>
  <si>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</si>
  <si>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</si>
  <si>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</si>
  <si>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</si>
  <si>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</si>
  <si>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</si>
  <si>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</si>
  <si>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</si>
  <si>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</si>
  <si>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</si>
  <si>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</si>
  <si>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</si>
  <si>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</si>
  <si>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</si>
  <si>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</si>
  <si>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</si>
  <si>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</si>
  <si>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</si>
  <si>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</si>
  <si>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</si>
  <si>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</si>
  <si>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</si>
  <si>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</si>
  <si>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</si>
  <si>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</si>
  <si>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</si>
  <si>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</si>
  <si>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</si>
  <si>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</si>
  <si>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</si>
  <si>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</si>
  <si>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</si>
  <si>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</si>
  <si>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</si>
  <si>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</si>
  <si>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</si>
  <si>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</si>
  <si>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</si>
  <si>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</si>
  <si>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</si>
  <si>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</si>
  <si>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</si>
  <si>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</si>
  <si>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</si>
  <si>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</si>
  <si>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</si>
  <si>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</si>
  <si>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</si>
  <si>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</si>
  <si>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</si>
  <si>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</si>
  <si>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</si>
  <si>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</si>
  <si>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</si>
  <si>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</si>
  <si>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</si>
  <si>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</si>
  <si>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</si>
  <si>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</si>
  <si>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</si>
  <si>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</si>
  <si>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</si>
  <si>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</si>
  <si>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</si>
  <si>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</si>
  <si>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</si>
  <si>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</si>
  <si>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</si>
  <si>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</si>
  <si>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</si>
  <si>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</si>
  <si>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</si>
  <si>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</si>
  <si>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</si>
  <si>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</si>
  <si>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</si>
  <si>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</si>
  <si>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</si>
  <si>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</si>
  <si>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</si>
  <si>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</si>
  <si>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</si>
  <si>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</si>
  <si>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</si>
  <si>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</si>
  <si>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</si>
  <si>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</si>
  <si>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</si>
  <si>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</si>
  <si>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</si>
  <si>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</si>
  <si>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</si>
  <si>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</si>
  <si>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</si>
  <si>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</si>
  <si>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</si>
  <si>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</si>
  <si>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</si>
  <si>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</si>
  <si>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</si>
  <si>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</si>
  <si>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</si>
  <si>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</si>
  <si>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</si>
  <si>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</si>
  <si>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</si>
  <si>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</si>
  <si>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</si>
  <si>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</si>
  <si>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</si>
  <si>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</si>
  <si>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</si>
  <si>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</si>
  <si>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</si>
  <si>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</si>
  <si>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</si>
  <si>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</si>
  <si>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</si>
  <si>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</si>
  <si>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</si>
  <si>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</si>
  <si>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</si>
  <si>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</si>
  <si>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</si>
  <si>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</si>
  <si>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</si>
  <si>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</si>
  <si>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</si>
  <si>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</si>
  <si>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</si>
  <si>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</si>
  <si>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</si>
  <si>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</si>
  <si>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</si>
  <si>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</si>
  <si>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</si>
  <si>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</si>
  <si>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</si>
  <si>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</si>
  <si>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</si>
  <si>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</si>
  <si>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</si>
  <si>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</si>
  <si>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</si>
  <si>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</si>
  <si>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</si>
  <si>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</si>
  <si>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</si>
  <si>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</si>
  <si>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</si>
  <si>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</si>
  <si>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</si>
  <si>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</si>
  <si>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</si>
  <si>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</si>
  <si>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</si>
  <si>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</si>
  <si>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</si>
  <si>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</si>
  <si>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</si>
  <si>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</si>
  <si>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</si>
  <si>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</si>
  <si>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</si>
  <si>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</si>
  <si>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</si>
  <si>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</si>
  <si>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</si>
  <si>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</si>
  <si>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</si>
  <si>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</si>
  <si>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</si>
  <si>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</si>
  <si>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</si>
  <si>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</si>
  <si>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</si>
  <si>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</si>
  <si>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</si>
  <si>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</si>
  <si>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</si>
  <si>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</si>
  <si>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</si>
  <si>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</si>
  <si>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</si>
  <si>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</si>
  <si>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</si>
  <si>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</si>
  <si>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</si>
  <si>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</si>
  <si>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</si>
  <si>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</si>
  <si>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</si>
  <si>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</si>
  <si>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</si>
  <si>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</si>
  <si>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</si>
  <si>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</si>
  <si>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</si>
  <si>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</si>
  <si>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</si>
  <si>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</si>
  <si>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</si>
  <si>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</si>
  <si>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</si>
  <si>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</si>
  <si>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</si>
  <si>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</si>
  <si>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</si>
  <si>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</si>
  <si>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</si>
  <si>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</si>
  <si>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</si>
  <si>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</si>
  <si>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</si>
  <si>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</si>
  <si>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</si>
  <si>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</si>
  <si>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</si>
  <si>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</si>
  <si>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</si>
  <si>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</si>
  <si>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</si>
  <si>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</si>
  <si>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</si>
  <si>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</si>
  <si>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</si>
  <si>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</si>
  <si>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</si>
  <si>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</si>
  <si>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</si>
  <si>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</si>
  <si>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</si>
  <si>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</si>
  <si>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</si>
  <si>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</si>
  <si>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</si>
  <si>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</si>
  <si>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</si>
  <si>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</si>
  <si>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</si>
  <si>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</si>
  <si>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</si>
  <si>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</si>
  <si>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</si>
  <si>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</si>
  <si>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</si>
  <si>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</si>
  <si>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</si>
  <si>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</si>
  <si>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</si>
  <si>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</si>
  <si>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</si>
  <si>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</si>
  <si>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</si>
  <si>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</si>
  <si>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</si>
  <si>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</si>
  <si>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</si>
  <si>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</si>
  <si>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</si>
  <si>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</si>
  <si>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</si>
  <si>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</si>
  <si>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</si>
  <si>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</si>
  <si>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</si>
  <si>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</si>
  <si>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</si>
  <si>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</si>
  <si>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</si>
  <si>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</si>
  <si>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</si>
  <si>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</si>
  <si>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</si>
  <si>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</si>
  <si>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</si>
  <si>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</si>
  <si>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</si>
  <si>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</si>
  <si>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</si>
  <si>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</si>
  <si>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</si>
  <si>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</si>
  <si>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</si>
  <si>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</si>
  <si>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</si>
  <si>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</si>
  <si>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</si>
  <si>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</si>
  <si>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</si>
  <si>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</si>
  <si>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</si>
  <si>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</si>
  <si>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</si>
  <si>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</si>
  <si>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</si>
  <si>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</si>
  <si>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</si>
  <si>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</si>
  <si>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</si>
  <si>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</si>
  <si>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</si>
  <si>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</si>
  <si>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</si>
  <si>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</si>
  <si>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</si>
  <si>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</si>
  <si>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</si>
  <si>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</si>
  <si>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</si>
  <si>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</si>
  <si>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</si>
  <si>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</si>
  <si>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</si>
  <si>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</si>
  <si>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</si>
  <si>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</si>
  <si>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</si>
  <si>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</si>
  <si>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</si>
  <si>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</si>
  <si>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</si>
  <si>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</si>
  <si>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</si>
  <si>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</si>
  <si>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</si>
  <si>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</si>
  <si>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</si>
  <si>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</si>
  <si>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</si>
  <si>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</si>
  <si>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</si>
  <si>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</si>
  <si>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</si>
  <si>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</si>
  <si>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</si>
  <si>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</si>
  <si>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</si>
  <si>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</si>
  <si>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</si>
  <si>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</si>
  <si>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</si>
  <si>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</si>
  <si>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</si>
  <si>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</si>
  <si>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</si>
  <si>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</si>
  <si>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</si>
  <si>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</si>
  <si>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</si>
  <si>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</si>
  <si>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</si>
  <si>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</si>
  <si>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</si>
  <si>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</si>
  <si>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</si>
  <si>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</si>
  <si>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</si>
  <si>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</si>
  <si>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</si>
  <si>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</si>
  <si>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</si>
  <si>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</si>
  <si>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</si>
  <si>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</si>
  <si>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</si>
  <si>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</si>
  <si>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</si>
  <si>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</si>
  <si>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</si>
  <si>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</si>
  <si>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</si>
  <si>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</si>
  <si>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</si>
  <si>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</si>
  <si>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</si>
  <si>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</si>
  <si>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</si>
  <si>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</si>
  <si>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</si>
  <si>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</si>
  <si>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</si>
  <si>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</si>
  <si>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</si>
  <si>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</si>
  <si>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</si>
  <si>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</si>
  <si>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</si>
  <si>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</si>
  <si>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</si>
  <si>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</si>
  <si>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</si>
  <si>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</si>
  <si>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</si>
  <si>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</si>
  <si>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</si>
  <si>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</si>
  <si>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</si>
  <si>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</si>
  <si>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</si>
  <si>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</si>
  <si>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</si>
  <si>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</si>
  <si>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</si>
  <si>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</si>
  <si>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</si>
  <si>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</si>
  <si>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</si>
  <si>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</si>
  <si>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</si>
  <si>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</si>
  <si>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</si>
  <si>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</si>
  <si>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</si>
  <si>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</si>
  <si>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</si>
  <si>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</si>
  <si>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</si>
  <si>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</si>
  <si>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</si>
  <si>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</si>
  <si>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</si>
  <si>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</si>
  <si>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</si>
  <si>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</si>
  <si>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</si>
  <si>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</si>
  <si>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</si>
  <si>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</si>
  <si>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</si>
  <si>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</si>
  <si>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</si>
  <si>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</si>
  <si>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</si>
  <si>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</si>
  <si>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</si>
  <si>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</si>
  <si>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</si>
  <si>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</si>
  <si>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</si>
  <si>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</si>
  <si>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</si>
  <si>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</si>
  <si>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</si>
  <si>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</si>
  <si>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</si>
  <si>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</si>
  <si>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</si>
  <si>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</si>
  <si>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</si>
  <si>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</si>
  <si>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</si>
  <si>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</si>
  <si>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</si>
  <si>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</si>
  <si>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</si>
  <si>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</si>
  <si>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</si>
  <si>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</si>
  <si>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</si>
  <si>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</si>
  <si>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</si>
  <si>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</si>
  <si>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</si>
  <si>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</si>
  <si>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</si>
  <si>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</si>
  <si>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</si>
  <si>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</si>
  <si>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</si>
  <si>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</si>
  <si>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</si>
  <si>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</si>
  <si>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</si>
  <si>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</si>
  <si>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</si>
  <si>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</si>
  <si>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</si>
  <si>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</si>
  <si>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</si>
  <si>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</si>
  <si>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</si>
  <si>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</si>
  <si>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</si>
  <si>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</si>
  <si>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</si>
  <si>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</si>
  <si>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</si>
  <si>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</si>
  <si>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</si>
  <si>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</si>
  <si>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</si>
  <si>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</si>
  <si>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</si>
  <si>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</si>
  <si>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</si>
  <si>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</si>
  <si>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</si>
  <si>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</si>
  <si>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</si>
  <si>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</si>
  <si>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</si>
  <si>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</si>
  <si>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</si>
  <si>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</si>
  <si>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</si>
  <si>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</si>
  <si>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</si>
  <si>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</si>
  <si>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</si>
  <si>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</si>
  <si>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</si>
  <si>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</si>
  <si>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</si>
  <si>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</si>
  <si>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</si>
  <si>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</si>
  <si>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</si>
  <si>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</si>
  <si>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</si>
  <si>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</si>
  <si>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</si>
  <si>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</si>
  <si>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</si>
  <si>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</si>
  <si>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</si>
  <si>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</si>
  <si>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</si>
  <si>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</si>
  <si>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</si>
  <si>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</si>
  <si>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</si>
  <si>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</si>
  <si>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</si>
  <si>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</si>
  <si>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</si>
  <si>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</si>
  <si>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</si>
  <si>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</si>
  <si>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</si>
  <si>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</si>
  <si>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</si>
  <si>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</si>
  <si>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</si>
  <si>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</si>
  <si>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</si>
  <si>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</si>
  <si>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</si>
  <si>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</si>
  <si>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</si>
  <si>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</si>
  <si>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</si>
  <si>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</si>
  <si>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</si>
  <si>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</si>
  <si>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</si>
  <si>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</si>
  <si>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</si>
  <si>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</si>
  <si>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</si>
  <si>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</si>
  <si>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</si>
  <si>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</si>
  <si>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</si>
  <si>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</si>
  <si>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</si>
  <si>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</si>
  <si>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</si>
  <si>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</si>
  <si>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</si>
  <si>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</si>
  <si>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</si>
  <si>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</si>
  <si>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</si>
  <si>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</si>
  <si>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</si>
  <si>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</si>
  <si>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</si>
  <si>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</si>
  <si>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</si>
  <si>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</si>
  <si>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</si>
  <si>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</si>
  <si>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</si>
  <si>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</si>
  <si>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</si>
  <si>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</si>
  <si>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</si>
  <si>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</si>
  <si>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</si>
  <si>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</si>
  <si>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</si>
  <si>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</si>
  <si>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</si>
  <si>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</si>
  <si>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</si>
  <si>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</si>
  <si>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</si>
  <si>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</si>
  <si>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</si>
  <si>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</si>
  <si>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</si>
  <si>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</si>
  <si>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</si>
  <si>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</si>
  <si>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</si>
  <si>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</si>
  <si>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</si>
  <si>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</si>
  <si>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</si>
  <si>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</si>
  <si>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</si>
  <si>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</si>
  <si>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</si>
  <si>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</si>
  <si>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</si>
  <si>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</si>
  <si>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</si>
  <si>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</si>
  <si>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</si>
  <si>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</si>
  <si>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</si>
  <si>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</si>
  <si>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</si>
  <si>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</si>
  <si>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</si>
  <si>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</si>
  <si>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</si>
  <si>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</si>
  <si>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</si>
  <si>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</si>
  <si>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</si>
  <si>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</si>
  <si>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</si>
  <si>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</si>
  <si>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</si>
  <si>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</si>
  <si>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</si>
  <si>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</si>
  <si>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</si>
  <si>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</si>
  <si>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</si>
  <si>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</si>
  <si>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</si>
  <si>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</si>
  <si>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</si>
  <si>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</si>
  <si>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</si>
  <si>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</si>
  <si>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</si>
  <si>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</si>
  <si>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</si>
  <si>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</si>
  <si>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</si>
  <si>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</si>
  <si>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</si>
  <si>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</si>
  <si>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</si>
  <si>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</si>
  <si>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</si>
  <si>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</si>
  <si>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</si>
  <si>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</si>
  <si>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</si>
  <si>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</si>
  <si>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</si>
  <si>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</si>
  <si>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</si>
  <si>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</si>
  <si>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</si>
  <si>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</si>
  <si>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</si>
  <si>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</si>
  <si>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</si>
  <si>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</si>
  <si>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</si>
  <si>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</si>
  <si>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RISKI</t>
  </si>
  <si>
    <t>Customer Name</t>
  </si>
  <si>
    <t>FAILED</t>
  </si>
  <si>
    <t>Mandatory tidak lengkap dan berhasil save</t>
  </si>
  <si>
    <t>Add Asset</t>
  </si>
  <si>
    <t>Mobil;Motor</t>
  </si>
  <si>
    <t>;</t>
  </si>
  <si>
    <t>500000000;20000000</t>
  </si>
  <si>
    <t>1;</t>
  </si>
  <si>
    <t>WARNING</t>
  </si>
  <si>
    <t>Appno</t>
  </si>
  <si>
    <t>branch 1</t>
  </si>
  <si>
    <t>name 1</t>
  </si>
  <si>
    <t>2138712937</t>
  </si>
  <si>
    <t>branch 2</t>
  </si>
  <si>
    <t>name 2</t>
  </si>
  <si>
    <t>213812639</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</si>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</sst>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5" sqref="B5"/>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s="1" t="s">
        <v>4065</v>
      </c>
      <c r="C1" s="1" t="s">
        <v>4065</v>
      </c>
      <c r="D1" s="1" t="s">
        <v>3287</v>
      </c>
      <c r="E1" s="1" t="s">
        <v>3287</v>
      </c>
    </row>
    <row customFormat="1" r="2" s="1" spans="1:11" x14ac:dyDescent="0.25">
      <c r="A2" s="1" t="s">
        <v>4153</v>
      </c>
    </row>
    <row customFormat="1" r="3" s="1" spans="1:11" x14ac:dyDescent="0.25">
      <c r="A3" s="1" t="s">
        <v>4154</v>
      </c>
      <c r="B3" t="s">
        <v>4240</v>
      </c>
    </row>
    <row customFormat="1" r="4" s="1" spans="1:11" x14ac:dyDescent="0.25">
      <c r="A4" s="1" t="s">
        <v>4179</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0002APP20211200164</v>
      </c>
      <c r="C12" s="1" t="str">
        <f>'[1]1.TabCustomerMainData'!$B$13</f>
        <v>0002APP20211200164</v>
      </c>
      <c r="D12" s="1" t="str">
        <f>'[1]1.TabCustomerMainData'!$B$13</f>
        <v>0002APP20211200164</v>
      </c>
      <c r="E12" s="1" t="str">
        <f>'[1]1.TabCustomerMainData'!$B$13</f>
        <v>0002APP20211200164</v>
      </c>
    </row>
    <row customFormat="1" r="13" s="1" spans="1:11" x14ac:dyDescent="0.25">
      <c r="A13" s="47" t="s">
        <v>0</v>
      </c>
      <c r="B13" t="s">
        <v>4152</v>
      </c>
      <c r="C13" t="s">
        <v>4152</v>
      </c>
      <c r="D13" t="s">
        <v>4152</v>
      </c>
      <c r="E13" t="s">
        <v>4152</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4180</v>
      </c>
      <c r="B18" s="1" t="s">
        <v>5</v>
      </c>
      <c r="C18" s="1" t="s">
        <v>5</v>
      </c>
      <c r="D18" s="1" t="s">
        <v>5</v>
      </c>
      <c r="E18" s="1" t="s">
        <v>5</v>
      </c>
    </row>
    <row customFormat="1" r="19" s="1" spans="1:11" x14ac:dyDescent="0.25">
      <c r="A19" s="1" t="s">
        <v>4181</v>
      </c>
      <c r="B19" s="1" t="s">
        <v>5</v>
      </c>
      <c r="C19" s="1" t="s">
        <v>5</v>
      </c>
      <c r="D19" s="1" t="s">
        <v>5</v>
      </c>
      <c r="E19" s="1" t="s">
        <v>5</v>
      </c>
    </row>
    <row customFormat="1" r="20" s="1" spans="1:11" x14ac:dyDescent="0.25">
      <c r="A20" s="1" t="s">
        <v>4182</v>
      </c>
      <c r="B20" s="1" t="s">
        <v>5</v>
      </c>
      <c r="C20" s="1" t="s">
        <v>5</v>
      </c>
      <c r="D20" s="1" t="s">
        <v>5</v>
      </c>
      <c r="E20" s="1" t="s">
        <v>5</v>
      </c>
    </row>
    <row customFormat="1" r="21" s="1" spans="1:11" x14ac:dyDescent="0.25">
      <c r="A21" s="1" t="s">
        <v>7</v>
      </c>
    </row>
    <row customFormat="1" r="22" s="1" spans="1:11" x14ac:dyDescent="0.25">
      <c r="A22" s="37" t="s">
        <v>4172</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4173</v>
      </c>
      <c r="B25" s="1" t="s">
        <v>11</v>
      </c>
      <c r="C25" s="1" t="s">
        <v>11</v>
      </c>
      <c r="D25" s="1" t="s">
        <v>11</v>
      </c>
      <c r="E25" s="1" t="s">
        <v>11</v>
      </c>
    </row>
    <row customFormat="1" r="26" s="1" spans="1:1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4175</v>
      </c>
      <c r="B27" s="2" t="s">
        <v>3576</v>
      </c>
      <c r="C27" s="2" t="s">
        <v>3576</v>
      </c>
      <c r="D27" s="2" t="s">
        <v>3576</v>
      </c>
      <c r="E27" s="2" t="s">
        <v>3576</v>
      </c>
      <c r="F27" s="2"/>
      <c r="G27" s="2"/>
      <c r="H27" s="2"/>
      <c r="I27" s="2"/>
      <c r="J27" s="2"/>
      <c r="K27" s="2"/>
    </row>
    <row customFormat="1" r="28" s="1" spans="1:11" x14ac:dyDescent="0.25">
      <c r="A28" s="37" t="s">
        <v>4176</v>
      </c>
      <c r="B28" s="1" t="s">
        <v>4110</v>
      </c>
      <c r="C28" s="1" t="s">
        <v>4155</v>
      </c>
      <c r="D28" s="1" t="s">
        <v>4156</v>
      </c>
      <c r="E28" s="1" t="s">
        <v>4157</v>
      </c>
    </row>
    <row customFormat="1" r="29" s="1" spans="1:11" x14ac:dyDescent="0.25">
      <c r="A29" s="37" t="s">
        <v>4177</v>
      </c>
      <c r="B29" s="1" t="s">
        <v>4105</v>
      </c>
      <c r="C29" s="1" t="s">
        <v>4105</v>
      </c>
      <c r="D29" s="1" t="s">
        <v>4105</v>
      </c>
      <c r="E29" s="1" t="s">
        <v>4105</v>
      </c>
    </row>
    <row customFormat="1" r="30" s="1" spans="1:11" x14ac:dyDescent="0.25">
      <c r="A30" s="36" t="s">
        <v>4178</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9" sqref="B9:B10"/>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4242</v>
      </c>
      <c r="C1" t="s">
        <v>4242</v>
      </c>
      <c r="D1" s="1" t="s">
        <v>3287</v>
      </c>
      <c r="E1" s="1" t="s">
        <v>3287</v>
      </c>
    </row>
    <row customFormat="1" r="2" s="1" spans="1:11" x14ac:dyDescent="0.25">
      <c r="A2" s="1" t="s">
        <v>4153</v>
      </c>
      <c r="B2" t="s">
        <v>4243</v>
      </c>
      <c r="C2" t="s">
        <v>4243</v>
      </c>
    </row>
    <row customFormat="1" r="3" s="1" spans="1:11" x14ac:dyDescent="0.25">
      <c r="A3" s="1" t="s">
        <v>4154</v>
      </c>
    </row>
    <row customFormat="1" r="4" s="1" spans="1:11" x14ac:dyDescent="0.25">
      <c r="A4" s="1" t="s">
        <v>4179</v>
      </c>
      <c r="B4" s="1">
        <f>IF(B13="",COUNTIFS($A$12:$A$32, "*$*",B12:B32,""),0)</f>
        <v>2</v>
      </c>
      <c r="C4" s="1">
        <f>IF(C13="",COUNTIFS($A$12:$A$32, "*$*",C12:C32,""),0)</f>
        <v>2</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3562</v>
      </c>
      <c r="B9" s="1" t="str">
        <f>'1.CustomerDetail'!B12</f>
        <v>0002APP20211200164</v>
      </c>
      <c r="C9" s="1" t="str">
        <f>'1.CustomerDetail'!C12</f>
        <v>0002APP20211200164</v>
      </c>
    </row>
    <row customFormat="1" r="10" s="1" spans="1:11" x14ac:dyDescent="0.25">
      <c r="A10" s="1" t="s">
        <v>4241</v>
      </c>
      <c r="B10" s="1" t="str">
        <f>'1.CustomerDetail'!B13</f>
        <v>hendry</v>
      </c>
      <c r="C10" s="1" t="str">
        <f>'1.CustomerDetail'!C13</f>
        <v>hendry</v>
      </c>
    </row>
    <row customFormat="1" r="11" s="53" spans="1:11" x14ac:dyDescent="0.25">
      <c r="B11" s="54"/>
      <c r="C11" s="54"/>
    </row>
    <row customFormat="1" r="12" s="1" spans="1:11" x14ac:dyDescent="0.25">
      <c r="A12" s="37" t="s">
        <v>4183</v>
      </c>
      <c r="B12" s="1" t="s">
        <v>13</v>
      </c>
      <c r="C12" s="1" t="s">
        <v>13</v>
      </c>
      <c r="D12" s="1" t="s">
        <v>13</v>
      </c>
      <c r="E12" s="1" t="s">
        <v>13</v>
      </c>
    </row>
    <row customFormat="1" r="13" s="1" spans="1:11" x14ac:dyDescent="0.25">
      <c r="A13" s="1" t="s">
        <v>14</v>
      </c>
    </row>
    <row customFormat="1" r="14" s="1" spans="1:11" x14ac:dyDescent="0.25">
      <c r="A14" s="37" t="s">
        <v>4184</v>
      </c>
      <c r="B14" s="1" t="s">
        <v>16</v>
      </c>
      <c r="C14" s="1" t="s">
        <v>17</v>
      </c>
      <c r="D14" s="1" t="s">
        <v>18</v>
      </c>
      <c r="E14" s="1" t="s">
        <v>19</v>
      </c>
    </row>
    <row customFormat="1" r="15" s="1" spans="1:11" x14ac:dyDescent="0.25">
      <c r="A15" s="37" t="s">
        <v>4185</v>
      </c>
      <c r="B15" s="2">
        <v>23</v>
      </c>
      <c r="C15" s="2">
        <v>23</v>
      </c>
      <c r="D15" s="2">
        <v>23</v>
      </c>
      <c r="E15" s="2">
        <v>23</v>
      </c>
      <c r="F15" s="2"/>
      <c r="G15" s="2"/>
      <c r="H15" s="2"/>
      <c r="I15" s="2"/>
      <c r="J15" s="2"/>
      <c r="K15" s="2"/>
    </row>
    <row customFormat="1" r="16" s="1" spans="1:11" x14ac:dyDescent="0.25">
      <c r="A16" s="37" t="s">
        <v>4186</v>
      </c>
      <c r="B16" s="2">
        <v>12</v>
      </c>
      <c r="C16" s="2">
        <v>12</v>
      </c>
      <c r="D16" s="2">
        <v>12</v>
      </c>
      <c r="E16" s="2">
        <v>12</v>
      </c>
      <c r="F16" s="2"/>
      <c r="G16" s="2"/>
      <c r="H16" s="2"/>
      <c r="I16" s="2"/>
      <c r="J16" s="2"/>
      <c r="K16" s="2"/>
    </row>
    <row customFormat="1" r="17" s="1" spans="1:11" x14ac:dyDescent="0.25">
      <c r="A17" s="37" t="s">
        <v>4187</v>
      </c>
      <c r="B17" s="2">
        <v>11530</v>
      </c>
      <c r="C17" s="2">
        <v>11530</v>
      </c>
      <c r="D17" s="2">
        <v>11530</v>
      </c>
      <c r="E17" s="2">
        <v>11530</v>
      </c>
      <c r="F17" s="2"/>
      <c r="G17" s="2"/>
      <c r="H17" s="2"/>
      <c r="I17" s="2"/>
      <c r="J17" s="2"/>
      <c r="K17" s="2"/>
    </row>
    <row customFormat="1" r="18" s="1" spans="1:11" x14ac:dyDescent="0.25">
      <c r="A18" s="37" t="s">
        <v>4188</v>
      </c>
      <c r="B18" s="1" t="s">
        <v>24</v>
      </c>
      <c r="C18" s="1" t="s">
        <v>24</v>
      </c>
      <c r="D18" s="1" t="s">
        <v>24</v>
      </c>
      <c r="E18" s="1" t="s">
        <v>24</v>
      </c>
    </row>
    <row customFormat="1" r="19" s="1" spans="1:11" x14ac:dyDescent="0.25">
      <c r="A19" s="37" t="s">
        <v>4189</v>
      </c>
      <c r="B19" s="1" t="s">
        <v>24</v>
      </c>
      <c r="C19" s="1" t="s">
        <v>24</v>
      </c>
      <c r="D19" s="1" t="s">
        <v>24</v>
      </c>
      <c r="E19" s="1" t="s">
        <v>24</v>
      </c>
    </row>
    <row customFormat="1" r="20" s="1" spans="1:11" x14ac:dyDescent="0.25">
      <c r="A20" s="37" t="s">
        <v>4190</v>
      </c>
      <c r="B20" s="1" t="s">
        <v>252</v>
      </c>
      <c r="C20" s="1" t="s">
        <v>252</v>
      </c>
      <c r="D20" s="1" t="s">
        <v>252</v>
      </c>
      <c r="E20" s="1" t="s">
        <v>252</v>
      </c>
    </row>
    <row customFormat="1" r="21" s="1" spans="1:11" x14ac:dyDescent="0.25">
      <c r="A21" s="37" t="s">
        <v>4191</v>
      </c>
      <c r="B21" s="2"/>
      <c r="C21" s="2"/>
      <c r="D21" s="2"/>
      <c r="E21" s="2"/>
      <c r="F21" s="2"/>
      <c r="G21" s="2"/>
      <c r="H21" s="2"/>
      <c r="I21" s="2"/>
      <c r="J21" s="2"/>
      <c r="K21" s="2"/>
    </row>
    <row customFormat="1" r="22" s="1" spans="1:11" x14ac:dyDescent="0.25">
      <c r="A22" s="37" t="s">
        <v>4192</v>
      </c>
      <c r="B22" s="2"/>
      <c r="C22" s="2"/>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4193</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4" sqref="B4"/>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5" spans="1:11" x14ac:dyDescent="0.25">
      <c r="A11" s="62" t="s">
        <v>4239</v>
      </c>
      <c r="B11" s="63"/>
      <c r="C11" s="63"/>
      <c r="D11" s="63"/>
      <c r="E11" s="63"/>
      <c r="F11" s="63"/>
      <c r="G11" s="63"/>
      <c r="H11" s="63"/>
      <c r="I11" s="63"/>
      <c r="J11" s="63"/>
      <c r="K11" s="64"/>
    </row>
    <row customFormat="1" r="12" s="1" spans="1:11" x14ac:dyDescent="0.25">
      <c r="A12" s="1" t="s">
        <v>4239</v>
      </c>
      <c r="B12" s="1" t="s">
        <v>4236</v>
      </c>
      <c r="C12" s="1" t="s">
        <v>4237</v>
      </c>
      <c r="D12" s="1" t="s">
        <v>4238</v>
      </c>
    </row>
    <row customFormat="1" r="13" s="65" spans="1:11" x14ac:dyDescent="0.25">
      <c r="A13" s="62" t="s">
        <v>3563</v>
      </c>
      <c r="B13" s="63"/>
      <c r="C13" s="63"/>
      <c r="D13" s="63"/>
      <c r="E13" s="63"/>
      <c r="F13" s="63"/>
      <c r="G13" s="63"/>
      <c r="H13" s="63"/>
      <c r="I13" s="63"/>
      <c r="J13" s="63"/>
      <c r="K13" s="64"/>
    </row>
    <row customFormat="1" r="14" s="1" spans="1:1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4228</v>
      </c>
      <c r="B15" s="3" t="s">
        <v>65</v>
      </c>
      <c r="C15" s="3" t="s">
        <v>65</v>
      </c>
      <c r="D15" s="3" t="s">
        <v>65</v>
      </c>
      <c r="E15" s="3" t="s">
        <v>65</v>
      </c>
      <c r="F15" s="3"/>
      <c r="G15" s="3"/>
      <c r="H15" s="3"/>
      <c r="I15" s="3"/>
      <c r="J15" s="3"/>
      <c r="K15" s="3"/>
    </row>
    <row customFormat="1" r="16" s="1" spans="1:11" x14ac:dyDescent="0.25">
      <c r="A16" s="37" t="s">
        <v>4229</v>
      </c>
      <c r="B16" s="3" t="s">
        <v>265</v>
      </c>
      <c r="C16" s="3" t="s">
        <v>265</v>
      </c>
      <c r="D16" s="3" t="s">
        <v>265</v>
      </c>
      <c r="E16" s="3" t="s">
        <v>265</v>
      </c>
      <c r="F16" s="3"/>
      <c r="G16" s="3"/>
      <c r="H16" s="3"/>
      <c r="I16" s="3"/>
      <c r="J16" s="3"/>
      <c r="K16" s="3"/>
    </row>
    <row customFormat="1" r="17" s="1" spans="1:11" x14ac:dyDescent="0.25">
      <c r="A17" s="37" t="s">
        <v>4230</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4231</v>
      </c>
      <c r="B20" s="1" t="s">
        <v>38</v>
      </c>
      <c r="C20" s="1" t="s">
        <v>38</v>
      </c>
      <c r="D20" s="1" t="s">
        <v>38</v>
      </c>
      <c r="E20" s="1" t="s">
        <v>38</v>
      </c>
    </row>
    <row customFormat="1" r="21" s="1" spans="1:11" x14ac:dyDescent="0.25">
      <c r="A21" s="38" t="s">
        <v>4232</v>
      </c>
      <c r="B21" s="1" t="str">
        <f>VLOOKUP(B22,Master!$AW:$AX,2,FALSE)</f>
        <v>1111</v>
      </c>
      <c r="C21" s="1" t="e">
        <f>VLOOKUP(C22,Master!$AW:$AX,2,FALSE)</f>
        <v>#N/A</v>
      </c>
      <c r="D21" s="1" t="e">
        <f>VLOOKUP(D22,Master!$AW:$AX,2,FALSE)</f>
        <v>#N/A</v>
      </c>
      <c r="E21" s="1" t="e">
        <f>VLOOKUP(E22,Master!$AW:$AX,2,FALSE)</f>
        <v>#N/A</v>
      </c>
    </row>
    <row customFormat="1" r="22" s="1" spans="1:11" x14ac:dyDescent="0.25">
      <c r="A22" s="37" t="s">
        <v>4233</v>
      </c>
      <c r="B22" s="1" t="s">
        <v>3324</v>
      </c>
      <c r="C22" s="1" t="s">
        <v>4158</v>
      </c>
      <c r="D22" s="1" t="s">
        <v>4159</v>
      </c>
      <c r="E22" s="1" t="s">
        <v>4160</v>
      </c>
    </row>
    <row customFormat="1" r="23" s="1" spans="1:11" x14ac:dyDescent="0.25">
      <c r="A23" s="1" t="s">
        <v>39</v>
      </c>
    </row>
    <row customFormat="1" r="24" s="1" spans="1:11" x14ac:dyDescent="0.25">
      <c r="A24" s="37" t="s">
        <v>4234</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4068</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4066</v>
      </c>
      <c r="C31" s="1" t="s">
        <v>4066</v>
      </c>
      <c r="D31" s="1" t="s">
        <v>4066</v>
      </c>
      <c r="E31" s="1" t="s">
        <v>4066</v>
      </c>
    </row>
    <row customFormat="1" r="32" s="1" spans="1:11" x14ac:dyDescent="0.25">
      <c r="A32" s="1" t="s">
        <v>4069</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4070</v>
      </c>
      <c r="B33" s="1" t="s">
        <v>4071</v>
      </c>
      <c r="C33" s="1" t="s">
        <v>4071</v>
      </c>
      <c r="D33" s="1" t="s">
        <v>4071</v>
      </c>
      <c r="E33" s="1" t="s">
        <v>4071</v>
      </c>
    </row>
    <row customFormat="1" r="34" s="1" spans="1:5" x14ac:dyDescent="0.25">
      <c r="A34" s="1" t="s">
        <v>4072</v>
      </c>
      <c r="B34" s="1">
        <v>1823612693</v>
      </c>
      <c r="C34" s="1">
        <v>1823612694</v>
      </c>
      <c r="D34" s="1">
        <v>1823612695</v>
      </c>
      <c r="E34" s="1">
        <v>1823612696</v>
      </c>
    </row>
    <row customFormat="1" r="35" s="1" spans="1:5" x14ac:dyDescent="0.25">
      <c r="A35" s="1" t="s">
        <v>4073</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4074</v>
      </c>
    </row>
    <row customFormat="1" r="38" s="1" spans="1:5" x14ac:dyDescent="0.25">
      <c r="A38" s="1" t="s">
        <v>4227</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4228</v>
      </c>
      <c r="B39" s="3" t="s">
        <v>4075</v>
      </c>
      <c r="C39" s="3" t="s">
        <v>4075</v>
      </c>
      <c r="D39" s="3" t="s">
        <v>4075</v>
      </c>
      <c r="E39" s="3" t="s">
        <v>4075</v>
      </c>
    </row>
    <row customFormat="1" r="40" s="1" spans="1:5" x14ac:dyDescent="0.25">
      <c r="A40" s="1" t="s">
        <v>4235</v>
      </c>
      <c r="B40" s="1" t="s">
        <v>4104</v>
      </c>
      <c r="C40" s="1" t="s">
        <v>4104</v>
      </c>
      <c r="D40" s="1" t="s">
        <v>4104</v>
      </c>
      <c r="E40" s="1" t="s">
        <v>4104</v>
      </c>
    </row>
    <row customFormat="1" r="41" s="57" spans="1:5" x14ac:dyDescent="0.25">
      <c r="A41" s="57" t="s">
        <v>4076</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4077</v>
      </c>
      <c r="C46" s="1" t="s">
        <v>4077</v>
      </c>
      <c r="D46" s="1" t="s">
        <v>4077</v>
      </c>
      <c r="E46" s="1" t="s">
        <v>4077</v>
      </c>
    </row>
    <row customFormat="1" r="47" s="1" spans="1:5" x14ac:dyDescent="0.25">
      <c r="A47" s="1" t="s">
        <v>4069</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4070</v>
      </c>
      <c r="B48" s="1" t="s">
        <v>3326</v>
      </c>
      <c r="C48" s="1" t="s">
        <v>3326</v>
      </c>
      <c r="D48" s="1" t="s">
        <v>3326</v>
      </c>
      <c r="E48" s="1" t="s">
        <v>3326</v>
      </c>
    </row>
    <row customFormat="1" r="49" s="1" spans="1:11" x14ac:dyDescent="0.25">
      <c r="A49" s="1" t="s">
        <v>4078</v>
      </c>
      <c r="B49" s="1" t="s">
        <v>40</v>
      </c>
      <c r="C49" s="1" t="s">
        <v>40</v>
      </c>
      <c r="D49" s="1" t="s">
        <v>40</v>
      </c>
      <c r="E49" s="1" t="s">
        <v>40</v>
      </c>
    </row>
    <row customFormat="1" r="50" s="1" spans="1:11" x14ac:dyDescent="0.25">
      <c r="A50" s="1" t="s">
        <v>4079</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4080</v>
      </c>
      <c r="B53" s="1" t="s">
        <v>4081</v>
      </c>
      <c r="C53" s="1" t="s">
        <v>4081</v>
      </c>
      <c r="D53" s="1" t="s">
        <v>4081</v>
      </c>
      <c r="E53" s="1" t="s">
        <v>4081</v>
      </c>
    </row>
    <row customFormat="1" r="54" s="57" spans="1:11" x14ac:dyDescent="0.25">
      <c r="A54" s="58" t="s">
        <v>3564</v>
      </c>
      <c r="B54" s="59"/>
      <c r="C54" s="59"/>
      <c r="D54" s="59"/>
      <c r="E54" s="59"/>
      <c r="F54" s="59"/>
      <c r="G54" s="59"/>
      <c r="H54" s="59"/>
      <c r="I54" s="59"/>
      <c r="J54" s="59"/>
      <c r="K54" s="60"/>
    </row>
    <row customFormat="1" r="55" s="1" spans="1:11" x14ac:dyDescent="0.25">
      <c r="A55" s="37" t="s">
        <v>4184</v>
      </c>
      <c r="B55" s="1" t="s">
        <v>4111</v>
      </c>
      <c r="C55" s="1" t="s">
        <v>4161</v>
      </c>
      <c r="D55" s="1" t="s">
        <v>4162</v>
      </c>
      <c r="E55" s="1" t="s">
        <v>4163</v>
      </c>
    </row>
    <row customFormat="1" r="56" s="1" spans="1:11" x14ac:dyDescent="0.25">
      <c r="A56" s="37" t="s">
        <v>4185</v>
      </c>
      <c r="B56" s="3" t="s">
        <v>59</v>
      </c>
      <c r="C56" s="3" t="s">
        <v>59</v>
      </c>
      <c r="D56" s="3" t="s">
        <v>59</v>
      </c>
      <c r="E56" s="3" t="s">
        <v>59</v>
      </c>
      <c r="F56" s="2"/>
      <c r="G56" s="2"/>
      <c r="H56" s="2"/>
      <c r="I56" s="2"/>
      <c r="J56" s="2"/>
      <c r="K56" s="2"/>
    </row>
    <row customFormat="1" r="57" s="1" spans="1:11" x14ac:dyDescent="0.25">
      <c r="A57" s="37" t="s">
        <v>4186</v>
      </c>
      <c r="B57" s="3" t="s">
        <v>60</v>
      </c>
      <c r="C57" s="3" t="s">
        <v>60</v>
      </c>
      <c r="D57" s="3" t="s">
        <v>60</v>
      </c>
      <c r="E57" s="3" t="s">
        <v>60</v>
      </c>
      <c r="F57" s="2"/>
      <c r="G57" s="2"/>
      <c r="H57" s="2"/>
      <c r="I57" s="2"/>
      <c r="J57" s="2"/>
      <c r="K57" s="2"/>
    </row>
    <row customFormat="1" r="58" s="1" spans="1:11" x14ac:dyDescent="0.25">
      <c r="A58" s="37" t="s">
        <v>4187</v>
      </c>
      <c r="B58" s="1">
        <v>25584</v>
      </c>
      <c r="C58" s="1">
        <v>25585</v>
      </c>
      <c r="D58" s="1">
        <v>25586</v>
      </c>
      <c r="E58" s="1">
        <v>25587</v>
      </c>
      <c r="F58" s="2"/>
      <c r="G58" s="2"/>
      <c r="H58" s="2"/>
      <c r="I58" s="2"/>
      <c r="J58" s="2"/>
      <c r="K58" s="2"/>
    </row>
    <row customFormat="1" r="59" s="1" spans="1:11" x14ac:dyDescent="0.25">
      <c r="A59" s="37" t="s">
        <v>4189</v>
      </c>
      <c r="B59" s="1" t="s">
        <v>4107</v>
      </c>
      <c r="C59" s="1" t="s">
        <v>4107</v>
      </c>
      <c r="D59" s="1" t="s">
        <v>4107</v>
      </c>
      <c r="E59" s="1" t="s">
        <v>4107</v>
      </c>
    </row>
    <row customFormat="1" r="60" s="1" spans="1:11" x14ac:dyDescent="0.25">
      <c r="A60" s="37" t="s">
        <v>4188</v>
      </c>
      <c r="B60" s="1" t="s">
        <v>4106</v>
      </c>
      <c r="C60" s="1" t="s">
        <v>4164</v>
      </c>
      <c r="D60" s="1" t="s">
        <v>4165</v>
      </c>
      <c r="E60" s="1" t="s">
        <v>4166</v>
      </c>
    </row>
    <row customFormat="1" r="61" s="1" spans="1:11" x14ac:dyDescent="0.25">
      <c r="A61" s="37" t="s">
        <v>4190</v>
      </c>
      <c r="B61" s="1" t="s">
        <v>4108</v>
      </c>
      <c r="C61" s="1" t="s">
        <v>4108</v>
      </c>
      <c r="D61" s="1" t="s">
        <v>4108</v>
      </c>
      <c r="E61" s="1" t="s">
        <v>4108</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row>
    <row customFormat="1" r="77" s="1" spans="1:11" x14ac:dyDescent="0.25">
      <c r="A77" s="2" t="s">
        <v>247</v>
      </c>
      <c r="B77" s="42"/>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row>
    <row customFormat="1" r="80" s="1" spans="1:11" x14ac:dyDescent="0.25">
      <c r="A80" s="2" t="s">
        <v>308</v>
      </c>
      <c r="B80" s="2"/>
      <c r="C80" s="2"/>
      <c r="D80" s="2"/>
      <c r="E80" s="2"/>
      <c r="F80" s="2"/>
      <c r="G80" s="2"/>
      <c r="H80" s="2"/>
      <c r="I80" s="2"/>
      <c r="J80" s="2"/>
      <c r="K80" s="2"/>
    </row>
    <row customFormat="1" r="81" s="1" spans="1:11" x14ac:dyDescent="0.25">
      <c r="A81" s="2" t="s">
        <v>309</v>
      </c>
      <c r="B81" s="2"/>
      <c r="C81" s="2"/>
      <c r="D81" s="2"/>
      <c r="E81" s="2"/>
      <c r="F81" s="2"/>
      <c r="G81" s="2"/>
      <c r="H81" s="2"/>
      <c r="I81" s="2"/>
      <c r="J81" s="2"/>
      <c r="K81" s="2"/>
    </row>
    <row customFormat="1" r="82" s="1" spans="1:11" x14ac:dyDescent="0.25">
      <c r="A82" s="2" t="s">
        <v>310</v>
      </c>
      <c r="B82" s="2"/>
      <c r="C82" s="2"/>
      <c r="D82" s="2"/>
      <c r="E82" s="2"/>
      <c r="F82" s="2"/>
      <c r="G82" s="2"/>
      <c r="H82" s="2"/>
      <c r="I82" s="2"/>
      <c r="J82" s="2"/>
      <c r="K82" s="2"/>
    </row>
    <row customFormat="1" r="83" s="1" spans="1:11" x14ac:dyDescent="0.25">
      <c r="A83" s="2" t="s">
        <v>311</v>
      </c>
    </row>
    <row customFormat="1" r="84" s="1" spans="1:11" x14ac:dyDescent="0.25">
      <c r="A84" s="2" t="s">
        <v>312</v>
      </c>
    </row>
    <row customFormat="1" r="85" s="1" spans="1:11" x14ac:dyDescent="0.25">
      <c r="A85" s="2" t="s">
        <v>313</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row>
    <row customFormat="1" r="99" s="57" spans="1:11" x14ac:dyDescent="0.25">
      <c r="A99" s="58" t="s">
        <v>3567</v>
      </c>
      <c r="B99" s="59"/>
      <c r="C99" s="59"/>
      <c r="D99" s="59"/>
      <c r="E99" s="59"/>
      <c r="F99" s="59"/>
      <c r="G99" s="59"/>
      <c r="H99" s="59"/>
      <c r="I99" s="59"/>
      <c r="J99" s="59"/>
      <c r="K99" s="60"/>
    </row>
    <row customFormat="1" r="100" s="1" spans="1:11" x14ac:dyDescent="0.25">
      <c r="A100" s="2" t="s">
        <v>248</v>
      </c>
    </row>
    <row customFormat="1" r="101" s="1" spans="1:11" x14ac:dyDescent="0.25">
      <c r="A101" s="2" t="s">
        <v>249</v>
      </c>
    </row>
    <row customFormat="1" r="102" s="1" spans="1:11" x14ac:dyDescent="0.25">
      <c r="A102" s="2" t="s">
        <v>286</v>
      </c>
    </row>
    <row customFormat="1" r="103" s="1" spans="1:11" x14ac:dyDescent="0.25">
      <c r="A103" s="2" t="s">
        <v>250</v>
      </c>
    </row>
    <row customFormat="1" r="104" s="1" spans="1:11" x14ac:dyDescent="0.25">
      <c r="A104" s="2" t="s">
        <v>251</v>
      </c>
      <c r="B104" s="42"/>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row>
    <row customFormat="1" r="107" s="1" spans="1:11" x14ac:dyDescent="0.25">
      <c r="A107" s="2" t="s">
        <v>288</v>
      </c>
      <c r="B107" s="2"/>
      <c r="C107" s="2"/>
      <c r="D107" s="2"/>
      <c r="E107" s="2"/>
      <c r="F107" s="2"/>
      <c r="G107" s="2"/>
      <c r="H107" s="2"/>
      <c r="I107" s="2"/>
      <c r="J107" s="2"/>
      <c r="K107" s="2"/>
    </row>
    <row customFormat="1" r="108" s="1" spans="1:11" x14ac:dyDescent="0.25">
      <c r="A108" s="2" t="s">
        <v>289</v>
      </c>
      <c r="B108" s="2"/>
      <c r="C108" s="2"/>
      <c r="D108" s="2"/>
      <c r="E108" s="2"/>
      <c r="F108" s="2"/>
      <c r="G108" s="2"/>
      <c r="H108" s="2"/>
      <c r="I108" s="2"/>
      <c r="J108" s="2"/>
      <c r="K108" s="2"/>
    </row>
    <row customFormat="1" r="109" s="1" spans="1:11" x14ac:dyDescent="0.25">
      <c r="A109" s="2" t="s">
        <v>290</v>
      </c>
      <c r="B109" s="2"/>
      <c r="C109" s="2"/>
      <c r="D109" s="2"/>
      <c r="E109" s="2"/>
      <c r="F109" s="2"/>
      <c r="G109" s="2"/>
      <c r="H109" s="2"/>
      <c r="I109" s="2"/>
      <c r="J109" s="2"/>
      <c r="K109" s="2"/>
    </row>
    <row customFormat="1" r="110" s="1" spans="1:11" x14ac:dyDescent="0.25">
      <c r="A110" s="2" t="s">
        <v>291</v>
      </c>
    </row>
    <row customFormat="1" r="111" s="1" spans="1:11" x14ac:dyDescent="0.25">
      <c r="A111" s="2" t="s">
        <v>292</v>
      </c>
    </row>
    <row customFormat="1" r="112" s="1" spans="1:11" x14ac:dyDescent="0.25">
      <c r="A112" s="2" t="s">
        <v>293</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5" sqref="A5"/>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4179</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4114</v>
      </c>
      <c r="B12" s="50" t="s">
        <v>4115</v>
      </c>
      <c r="C12" s="50" t="s">
        <v>4115</v>
      </c>
      <c r="D12" s="50" t="s">
        <v>4115</v>
      </c>
      <c r="E12" s="50" t="s">
        <v>4115</v>
      </c>
    </row>
    <row customFormat="1" r="13" s="1" spans="1:11" x14ac:dyDescent="0.25">
      <c r="A13" s="37" t="s">
        <v>4194</v>
      </c>
      <c r="B13" s="4"/>
      <c r="C13" s="4"/>
      <c r="D13" s="4"/>
    </row>
    <row customFormat="1" r="14" s="1" spans="1:11" x14ac:dyDescent="0.25">
      <c r="A14" s="37" t="s">
        <v>4195</v>
      </c>
      <c r="B14" s="1" t="s">
        <v>4113</v>
      </c>
      <c r="C14" s="1" t="s">
        <v>4113</v>
      </c>
      <c r="D14" s="1" t="s">
        <v>4113</v>
      </c>
      <c r="E14" s="1" t="s">
        <v>44</v>
      </c>
      <c r="F14" s="2"/>
      <c r="G14" s="2"/>
      <c r="H14" s="2"/>
      <c r="I14" s="2"/>
      <c r="J14" s="2"/>
      <c r="K14" s="2"/>
    </row>
    <row customFormat="1" r="15" s="1" spans="1:11" x14ac:dyDescent="0.25">
      <c r="A15" s="37" t="s">
        <v>4196</v>
      </c>
      <c r="B15" s="1" t="s">
        <v>4143</v>
      </c>
      <c r="C15" s="1" t="s">
        <v>4143</v>
      </c>
      <c r="D15" s="1" t="s">
        <v>4143</v>
      </c>
      <c r="E15" s="8"/>
      <c r="F15" s="8"/>
      <c r="G15" s="8"/>
      <c r="H15" s="8"/>
      <c r="I15" s="8"/>
      <c r="J15" s="8"/>
      <c r="K15" s="8"/>
    </row>
    <row customFormat="1" r="16" s="1" spans="1:11" x14ac:dyDescent="0.25">
      <c r="A16" s="2" t="s">
        <v>4116</v>
      </c>
      <c r="B16" s="1" t="s">
        <v>4130</v>
      </c>
      <c r="C16" s="1" t="s">
        <v>4130</v>
      </c>
      <c r="D16" s="1" t="s">
        <v>4130</v>
      </c>
      <c r="F16" s="8"/>
      <c r="G16" s="8"/>
      <c r="H16" s="8"/>
      <c r="I16" s="8"/>
      <c r="J16" s="8"/>
      <c r="K16" s="8"/>
    </row>
    <row customFormat="1" r="17" s="1" spans="1:11" x14ac:dyDescent="0.25">
      <c r="A17" s="37" t="s">
        <v>4117</v>
      </c>
      <c r="B17" s="3" t="s">
        <v>4144</v>
      </c>
      <c r="C17" s="3" t="s">
        <v>4144</v>
      </c>
      <c r="D17" s="3" t="s">
        <v>4144</v>
      </c>
      <c r="E17" s="8"/>
      <c r="F17" s="8"/>
      <c r="G17" s="8"/>
      <c r="H17" s="8"/>
      <c r="I17" s="8"/>
      <c r="J17" s="8"/>
      <c r="K17" s="8"/>
    </row>
    <row customFormat="1" r="18" s="1" spans="1:11" x14ac:dyDescent="0.25">
      <c r="A18" s="2" t="s">
        <v>4118</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4120</v>
      </c>
      <c r="B20" s="52" t="s">
        <v>4145</v>
      </c>
      <c r="C20" s="52" t="s">
        <v>4145</v>
      </c>
      <c r="D20" s="52" t="s">
        <v>4145</v>
      </c>
      <c r="E20" s="8"/>
      <c r="F20" s="8"/>
      <c r="G20" s="8"/>
      <c r="H20" s="8"/>
      <c r="I20" s="8"/>
      <c r="J20" s="8"/>
      <c r="K20" s="8"/>
    </row>
    <row customFormat="1" r="21" s="1" spans="1:11" x14ac:dyDescent="0.25">
      <c r="A21" s="37" t="s">
        <v>4121</v>
      </c>
      <c r="B21" s="1" t="s">
        <v>4141</v>
      </c>
      <c r="C21" s="1" t="s">
        <v>4141</v>
      </c>
      <c r="D21" s="1" t="s">
        <v>4141</v>
      </c>
      <c r="E21" s="8"/>
      <c r="F21" s="8"/>
      <c r="G21" s="8"/>
      <c r="H21" s="8"/>
      <c r="I21" s="8"/>
      <c r="J21" s="8"/>
      <c r="K21" s="8"/>
    </row>
    <row customFormat="1" r="22" s="1" spans="1:11" x14ac:dyDescent="0.25">
      <c r="A22" s="2" t="s">
        <v>4122</v>
      </c>
      <c r="B22" s="1" t="s">
        <v>4146</v>
      </c>
      <c r="C22" s="1" t="s">
        <v>4146</v>
      </c>
      <c r="D22" s="1" t="s">
        <v>4146</v>
      </c>
      <c r="E22" s="8"/>
      <c r="F22" s="8"/>
      <c r="G22" s="8"/>
      <c r="H22" s="8"/>
      <c r="I22" s="8"/>
      <c r="J22" s="8"/>
      <c r="K22" s="8"/>
    </row>
    <row customFormat="1" r="23" s="1" spans="1:11" x14ac:dyDescent="0.25">
      <c r="A23" s="2" t="s">
        <v>4123</v>
      </c>
      <c r="B23" s="3" t="s">
        <v>4148</v>
      </c>
      <c r="C23" s="3" t="s">
        <v>4167</v>
      </c>
      <c r="D23" s="3" t="s">
        <v>4168</v>
      </c>
      <c r="E23" s="8"/>
      <c r="F23" s="8"/>
      <c r="G23" s="8"/>
      <c r="H23" s="8"/>
      <c r="I23" s="8"/>
      <c r="J23" s="8"/>
      <c r="K23" s="8"/>
    </row>
    <row customFormat="1" r="24" s="1" spans="1:11" x14ac:dyDescent="0.25">
      <c r="A24" s="37" t="s">
        <v>4119</v>
      </c>
      <c r="B24" s="3" t="s">
        <v>4147</v>
      </c>
      <c r="C24" s="3" t="s">
        <v>4147</v>
      </c>
      <c r="D24" s="3" t="s">
        <v>4147</v>
      </c>
      <c r="E24" s="8"/>
      <c r="F24" s="8"/>
      <c r="G24" s="8"/>
      <c r="H24" s="8"/>
      <c r="I24" s="8"/>
      <c r="J24" s="8"/>
      <c r="K24" s="8"/>
    </row>
    <row customFormat="1" r="25" s="1" spans="1:11" x14ac:dyDescent="0.25">
      <c r="A25" s="2" t="s">
        <v>4124</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4149</v>
      </c>
      <c r="C27" s="1" t="s">
        <v>4149</v>
      </c>
      <c r="D27" s="1" t="s">
        <v>4149</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4150</v>
      </c>
      <c r="C31" s="2" t="s">
        <v>4150</v>
      </c>
      <c r="D31" s="2" t="s">
        <v>4150</v>
      </c>
    </row>
    <row customFormat="1" r="32" s="1" spans="1:11" x14ac:dyDescent="0.25">
      <c r="A32" s="2" t="s">
        <v>23</v>
      </c>
      <c r="B32" s="2" t="s">
        <v>4150</v>
      </c>
      <c r="C32" s="2" t="s">
        <v>4150</v>
      </c>
      <c r="D32" s="2" t="s">
        <v>4150</v>
      </c>
    </row>
    <row customFormat="1" r="33" s="1" spans="1:4" x14ac:dyDescent="0.25">
      <c r="A33" s="2" t="s">
        <v>26</v>
      </c>
      <c r="B33" s="2" t="s">
        <v>4151</v>
      </c>
      <c r="C33" s="2" t="s">
        <v>4151</v>
      </c>
      <c r="D33" s="2" t="s">
        <v>4151</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abSelected="1" topLeftCell="A19" workbookViewId="0">
      <selection activeCell="A31" sqref="A31:XFD36"/>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4179</v>
      </c>
      <c r="B4" s="1">
        <f>IF(LEN(B12) &gt;0,COUNTIFS($A$12:$A$21,"*$*",B12:B21,""),0)+IF(LEN(B24)&gt;0,COUNTIFS($A$23:$A$30,"*$*",B23:B30,""),0)</f>
        <v>0</v>
      </c>
      <c r="C4" s="1">
        <f>IF(LEN(C12) &gt;0,COUNTIFS($A$12:$A$21,"*$*",C12:C21,""),0)+IF(LEN(C24)&gt;0,COUNTIFS($A$23:$A$30,"*$*",C23:C30,""),0)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4250</v>
      </c>
      <c r="B9" s="1" t="str">
        <f>'1.CustomerDetail'!B12</f>
        <v>0002APP20211200164</v>
      </c>
      <c r="C9" s="1" t="str">
        <f>'1.CustomerDetail'!B12</f>
        <v>0002APP20211200164</v>
      </c>
    </row>
    <row customFormat="1" r="10" s="1" spans="1:11" x14ac:dyDescent="0.25">
      <c r="A10" s="1" t="s">
        <v>4241</v>
      </c>
      <c r="B10" s="1" t="str">
        <f>'1.CustomerDetail'!B13</f>
        <v>hendry</v>
      </c>
      <c r="C10" s="1" t="str">
        <f>'1.CustomerDetail'!B13</f>
        <v>hendry</v>
      </c>
    </row>
    <row customFormat="1" r="11" s="57" spans="1:11" x14ac:dyDescent="0.25">
      <c r="A11" s="58" t="s">
        <v>3569</v>
      </c>
      <c r="B11" s="59"/>
      <c r="C11" s="59"/>
      <c r="D11" s="59"/>
      <c r="E11" s="59"/>
      <c r="F11" s="59"/>
      <c r="G11" s="59"/>
      <c r="H11" s="59"/>
      <c r="I11" s="59"/>
      <c r="J11" s="59"/>
      <c r="K11" s="60"/>
    </row>
    <row customFormat="1" r="12" s="1" spans="1:11" x14ac:dyDescent="0.25">
      <c r="A12" s="37" t="s">
        <v>4197</v>
      </c>
      <c r="B12" s="44">
        <v>5000000000</v>
      </c>
      <c r="C12" s="44"/>
      <c r="D12" s="44">
        <v>5000000000</v>
      </c>
      <c r="E12" s="44">
        <v>5000000000</v>
      </c>
      <c r="F12" s="8"/>
      <c r="G12" s="8"/>
      <c r="H12" s="8"/>
      <c r="I12" s="8"/>
      <c r="J12" s="8"/>
      <c r="K12" s="8"/>
    </row>
    <row customFormat="1" r="13" s="1" spans="1:11" x14ac:dyDescent="0.25">
      <c r="A13" s="1" t="s">
        <v>48</v>
      </c>
      <c r="B13" s="44">
        <v>5000000000</v>
      </c>
      <c r="C13" s="44"/>
      <c r="D13" s="44">
        <v>5000000000</v>
      </c>
      <c r="E13" s="44">
        <v>5000000000</v>
      </c>
      <c r="F13" s="8"/>
      <c r="G13" s="8"/>
      <c r="H13" s="8"/>
      <c r="I13" s="8"/>
      <c r="J13" s="8"/>
      <c r="K13" s="8"/>
    </row>
    <row customFormat="1" r="14" s="1" spans="1:11" x14ac:dyDescent="0.25">
      <c r="A14" s="1" t="s">
        <v>49</v>
      </c>
      <c r="B14" s="2" t="s">
        <v>50</v>
      </c>
      <c r="C14" s="2"/>
      <c r="D14" s="2" t="s">
        <v>50</v>
      </c>
      <c r="E14" s="2" t="s">
        <v>50</v>
      </c>
      <c r="F14" s="2"/>
      <c r="G14" s="2"/>
      <c r="H14" s="2"/>
      <c r="I14" s="2"/>
      <c r="J14" s="2"/>
      <c r="K14" s="2"/>
    </row>
    <row customFormat="1" r="15" s="1" spans="1:11" x14ac:dyDescent="0.25">
      <c r="A15" s="1" t="s">
        <v>51</v>
      </c>
      <c r="B15" s="43">
        <v>15000000</v>
      </c>
      <c r="C15" s="43"/>
      <c r="D15" s="43">
        <v>15000000</v>
      </c>
      <c r="E15" s="43">
        <v>15000000</v>
      </c>
      <c r="F15" s="2"/>
      <c r="G15" s="2"/>
      <c r="H15" s="2"/>
      <c r="I15" s="2"/>
      <c r="J15" s="2"/>
      <c r="K15" s="2"/>
    </row>
    <row customFormat="1" r="16" s="1" spans="1:11" x14ac:dyDescent="0.25">
      <c r="A16" s="1" t="s">
        <v>52</v>
      </c>
      <c r="B16" s="43">
        <v>15000000</v>
      </c>
      <c r="C16" s="43"/>
      <c r="D16" s="43">
        <v>15000000</v>
      </c>
      <c r="E16" s="43">
        <v>15000000</v>
      </c>
      <c r="F16" s="2"/>
      <c r="G16" s="2"/>
      <c r="H16" s="2"/>
      <c r="I16" s="2"/>
      <c r="J16" s="2"/>
      <c r="K16" s="2"/>
    </row>
    <row customFormat="1" r="17" s="1" spans="1:11" x14ac:dyDescent="0.25">
      <c r="A17" s="37" t="s">
        <v>4198</v>
      </c>
      <c r="B17" s="41" t="s">
        <v>4109</v>
      </c>
      <c r="C17" s="41"/>
      <c r="D17" s="41" t="s">
        <v>4170</v>
      </c>
      <c r="E17" s="41" t="s">
        <v>4171</v>
      </c>
      <c r="F17" s="8"/>
      <c r="G17" s="8"/>
      <c r="H17" s="8"/>
      <c r="I17" s="8"/>
      <c r="J17" s="8"/>
      <c r="K17" s="8"/>
    </row>
    <row customFormat="1" r="18" s="1" spans="1:11" x14ac:dyDescent="0.25">
      <c r="A18" s="2" t="s">
        <v>4082</v>
      </c>
      <c r="B18" s="44"/>
      <c r="C18" s="44"/>
      <c r="D18" s="44"/>
      <c r="E18" s="44"/>
      <c r="F18" s="8"/>
      <c r="G18" s="8"/>
      <c r="H18" s="8"/>
      <c r="I18" s="8"/>
      <c r="J18" s="8"/>
      <c r="K18" s="8"/>
    </row>
    <row customFormat="1" r="19" s="49" spans="1:11" x14ac:dyDescent="0.25">
      <c r="A19" s="20" t="s">
        <v>4083</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002</v>
      </c>
      <c r="C23" s="3" t="str">
        <f>VLOOKUP(C24,Master!$J$1:$K$206,2,FALSE)</f>
        <v>022</v>
      </c>
      <c r="D23" s="3" t="e">
        <f>VLOOKUP(D24,Master!$J$1:$K$206,2,FALSE)</f>
        <v>#N/A</v>
      </c>
      <c r="E23" s="3" t="e">
        <f>VLOOKUP(E24,Master!$J$1:$K$206,2,FALSE)</f>
        <v>#N/A</v>
      </c>
      <c r="F23" s="3"/>
      <c r="G23" s="3"/>
      <c r="H23" s="3"/>
      <c r="I23" s="3"/>
      <c r="J23" s="3"/>
      <c r="K23" s="3"/>
    </row>
    <row customFormat="1" r="24" s="1" spans="1:11" x14ac:dyDescent="0.25">
      <c r="A24" s="36" t="s">
        <v>4257</v>
      </c>
      <c r="B24" s="3" t="s">
        <v>344</v>
      </c>
      <c r="C24" s="3" t="s">
        <v>351</v>
      </c>
      <c r="D24" s="3"/>
      <c r="E24" s="3"/>
      <c r="F24" s="3"/>
      <c r="G24" s="3"/>
      <c r="H24" s="3"/>
      <c r="I24" s="3"/>
      <c r="J24" s="3"/>
      <c r="K24" s="3"/>
    </row>
    <row customFormat="1" r="25" s="1" spans="1:11" x14ac:dyDescent="0.25">
      <c r="A25" s="36" t="s">
        <v>4258</v>
      </c>
      <c r="B25" s="1" t="s">
        <v>4251</v>
      </c>
      <c r="C25" s="1" t="s">
        <v>4254</v>
      </c>
    </row>
    <row customFormat="1" r="26" s="1" spans="1:11" x14ac:dyDescent="0.25">
      <c r="A26" s="36" t="s">
        <v>4259</v>
      </c>
      <c r="B26" s="1" t="s">
        <v>4252</v>
      </c>
      <c r="C26" s="1" t="s">
        <v>4255</v>
      </c>
    </row>
    <row customFormat="1" r="27" s="1" spans="1:11" x14ac:dyDescent="0.25">
      <c r="A27" s="36" t="s">
        <v>4260</v>
      </c>
      <c r="B27" s="8" t="s">
        <v>4253</v>
      </c>
      <c r="C27" s="8" t="s">
        <v>4256</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4261</v>
      </c>
      <c r="B30" s="16">
        <v>100000</v>
      </c>
      <c r="C30" s="16">
        <v>2000000</v>
      </c>
      <c r="D30" s="16"/>
      <c r="E30" s="16"/>
    </row>
    <row customFormat="1" r="31" s="1" spans="1:11" x14ac:dyDescent="0.25">
      <c r="A31" s="36" t="s">
        <v>4269</v>
      </c>
      <c r="B31" s="1" t="s">
        <v>4270</v>
      </c>
    </row>
    <row customFormat="1" r="32" s="1" spans="1:11" x14ac:dyDescent="0.25">
      <c r="A32" s="36" t="s">
        <v>4262</v>
      </c>
      <c r="B32" s="1" t="s">
        <v>4263</v>
      </c>
    </row>
    <row customFormat="1" r="33" s="1" spans="1:2" x14ac:dyDescent="0.25">
      <c r="A33" s="36" t="s">
        <v>4264</v>
      </c>
      <c r="B33" s="1" t="s">
        <v>4246</v>
      </c>
    </row>
    <row customFormat="1" r="34" s="1" spans="1:2" x14ac:dyDescent="0.25">
      <c r="A34" s="36" t="s">
        <v>4265</v>
      </c>
      <c r="B34" s="1" t="s">
        <v>4246</v>
      </c>
    </row>
    <row customFormat="1" r="35" s="1" spans="1:2" x14ac:dyDescent="0.25">
      <c r="A35" s="36" t="s">
        <v>4266</v>
      </c>
      <c r="B35" s="1" t="s">
        <v>4246</v>
      </c>
    </row>
    <row customFormat="1" r="36" s="1" spans="1:2" x14ac:dyDescent="0.25">
      <c r="A36" s="36" t="s">
        <v>4267</v>
      </c>
      <c r="B36" s="1" t="s">
        <v>4268</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7" sqref="B17"/>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4249</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4179</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1" spans="1:5" x14ac:dyDescent="0.25">
      <c r="B11" s="54"/>
      <c r="C11" s="54"/>
    </row>
    <row customFormat="1" r="12" s="2" spans="1:5" x14ac:dyDescent="0.25">
      <c r="A12" s="2" t="s">
        <v>4244</v>
      </c>
      <c r="B12" s="2" t="s">
        <v>6</v>
      </c>
    </row>
    <row customFormat="1" r="13" s="1" spans="1:5" x14ac:dyDescent="0.25">
      <c r="A13" s="36" t="s">
        <v>4199</v>
      </c>
      <c r="B13" s="1" t="s">
        <v>4245</v>
      </c>
    </row>
    <row customFormat="1" r="14" s="1" spans="1:5" x14ac:dyDescent="0.25">
      <c r="A14" s="1" t="s">
        <v>58</v>
      </c>
      <c r="B14" s="1" t="s">
        <v>4246</v>
      </c>
    </row>
    <row customFormat="1" r="15" s="1" spans="1:5" x14ac:dyDescent="0.25">
      <c r="A15" s="36" t="s">
        <v>4200</v>
      </c>
      <c r="B15" s="43" t="s">
        <v>4247</v>
      </c>
      <c r="C15" s="43"/>
      <c r="D15" s="43"/>
      <c r="E15" s="43"/>
    </row>
    <row customFormat="1" r="16" s="1" spans="1:5" x14ac:dyDescent="0.25">
      <c r="A16" s="36" t="s">
        <v>4201</v>
      </c>
      <c r="B16" s="2" t="s">
        <v>4248</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A9" sqref="A8:XFD9"/>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4179</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5" spans="1:5" x14ac:dyDescent="0.25">
      <c r="A11" s="62" t="s">
        <v>3572</v>
      </c>
      <c r="B11" s="63"/>
      <c r="C11" s="63"/>
      <c r="D11" s="63"/>
      <c r="E11" s="64"/>
    </row>
    <row customFormat="1" r="12" s="1" spans="1:5"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4203</v>
      </c>
      <c r="B13" s="13" t="s">
        <v>687</v>
      </c>
      <c r="C13" s="13" t="s">
        <v>687</v>
      </c>
      <c r="D13" s="13" t="s">
        <v>687</v>
      </c>
      <c r="E13" s="13" t="s">
        <v>687</v>
      </c>
    </row>
    <row customFormat="1" r="14" s="1" spans="1:5" x14ac:dyDescent="0.25">
      <c r="A14" s="38" t="s">
        <v>4204</v>
      </c>
      <c r="B14" s="14" t="str">
        <f>VLOOKUP(B15,Master!$P:$Q,2,FALSE)</f>
        <v>4</v>
      </c>
      <c r="C14" s="14" t="str">
        <f>VLOOKUP(C15,Master!$P:$Q,2,FALSE)</f>
        <v>4</v>
      </c>
      <c r="D14" s="14" t="str">
        <f>VLOOKUP(D15,Master!$P:$Q,2,FALSE)</f>
        <v>4</v>
      </c>
      <c r="E14" s="14" t="str">
        <f>VLOOKUP(E15,Master!$P:$Q,2,FALSE)</f>
        <v>4</v>
      </c>
    </row>
    <row customFormat="1" r="15" s="1" spans="1:5" x14ac:dyDescent="0.25">
      <c r="A15" s="37" t="s">
        <v>4205</v>
      </c>
      <c r="B15" s="14" t="s">
        <v>1238</v>
      </c>
      <c r="C15" s="14" t="s">
        <v>1238</v>
      </c>
      <c r="D15" s="14" t="s">
        <v>1238</v>
      </c>
      <c r="E15" s="14" t="s">
        <v>1238</v>
      </c>
    </row>
    <row customFormat="1" r="16" s="1" spans="1:5" x14ac:dyDescent="0.25">
      <c r="A16" s="38" t="s">
        <v>4206</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4208</v>
      </c>
      <c r="B17" s="14" t="s">
        <v>4112</v>
      </c>
      <c r="C17" s="14" t="s">
        <v>4112</v>
      </c>
      <c r="D17" s="14" t="s">
        <v>4112</v>
      </c>
      <c r="E17" s="14" t="s">
        <v>4112</v>
      </c>
    </row>
    <row customFormat="1" r="18" s="1" spans="1:5" x14ac:dyDescent="0.25">
      <c r="A18" s="38" t="s">
        <v>4209</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4207</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4067</v>
      </c>
      <c r="C21" s="14" t="s">
        <v>4067</v>
      </c>
      <c r="D21" s="14" t="s">
        <v>4067</v>
      </c>
      <c r="E21" s="14" t="s">
        <v>4067</v>
      </c>
    </row>
    <row customFormat="1" r="22" s="1" spans="1:5" x14ac:dyDescent="0.25">
      <c r="A22" s="38" t="s">
        <v>4210</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4211</v>
      </c>
      <c r="B23" s="14" t="s">
        <v>2736</v>
      </c>
      <c r="C23" s="14" t="s">
        <v>2736</v>
      </c>
      <c r="D23" s="14" t="s">
        <v>2736</v>
      </c>
      <c r="E23" s="14" t="s">
        <v>2736</v>
      </c>
    </row>
    <row customFormat="1" r="24" s="1" spans="1:5" x14ac:dyDescent="0.25">
      <c r="A24" s="2" t="s">
        <v>1599</v>
      </c>
      <c r="B24" s="14" t="s">
        <v>4067</v>
      </c>
      <c r="C24" s="14" t="s">
        <v>4067</v>
      </c>
      <c r="D24" s="14" t="s">
        <v>4067</v>
      </c>
      <c r="E24" s="14" t="s">
        <v>4067</v>
      </c>
    </row>
    <row customFormat="1" r="25" s="1" spans="1:5" x14ac:dyDescent="0.25">
      <c r="A25" s="2" t="s">
        <v>1600</v>
      </c>
      <c r="B25" s="14" t="s">
        <v>4067</v>
      </c>
      <c r="C25" s="14" t="s">
        <v>4067</v>
      </c>
      <c r="D25" s="14" t="s">
        <v>4067</v>
      </c>
      <c r="E25" s="14" t="s">
        <v>4067</v>
      </c>
    </row>
    <row customFormat="1" r="26" s="1" spans="1:5" x14ac:dyDescent="0.25">
      <c r="A26" s="38" t="s">
        <v>4212</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4213</v>
      </c>
      <c r="B27" s="14" t="s">
        <v>2967</v>
      </c>
      <c r="C27" s="14" t="s">
        <v>2967</v>
      </c>
      <c r="D27" s="14" t="s">
        <v>2967</v>
      </c>
      <c r="E27" s="14" t="s">
        <v>2967</v>
      </c>
    </row>
    <row customFormat="1" r="28" s="1" spans="1:5" x14ac:dyDescent="0.25">
      <c r="A28" s="38" t="s">
        <v>4214</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4216</v>
      </c>
      <c r="B29" s="14" t="s">
        <v>1999</v>
      </c>
      <c r="C29" s="14" t="s">
        <v>1999</v>
      </c>
      <c r="D29" s="14" t="s">
        <v>1999</v>
      </c>
      <c r="E29" s="14" t="s">
        <v>1999</v>
      </c>
    </row>
    <row customFormat="1" r="30" s="1" spans="1:5" x14ac:dyDescent="0.25">
      <c r="A30" s="40" t="s">
        <v>4215</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4217</v>
      </c>
      <c r="B31" s="15" t="s">
        <v>2969</v>
      </c>
      <c r="C31" s="15" t="s">
        <v>2969</v>
      </c>
      <c r="D31" s="15" t="s">
        <v>2969</v>
      </c>
      <c r="E31" s="15" t="s">
        <v>2969</v>
      </c>
    </row>
    <row customFormat="1" ht="45" r="32" s="1" spans="1: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4220</v>
      </c>
      <c r="B33" s="15" t="s">
        <v>2979</v>
      </c>
      <c r="C33" s="15" t="s">
        <v>2979</v>
      </c>
      <c r="D33" s="15" t="s">
        <v>2979</v>
      </c>
      <c r="E33" s="15" t="s">
        <v>2979</v>
      </c>
    </row>
    <row customFormat="1" r="34" s="1" spans="1:5" x14ac:dyDescent="0.25">
      <c r="A34" s="37" t="s">
        <v>4219</v>
      </c>
      <c r="B34" s="14" t="s">
        <v>4067</v>
      </c>
      <c r="C34" s="14" t="s">
        <v>4067</v>
      </c>
      <c r="D34" s="14" t="s">
        <v>4067</v>
      </c>
      <c r="E34" s="14" t="s">
        <v>4067</v>
      </c>
    </row>
    <row customFormat="1" r="35" s="1" spans="1:5" x14ac:dyDescent="0.25">
      <c r="A35" s="38" t="s">
        <v>4221</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4222</v>
      </c>
      <c r="B37" s="45" t="s">
        <v>4109</v>
      </c>
      <c r="C37" s="45" t="s">
        <v>4169</v>
      </c>
      <c r="D37" s="45" t="s">
        <v>4170</v>
      </c>
      <c r="E37" s="45" t="s">
        <v>4171</v>
      </c>
    </row>
    <row customFormat="1" r="38" s="1" spans="1:5"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4224</v>
      </c>
      <c r="B39" s="46" t="s">
        <v>2989</v>
      </c>
      <c r="C39" s="46" t="s">
        <v>2989</v>
      </c>
      <c r="D39" s="46" t="s">
        <v>2989</v>
      </c>
      <c r="E39" s="46" t="s">
        <v>2989</v>
      </c>
    </row>
    <row customFormat="1" r="40" s="1" spans="1:5" x14ac:dyDescent="0.25">
      <c r="A40" s="37" t="s">
        <v>4225</v>
      </c>
      <c r="B40" s="45" t="s">
        <v>4109</v>
      </c>
      <c r="C40" s="45" t="s">
        <v>4169</v>
      </c>
      <c r="D40" s="45" t="s">
        <v>4170</v>
      </c>
      <c r="E40" s="45" t="s">
        <v>4171</v>
      </c>
    </row>
    <row customFormat="1" r="41" s="1" spans="1:5" x14ac:dyDescent="0.25">
      <c r="A41" s="38" t="s">
        <v>4226</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2022-09-12T06:33:48Z</dcterms:modified>
</cp:coreProperties>
</file>