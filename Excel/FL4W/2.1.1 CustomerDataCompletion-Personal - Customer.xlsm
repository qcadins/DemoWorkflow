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7" rupBuild="14420"/>
  <workbookPr codeName="ThisWorkbook" defaultThemeVersion="164011"/>
  <mc:AlternateContent>
    <mc:Choice Requires="x15">
      <x15ac:absPath xmlns:x15ac="http://schemas.microsoft.com/office/spreadsheetml/2010/11/ac" url="C:\Users\jeremy.andreas\git\NAP-CF4W-BNI\Excel\"/>
    </mc:Choice>
  </mc:AlternateContent>
  <bookViews>
    <workbookView activeTab="3" firstSheet="2" tabRatio="653" windowHeight="73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i="7" l="1" r="U41"/>
  <c i="7" r="T41"/>
  <c i="7" r="S41"/>
  <c i="7" r="R41"/>
  <c i="7" r="Q41"/>
  <c i="7" r="P41"/>
  <c i="7" r="O41"/>
  <c i="7" r="N41"/>
  <c i="7" r="M41"/>
  <c i="7" r="L41"/>
  <c i="7" r="K41"/>
  <c i="7" r="J41"/>
  <c i="7" r="I41"/>
  <c i="7" r="U38"/>
  <c i="7" r="T38"/>
  <c i="7" r="S38"/>
  <c i="7" r="R38"/>
  <c i="7" r="Q38"/>
  <c i="7" r="P38"/>
  <c i="7" r="O38"/>
  <c i="7" r="N38"/>
  <c i="7" r="M38"/>
  <c i="7" r="L38"/>
  <c i="7" r="K38"/>
  <c i="7" r="J38"/>
  <c i="7" r="I38"/>
  <c i="7" r="U35"/>
  <c i="7" r="T35"/>
  <c i="7" r="S35"/>
  <c i="7" r="R35"/>
  <c i="7" r="Q35"/>
  <c i="7" r="P35"/>
  <c i="7" r="O35"/>
  <c i="7" r="N35"/>
  <c i="7" r="M35"/>
  <c i="7" r="L35"/>
  <c i="7" r="K35"/>
  <c i="7" r="J35"/>
  <c i="7" r="I35"/>
  <c i="7" r="U32"/>
  <c i="7" r="T32"/>
  <c i="7" r="S32"/>
  <c i="7" r="R32"/>
  <c i="7" r="Q32"/>
  <c i="7" r="P32"/>
  <c i="7" r="O32"/>
  <c i="7" r="N32"/>
  <c i="7" r="M32"/>
  <c i="7" r="L32"/>
  <c i="7" r="K32"/>
  <c i="7" r="J32"/>
  <c i="7" r="I32"/>
  <c i="7" r="U30"/>
  <c i="7" r="T30"/>
  <c i="7" r="S30"/>
  <c i="7" r="R30"/>
  <c i="7" r="Q30"/>
  <c i="7" r="P30"/>
  <c i="7" r="O30"/>
  <c i="7" r="N30"/>
  <c i="7" r="M30"/>
  <c i="7" r="L30"/>
  <c i="7" r="K30"/>
  <c i="7" r="J30"/>
  <c i="7" r="I30"/>
  <c i="7" r="U28"/>
  <c i="7" r="T28"/>
  <c i="7" r="S28"/>
  <c i="7" r="R28"/>
  <c i="7" r="Q28"/>
  <c i="7" r="P28"/>
  <c i="7" r="O28"/>
  <c i="7" r="N28"/>
  <c i="7" r="M28"/>
  <c i="7" r="L28"/>
  <c i="7" r="K28"/>
  <c i="7" r="J28"/>
  <c i="7" r="I28"/>
  <c i="7" r="U26"/>
  <c i="7" r="T26"/>
  <c i="7" r="T4" s="1"/>
  <c i="7" r="S26"/>
  <c i="7" r="R26"/>
  <c i="7" r="Q26"/>
  <c i="7" r="P26"/>
  <c i="7" r="O26"/>
  <c i="7" r="N26"/>
  <c i="7" r="M26"/>
  <c i="7" r="L26"/>
  <c i="7" r="K26"/>
  <c i="7" r="J26"/>
  <c i="7" r="I26"/>
  <c i="7" r="U22"/>
  <c i="7" r="T22"/>
  <c i="7" r="S22"/>
  <c i="7" r="R22"/>
  <c i="7" r="Q22"/>
  <c i="7" r="Q4" s="1"/>
  <c i="7" r="P22"/>
  <c i="7" r="O22"/>
  <c i="7" r="N22"/>
  <c i="7" r="M22"/>
  <c i="7" r="L22"/>
  <c i="7" r="K22"/>
  <c i="7" r="J22"/>
  <c i="7" r="I22"/>
  <c i="7" r="U18"/>
  <c i="7" r="T18"/>
  <c i="7" r="S18"/>
  <c i="7" r="R18"/>
  <c i="7" r="Q18"/>
  <c i="7" r="P18"/>
  <c i="7" r="O18"/>
  <c i="7" r="N18"/>
  <c i="7" r="N4" s="1"/>
  <c i="7" r="M18"/>
  <c i="7" r="L18"/>
  <c i="7" r="K18"/>
  <c i="7" r="J18"/>
  <c i="7" r="I18"/>
  <c i="7" r="U16"/>
  <c i="7" r="T16"/>
  <c i="7" r="S16"/>
  <c i="7" r="S4" s="1"/>
  <c i="7" r="R16"/>
  <c i="7" r="Q16"/>
  <c i="7" r="P16"/>
  <c i="7" r="O16"/>
  <c i="7" r="N16"/>
  <c i="7" r="M16"/>
  <c i="7" r="L16"/>
  <c i="7" r="K16"/>
  <c i="7" r="K4" s="1"/>
  <c i="7" r="J16"/>
  <c i="7" r="I16"/>
  <c i="7" r="U14"/>
  <c i="7" r="T14"/>
  <c i="7" r="S14"/>
  <c i="7" r="R14"/>
  <c i="7" r="R4" s="1"/>
  <c i="7" r="Q14"/>
  <c i="7" r="P14"/>
  <c i="7" r="P4" s="1"/>
  <c i="7" r="O14"/>
  <c i="7" r="N14"/>
  <c i="7" r="M14"/>
  <c i="7" r="L14"/>
  <c i="7" r="K14"/>
  <c i="7" r="J14"/>
  <c i="7" r="J4" s="1"/>
  <c i="7" r="I14"/>
  <c i="7" r="U12"/>
  <c i="7" r="T12"/>
  <c i="7" r="S12"/>
  <c i="7" r="R12"/>
  <c i="7" r="Q12"/>
  <c i="7" r="P12"/>
  <c i="7" r="O12"/>
  <c i="7" r="O4" s="1"/>
  <c i="7" r="N12"/>
  <c i="7" r="M12"/>
  <c i="7" r="M4" s="1"/>
  <c i="7" r="L12"/>
  <c i="7" r="L4" s="1"/>
  <c i="7" r="K12"/>
  <c i="7" r="J12"/>
  <c i="7" r="I12"/>
  <c i="7" r="U4"/>
  <c i="7" r="K10"/>
  <c i="7" r="L10"/>
  <c i="6" r="E4"/>
  <c i="6" r="F4"/>
  <c i="6" r="G4"/>
  <c i="6" r="H4"/>
  <c i="6" r="I4"/>
  <c i="6" r="J4"/>
  <c i="6" r="K4"/>
  <c i="6" r="L4"/>
  <c i="6" r="M4"/>
  <c i="6" r="N4"/>
  <c i="6" r="O4"/>
  <c i="6" r="P4"/>
  <c i="6" r="J10"/>
  <c i="6" r="K10"/>
  <c i="5" r="E10"/>
  <c i="5" r="R23"/>
  <c i="5" r="Q23"/>
  <c i="5" r="P23"/>
  <c i="5" r="O23"/>
  <c i="5" r="N23"/>
  <c i="5" r="M23"/>
  <c i="5" r="L23"/>
  <c i="5" r="K23"/>
  <c i="5" r="J23"/>
  <c i="5" r="I23"/>
  <c i="5" r="H23"/>
  <c i="5" r="G23"/>
  <c i="5" r="F23"/>
  <c i="5" r="G10"/>
  <c i="5" r="H10"/>
  <c i="5" r="I10"/>
  <c i="5" r="J10"/>
  <c i="5" r="K10"/>
  <c i="5" r="L10"/>
  <c i="5" r="M10"/>
  <c i="5" r="N10"/>
  <c i="5" r="O10"/>
  <c i="5" r="P10"/>
  <c i="5" r="Q10"/>
  <c i="5" r="R10"/>
  <c i="5" r="F10"/>
  <c i="5" r="H4"/>
  <c i="5" r="I4"/>
  <c i="5" r="J4"/>
  <c i="5" r="K4"/>
  <c i="5" r="L4"/>
  <c i="5" r="M4"/>
  <c i="5" r="N4"/>
  <c i="5" r="O4"/>
  <c i="5" r="P4"/>
  <c i="5" r="Q4"/>
  <c i="5" r="R4"/>
  <c i="5" r="G9"/>
  <c i="5" r="H9"/>
  <c i="4" r="J4"/>
  <c i="4" r="K4"/>
  <c i="4" r="L4"/>
  <c i="4" r="M4"/>
  <c i="4" r="N4"/>
  <c i="4" r="O4"/>
  <c i="4" r="P4"/>
  <c i="4" r="Q4"/>
  <c i="4" r="R4"/>
  <c i="4" r="S4"/>
  <c i="4" r="T4"/>
  <c i="4" r="U4"/>
  <c i="4" r="U10"/>
  <c i="4" r="J10"/>
  <c i="3" r="U47"/>
  <c i="3" r="T47"/>
  <c i="3" r="S47"/>
  <c i="3" r="R47"/>
  <c i="3" r="Q47"/>
  <c i="3" r="P47"/>
  <c i="3" r="O47"/>
  <c i="3" r="N47"/>
  <c i="3" r="M47"/>
  <c i="3" r="L47"/>
  <c i="3" r="K47"/>
  <c i="3" r="J47"/>
  <c i="3" r="U42"/>
  <c i="3" r="T42"/>
  <c i="3" r="S42"/>
  <c i="3" r="R42"/>
  <c i="3" r="Q42"/>
  <c i="3" r="P42"/>
  <c i="3" r="O42"/>
  <c i="3" r="N42"/>
  <c i="3" r="M42"/>
  <c i="3" r="L42"/>
  <c i="3" r="K42"/>
  <c i="3" r="J42"/>
  <c i="3" r="U38"/>
  <c i="3" r="T38"/>
  <c i="3" r="S38"/>
  <c i="3" r="R38"/>
  <c i="3" r="Q38"/>
  <c i="3" r="P38"/>
  <c i="3" r="O38"/>
  <c i="3" r="N38"/>
  <c i="3" r="M38"/>
  <c i="3" r="L38"/>
  <c i="3" r="K38"/>
  <c i="3" r="J38"/>
  <c i="3" r="U32"/>
  <c i="3" r="T32"/>
  <c i="3" r="S32"/>
  <c i="3" r="R32"/>
  <c i="3" r="Q32"/>
  <c i="3" r="P32"/>
  <c i="3" r="O32"/>
  <c i="3" r="N32"/>
  <c i="3" r="M32"/>
  <c i="3" r="L32"/>
  <c i="3" r="K32"/>
  <c i="3" r="J32"/>
  <c i="3" r="U28"/>
  <c i="3" r="T28"/>
  <c i="3" r="S28"/>
  <c i="3" r="R28"/>
  <c i="3" r="Q28"/>
  <c i="3" r="P28"/>
  <c i="3" r="O28"/>
  <c i="3" r="N28"/>
  <c i="3" r="M28"/>
  <c i="3" r="L28"/>
  <c i="3" r="K28"/>
  <c i="3" r="J28"/>
  <c i="3" r="U21"/>
  <c i="3" r="T21"/>
  <c i="3" r="S21"/>
  <c i="3" r="R21"/>
  <c i="3" r="Q21"/>
  <c i="3" r="P21"/>
  <c i="3" r="O21"/>
  <c i="3" r="N21"/>
  <c i="3" r="M21"/>
  <c i="3" r="L21"/>
  <c i="3" r="K21"/>
  <c i="3" r="J21"/>
  <c i="3" r="U14"/>
  <c i="3" r="T14"/>
  <c i="3" r="S14"/>
  <c i="3" r="R14"/>
  <c i="3" r="Q14"/>
  <c i="3" r="P14"/>
  <c i="3" r="O14"/>
  <c i="3" r="N14"/>
  <c i="3" r="M14"/>
  <c i="3" r="L14"/>
  <c i="3" r="K14"/>
  <c i="3" r="J14"/>
  <c i="3" r="K4"/>
  <c i="3" r="L4"/>
  <c i="3" r="M4"/>
  <c i="3" r="N4"/>
  <c i="3" r="O4"/>
  <c i="3" r="P4"/>
  <c i="3" r="Q4"/>
  <c i="3" r="R4"/>
  <c i="3" r="S4"/>
  <c i="3" r="T4"/>
  <c i="3" r="U4"/>
  <c i="3" r="U10"/>
  <c i="3" r="S10"/>
  <c i="3" r="I47"/>
  <c i="3" r="I42"/>
  <c i="3" r="I38"/>
  <c i="3" r="I32"/>
  <c i="3" r="I28"/>
  <c i="3" r="I21"/>
  <c i="3" r="I14"/>
  <c i="2" r="P4"/>
  <c i="2" r="Q4"/>
  <c i="2" r="R4"/>
  <c i="2" r="S4"/>
  <c i="2" r="T4"/>
  <c i="2" r="U4"/>
  <c i="2" r="V4"/>
  <c i="2" r="W4"/>
  <c i="2" r="X4"/>
  <c i="2" r="Y4"/>
  <c i="2" r="Z4"/>
  <c i="2" r="L10"/>
  <c i="2" r="K10"/>
  <c i="2" r="J10"/>
  <c i="2" r="M10"/>
  <c i="2" r="O10"/>
  <c i="2" r="P10"/>
  <c i="2" r="Q10"/>
  <c i="2" r="R10"/>
  <c i="2" r="S10"/>
  <c i="2" r="T10"/>
  <c i="2" r="U10"/>
  <c i="2" r="V10"/>
  <c i="2" r="W10"/>
  <c i="2" r="X10"/>
  <c i="2" r="Y10"/>
  <c i="2" r="Z10"/>
  <c i="2" r="N10"/>
  <c i="2" r="Z9"/>
  <c i="2" r="O9"/>
  <c i="2" r="T9"/>
  <c i="1" r="U26"/>
  <c i="1" r="T26"/>
  <c i="1" r="T4" s="1"/>
  <c i="1" r="S26"/>
  <c i="1" r="R26"/>
  <c i="1" r="Q26"/>
  <c i="1" r="Q4" s="1"/>
  <c i="1" r="P26"/>
  <c i="1" r="P4" s="1"/>
  <c i="1" r="O26"/>
  <c i="1" r="N26"/>
  <c i="1" r="M26"/>
  <c i="1" r="M4" s="1"/>
  <c i="1" r="L26"/>
  <c i="1" r="L4" s="1"/>
  <c i="1" r="K26"/>
  <c i="1" r="J26"/>
  <c i="1" r="J4"/>
  <c i="1" r="K4"/>
  <c i="1" r="N4"/>
  <c i="1" r="O4"/>
  <c i="1" r="R4"/>
  <c i="1" r="S4"/>
  <c i="1" r="U4"/>
  <c i="1" r="P12"/>
  <c i="5" r="M9" s="1"/>
  <c i="1" r="Q12"/>
  <c i="7" r="Q10" s="1"/>
  <c i="1" r="R12"/>
  <c i="5" r="O9" s="1"/>
  <c i="1" r="S12"/>
  <c i="7" r="S10" s="1"/>
  <c i="1" r="T12"/>
  <c i="5" r="Q9" s="1"/>
  <c i="1" r="U12"/>
  <c i="6" r="P10" s="1"/>
  <c i="1" r="J12"/>
  <c i="7" r="J10" s="1"/>
  <c i="1" r="K12"/>
  <c i="3" r="K10" s="1"/>
  <c i="1" r="L12"/>
  <c i="2" r="Q9" s="1"/>
  <c i="1" r="M12"/>
  <c i="6" r="H10" s="1"/>
  <c i="1" r="N12"/>
  <c i="6" r="I10" s="1"/>
  <c i="1" r="O12"/>
  <c i="4" r="O10" s="1"/>
  <c i="4" l="1" r="Q10"/>
  <c i="2" r="P9"/>
  <c i="3" r="J10"/>
  <c i="4" r="N10"/>
  <c i="4" r="R10"/>
  <c i="5" r="L9"/>
  <c i="5" r="P9"/>
  <c i="6" r="O10"/>
  <c i="6" r="G10"/>
  <c i="7" r="P10"/>
  <c i="7" r="R10"/>
  <c i="2" r="S9"/>
  <c i="3" r="Q10"/>
  <c i="4" r="M10"/>
  <c i="5" r="K9"/>
  <c i="6" r="N10"/>
  <c i="6" r="F10"/>
  <c i="7" r="O10"/>
  <c i="7" r="T10"/>
  <c i="2" r="W9"/>
  <c i="2" r="V9"/>
  <c i="2" r="Y9"/>
  <c i="3" r="P10"/>
  <c i="3" r="R10"/>
  <c i="4" r="L10"/>
  <c i="5" r="J9"/>
  <c i="6" r="M10"/>
  <c i="6" r="E10"/>
  <c i="7" r="N10"/>
  <c i="7" r="U10"/>
  <c i="2" r="U9"/>
  <c i="2" r="X9"/>
  <c i="3" r="O10"/>
  <c i="3" r="T10"/>
  <c i="4" r="K10"/>
  <c i="5" r="I9"/>
  <c i="6" r="L10"/>
  <c i="7" r="M10"/>
  <c i="3" r="N10"/>
  <c i="3" r="M10"/>
  <c i="2" r="R9"/>
  <c i="3" r="L10"/>
  <c i="4" r="P10"/>
  <c i="4" r="T10"/>
  <c i="5" r="N9"/>
  <c i="5" r="R9"/>
  <c i="4" r="S10"/>
  <c i="1" r="I12"/>
  <c i="4" r="I10" s="1"/>
  <c i="1" r="H12"/>
  <c i="1" r="G12"/>
  <c i="1" r="F12"/>
  <c i="1" r="E12"/>
  <c i="1" r="D12"/>
  <c i="1" r="C12"/>
  <c i="1" r="B12"/>
  <c i="5" l="1" r="D23"/>
  <c i="5" r="D10"/>
  <c i="5" r="D4"/>
  <c i="5" r="E23"/>
  <c i="5" r="E4"/>
  <c i="4" r="H4"/>
  <c i="3" r="H47"/>
  <c i="3" r="H42"/>
  <c i="3" r="H38"/>
  <c i="3" r="H32"/>
  <c i="3" r="H28"/>
  <c i="3" r="H21"/>
  <c i="3" r="H14"/>
  <c i="3" r="H4"/>
  <c i="2" r="M4"/>
  <c i="2" r="L4"/>
  <c i="4" r="H10"/>
  <c i="1" r="H26"/>
  <c i="1" r="H4" s="1"/>
  <c i="1" r="G4"/>
  <c i="6" r="C4"/>
  <c i="5" r="C10"/>
  <c i="5" r="C23"/>
  <c i="5" r="C4"/>
  <c i="4" r="G4"/>
  <c i="3" r="G47"/>
  <c i="3" r="G42"/>
  <c i="3" r="G38"/>
  <c i="3" r="G32"/>
  <c i="3" r="G28"/>
  <c i="3" r="G21"/>
  <c i="3" r="G14"/>
  <c i="3" r="G4"/>
  <c i="2" r="K4"/>
  <c i="2" r="J4"/>
  <c i="1" r="G26"/>
  <c i="6" r="B10"/>
  <c i="5" r="B10"/>
  <c i="3" r="F47"/>
  <c i="3" r="F42"/>
  <c i="3" r="F38"/>
  <c i="3" r="F32"/>
  <c i="3" r="F28"/>
  <c i="3" r="F21"/>
  <c i="3" r="F14"/>
  <c i="3" r="F4" s="1"/>
  <c i="2" r="H10"/>
  <c i="2" r="I10"/>
  <c i="2" r="I4"/>
  <c i="2" r="H4"/>
  <c i="5" r="B9"/>
  <c i="1" r="F26"/>
  <c i="1" r="F4" s="1"/>
  <c i="4" r="F4"/>
  <c i="4" r="I4"/>
  <c i="2" r="G10"/>
  <c i="2" r="G4"/>
  <c i="2" r="F10"/>
  <c i="2" r="F4"/>
  <c i="1" r="E26"/>
  <c i="1" r="E4" s="1"/>
  <c i="4" r="E10"/>
  <c i="3" r="E47"/>
  <c i="3" r="E42"/>
  <c i="3" r="E38"/>
  <c i="3" r="E32"/>
  <c i="3" r="E28"/>
  <c i="3" r="E21"/>
  <c i="3" r="E14"/>
  <c i="3" r="E4" s="1"/>
  <c i="3" r="D47"/>
  <c i="3" r="D42"/>
  <c i="3" r="D38"/>
  <c i="3" r="D32"/>
  <c i="3" r="D28"/>
  <c i="3" r="D21"/>
  <c i="3" r="D4" s="1"/>
  <c i="3" r="D14"/>
  <c i="2" r="E10"/>
  <c i="2" r="E4"/>
  <c i="2" r="D10"/>
  <c i="2" r="D4"/>
  <c i="2" r="C10"/>
  <c i="2" r="C4"/>
  <c i="2" r="B10"/>
  <c i="2" r="B9"/>
  <c i="1" r="D26"/>
  <c i="1" r="D4" s="1"/>
  <c i="1" r="C26"/>
  <c i="1" r="C4" s="1"/>
  <c i="2" l="1" r="M9"/>
  <c i="6" r="C10"/>
  <c i="3" r="H10"/>
  <c i="2" r="L9"/>
  <c i="5" r="E9"/>
  <c i="5" r="D9"/>
  <c i="2" r="I9"/>
  <c i="2" r="J9"/>
  <c i="4" r="G10"/>
  <c i="2" r="K9"/>
  <c i="5" r="C9"/>
  <c i="3" r="G10"/>
  <c i="2" r="H9"/>
  <c i="3" r="F10"/>
  <c i="4" r="F10"/>
  <c i="2" r="F9"/>
  <c i="2" r="G9"/>
  <c i="3" r="E10"/>
  <c i="2" r="C9"/>
  <c i="2" r="D9"/>
  <c i="2" r="E9"/>
  <c i="3" r="D10"/>
  <c i="6" l="1" r="D4"/>
  <c i="5" r="F9"/>
  <c i="7" l="1" r="I4"/>
  <c i="6" r="D10"/>
  <c i="3" r="I10"/>
  <c i="2" r="N9"/>
  <c i="7" r="I10"/>
  <c i="1" l="1" r="B26"/>
  <c i="5" l="1" r="F4"/>
  <c i="7" l="1" r="H10"/>
  <c i="1" l="1" r="B4"/>
  <c i="5" l="1" r="G4"/>
  <c i="2" l="1" r="O4"/>
  <c i="5" l="1" r="B4"/>
  <c i="6" l="1" r="B4"/>
  <c i="2" l="1" r="N4"/>
  <c i="4" l="1" r="E4"/>
  <c i="2" l="1" r="B4"/>
  <c i="3" l="1" r="I4"/>
  <c i="3" r="J4"/>
  <c i="1" r="I26"/>
  <c i="1" r="I4" s="1"/>
  <c i="7" l="1" r="H35"/>
  <c i="7" r="H41"/>
  <c i="7" r="H22"/>
  <c i="7" r="H26"/>
  <c i="7" r="H28"/>
  <c i="7" r="H30"/>
  <c i="7" r="H32"/>
  <c i="7" r="H38"/>
  <c i="7" r="H18"/>
  <c i="7" r="H16"/>
  <c i="7" r="H14"/>
  <c i="7" r="H12"/>
  <c i="7" l="1" r="H4"/>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<sst xmlns="http://schemas.openxmlformats.org/spreadsheetml/2006/main" count="6632" uniqueCount="4299">
  <si>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</si>
  <si>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</si>
  <si>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</si>
  <si>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</si>
  <si>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</si>
  <si>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</si>
  <si>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</si>
  <si>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</si>
  <si>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</si>
  <si>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</si>
  <si>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</si>
  <si>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</si>
  <si>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</si>
  <si>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</si>
  <si>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</si>
  <si>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</si>
  <si>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</si>
  <si>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</si>
  <si>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</si>
  <si>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</si>
  <si>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</si>
  <si>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</si>
  <si>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</si>
  <si>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</si>
  <si>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</si>
  <si>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</si>
  <si>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</si>
  <si>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</si>
  <si>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</si>
  <si>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</si>
  <si>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</si>
  <si>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</si>
  <si>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</si>
  <si>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</si>
  <si>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</si>
  <si>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</si>
  <si>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</si>
  <si>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</si>
  <si>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</si>
  <si>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</si>
  <si>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</si>
  <si>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</si>
  <si>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</si>
  <si>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</si>
  <si>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</si>
  <si>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</si>
  <si>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</si>
  <si>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</si>
  <si>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</si>
  <si>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</si>
  <si>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</si>
  <si>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</si>
  <si>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</si>
  <si>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</si>
  <si>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</si>
  <si>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</si>
  <si>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</si>
  <si>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</si>
  <si>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</si>
  <si>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</si>
  <si>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</si>
  <si>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</si>
  <si>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</si>
  <si>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</si>
  <si>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</si>
  <si>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</si>
  <si>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</si>
  <si>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</si>
  <si>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</si>
  <si>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</si>
  <si>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</si>
  <si>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</si>
  <si>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</si>
  <si>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</si>
  <si>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</si>
  <si>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</si>
  <si>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</si>
  <si>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</si>
  <si>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</si>
  <si>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</si>
  <si>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</si>
  <si>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</si>
  <si>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</si>
  <si>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</si>
  <si>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</si>
  <si>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</si>
  <si>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</si>
  <si>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</si>
  <si>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</si>
  <si>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</si>
  <si>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</si>
  <si>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</si>
  <si>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</si>
  <si>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</si>
  <si>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</si>
  <si>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</si>
  <si>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</si>
  <si>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</si>
  <si>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</si>
  <si>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</si>
  <si>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</si>
  <si>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</si>
  <si>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</si>
  <si>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</si>
  <si>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</si>
  <si>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</si>
  <si>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</si>
  <si>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</si>
  <si>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</si>
  <si>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</si>
  <si>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</si>
  <si>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</si>
  <si>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</si>
  <si>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</si>
  <si>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</si>
  <si>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</si>
  <si>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</si>
  <si>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</si>
  <si>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</si>
  <si>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</si>
  <si>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</si>
  <si>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</si>
  <si>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</si>
  <si>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</si>
  <si>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</si>
  <si>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</si>
  <si>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</si>
  <si>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</si>
  <si>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</si>
  <si>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</si>
  <si>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</si>
  <si>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</si>
  <si>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</si>
  <si>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</si>
  <si>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</si>
  <si>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</si>
  <si>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</si>
  <si>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</si>
  <si>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</si>
  <si>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</si>
  <si>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</si>
  <si>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</si>
  <si>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</si>
  <si>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</si>
  <si>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</si>
  <si>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</si>
  <si>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</si>
  <si>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</si>
  <si>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</si>
  <si>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</si>
  <si>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</si>
  <si>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</si>
  <si>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</si>
  <si>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</si>
  <si>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</si>
  <si>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</si>
  <si>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</si>
  <si>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</si>
  <si>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</si>
  <si>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</si>
  <si>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</si>
  <si>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</si>
  <si>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</si>
  <si>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</si>
  <si>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</si>
  <si>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</si>
  <si>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</si>
  <si>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</si>
  <si>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</si>
  <si>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</si>
  <si>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</si>
  <si>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</si>
  <si>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</si>
  <si>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</si>
  <si>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</si>
  <si>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</si>
  <si>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</si>
  <si>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</si>
  <si>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</si>
  <si>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</si>
  <si>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</si>
  <si>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</si>
  <si>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</si>
  <si>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</si>
  <si>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</si>
  <si>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</si>
  <si>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</si>
  <si>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</si>
  <si>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</si>
  <si>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</si>
  <si>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</si>
  <si>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</si>
  <si>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</si>
  <si>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</si>
  <si>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</si>
  <si>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</si>
  <si>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</si>
  <si>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</si>
  <si>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</si>
  <si>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</si>
  <si>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</si>
  <si>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</si>
  <si>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</si>
  <si>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</si>
  <si>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</si>
  <si>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</si>
  <si>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</si>
  <si>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</si>
  <si>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</si>
  <si>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</si>
  <si>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</si>
  <si>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</si>
  <si>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</si>
  <si>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</si>
  <si>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</si>
  <si>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</si>
  <si>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</si>
  <si>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</si>
  <si>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</si>
  <si>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</si>
  <si>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</si>
  <si>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</si>
  <si>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</si>
  <si>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</si>
  <si>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</si>
  <si>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</si>
  <si>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</si>
  <si>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</si>
  <si>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</si>
  <si>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</si>
  <si>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</si>
  <si>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</si>
  <si>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</si>
  <si>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</si>
  <si>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</si>
  <si>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</si>
  <si>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</si>
  <si>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</si>
  <si>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</si>
  <si>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</si>
  <si>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</si>
  <si>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</si>
  <si>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</si>
  <si>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</si>
  <si>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</si>
  <si>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</si>
  <si>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</si>
  <si>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</si>
  <si>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</si>
  <si>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</si>
  <si>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</si>
  <si>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</si>
  <si>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</si>
  <si>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</si>
  <si>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</si>
  <si>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</si>
  <si>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</si>
  <si>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</si>
  <si>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</si>
  <si>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</si>
  <si>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</si>
  <si>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</si>
  <si>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</si>
  <si>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</si>
  <si>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</si>
  <si>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</si>
  <si>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</si>
  <si>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</si>
  <si>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</si>
  <si>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</si>
  <si>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</si>
  <si>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</si>
  <si>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</si>
  <si>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</si>
  <si>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</si>
  <si>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</si>
  <si>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</si>
  <si>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</si>
  <si>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</si>
  <si>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</si>
  <si>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</si>
  <si>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</si>
  <si>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</si>
  <si>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</si>
  <si>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</si>
  <si>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</si>
  <si>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</si>
  <si>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</si>
  <si>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</si>
  <si>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</si>
  <si>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</si>
  <si>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</si>
  <si>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</si>
  <si>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</si>
  <si>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</si>
  <si>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</si>
  <si>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</si>
  <si>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</si>
  <si>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</si>
  <si>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</si>
  <si>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</si>
  <si>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</si>
  <si>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</si>
  <si>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</si>
  <si>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</si>
  <si>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</si>
  <si>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</si>
  <si>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</si>
  <si>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</si>
  <si>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</si>
  <si>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</si>
  <si>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</si>
  <si>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</si>
  <si>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</si>
  <si>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</si>
  <si>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</si>
  <si>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</si>
  <si>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</si>
  <si>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</si>
  <si>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</si>
  <si>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</si>
  <si>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</si>
  <si>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</si>
  <si>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</si>
  <si>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</si>
  <si>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</si>
  <si>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</si>
  <si>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</si>
  <si>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</si>
  <si>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</si>
  <si>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</si>
  <si>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</si>
  <si>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</si>
  <si>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</si>
  <si>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</si>
  <si>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</si>
  <si>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</si>
  <si>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</si>
  <si>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</si>
  <si>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</si>
  <si>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</si>
  <si>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</si>
  <si>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</si>
  <si>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</si>
  <si>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</si>
  <si>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</si>
  <si>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</si>
  <si>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</si>
  <si>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</si>
  <si>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</si>
  <si>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</si>
  <si>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</si>
  <si>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</si>
  <si>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</si>
  <si>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</si>
  <si>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</si>
  <si>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</si>
  <si>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</si>
  <si>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</si>
  <si>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</si>
  <si>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</si>
  <si>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</si>
  <si>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</si>
  <si>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</si>
  <si>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</si>
  <si>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</si>
  <si>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</si>
  <si>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</si>
  <si>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</si>
  <si>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</si>
  <si>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</si>
  <si>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</si>
  <si>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</si>
  <si>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</si>
  <si>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</si>
  <si>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</si>
  <si>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</si>
  <si>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</si>
  <si>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</si>
  <si>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</si>
  <si>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</si>
  <si>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</si>
  <si>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</si>
  <si>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</si>
  <si>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</si>
  <si>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</si>
  <si>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</si>
  <si>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</si>
  <si>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</si>
  <si>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</si>
  <si>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</si>
  <si>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</si>
  <si>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</si>
  <si>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</si>
  <si>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</si>
  <si>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</si>
  <si>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</si>
  <si>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</si>
  <si>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</si>
  <si>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</si>
  <si>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</si>
  <si>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</si>
  <si>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</si>
  <si>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</si>
  <si>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</si>
  <si>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</si>
  <si>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</si>
  <si>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</si>
  <si>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</si>
  <si>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</si>
  <si>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</si>
  <si>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</si>
  <si>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</si>
  <si>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</si>
  <si>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</si>
  <si>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</si>
  <si>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</si>
  <si>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</si>
  <si>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</si>
  <si>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</si>
  <si>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</si>
  <si>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</si>
  <si>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</si>
  <si>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</si>
  <si>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</si>
  <si>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</si>
  <si>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</si>
  <si>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</si>
  <si>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</si>
  <si>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</si>
  <si>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</si>
  <si>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</si>
  <si>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</si>
  <si>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</si>
  <si>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</si>
  <si>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</si>
  <si>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</si>
  <si>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</si>
  <si>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</si>
  <si>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</si>
  <si>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</si>
  <si>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</si>
  <si>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</si>
  <si>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</si>
  <si>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</si>
  <si>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</si>
  <si>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</si>
  <si>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</si>
  <si>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</si>
  <si>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</si>
  <si>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</si>
  <si>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</si>
  <si>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</si>
  <si>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</si>
  <si>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</si>
  <si>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</si>
  <si>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</si>
  <si>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</si>
  <si>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</si>
  <si>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</si>
  <si>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</si>
  <si>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</si>
  <si>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</si>
  <si>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</si>
  <si>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</si>
  <si>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</si>
  <si>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</si>
  <si>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</si>
  <si>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</si>
  <si>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</si>
  <si>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</si>
  <si>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</si>
  <si>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</si>
  <si>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</si>
  <si>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</si>
  <si>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</si>
  <si>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</si>
  <si>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</si>
  <si>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</si>
  <si>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</si>
  <si>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</si>
  <si>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</si>
  <si>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</si>
  <si>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</si>
  <si>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</si>
  <si>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</si>
  <si>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</si>
  <si>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</si>
  <si>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</si>
  <si>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</si>
  <si>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</si>
  <si>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</si>
  <si>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</si>
  <si>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</si>
  <si>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</si>
  <si>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</si>
  <si>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</si>
  <si>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</si>
  <si>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</si>
  <si>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</si>
  <si>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</si>
  <si>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</si>
  <si>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</si>
  <si>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</si>
  <si>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</si>
  <si>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</si>
  <si>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</si>
  <si>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</si>
  <si>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</si>
  <si>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</si>
  <si>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</si>
  <si>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</si>
  <si>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</si>
  <si>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</si>
  <si>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</si>
  <si>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</si>
  <si>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</si>
  <si>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</si>
  <si>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</si>
  <si>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</si>
  <si>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</si>
  <si>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</si>
  <si>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</si>
  <si>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</si>
  <si>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</si>
  <si>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</si>
  <si>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</si>
  <si>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</si>
  <si>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</si>
  <si>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</si>
  <si>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</si>
  <si>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</si>
  <si>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</si>
  <si>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</si>
  <si>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</si>
  <si>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</si>
  <si>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</si>
  <si>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</si>
  <si>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</si>
  <si>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</si>
  <si>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</si>
  <si>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</si>
  <si>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</si>
  <si>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</si>
  <si>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</si>
  <si>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</si>
  <si>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</si>
  <si>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</si>
  <si>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</si>
  <si>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</si>
  <si>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</si>
  <si>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</si>
  <si>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</si>
  <si>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</si>
  <si>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</si>
  <si>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</si>
  <si>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</si>
  <si>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</si>
  <si>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</si>
  <si>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</si>
  <si>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</si>
  <si>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</si>
  <si>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</si>
  <si>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</si>
  <si>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</si>
  <si>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</si>
  <si>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</si>
  <si>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</si>
  <si>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</si>
  <si>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</si>
  <si>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</si>
  <si>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</si>
  <si>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</si>
  <si>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</si>
  <si>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</si>
  <si>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</si>
  <si>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</si>
  <si>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</si>
  <si>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</si>
  <si>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</si>
  <si>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</si>
  <si>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</si>
  <si>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</si>
  <si>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</si>
  <si>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</si>
  <si>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</si>
  <si>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</si>
  <si>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</si>
  <si>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</si>
  <si>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</si>
  <si>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</si>
  <si>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</si>
  <si>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</si>
  <si>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</si>
  <si>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</si>
  <si>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</si>
  <si>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</si>
  <si>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</si>
  <si>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</si>
  <si>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</si>
  <si>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</si>
  <si>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</si>
  <si>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</si>
  <si>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</si>
  <si>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</si>
  <si>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</si>
  <si>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</si>
  <si>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</si>
  <si>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</si>
  <si>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</si>
  <si>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</si>
  <si>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</si>
  <si>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</si>
  <si>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</si>
  <si>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</si>
  <si>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</si>
  <si>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</si>
  <si>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</si>
  <si>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</si>
  <si>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</si>
  <si>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</si>
  <si>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</si>
  <si>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</si>
  <si>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</si>
  <si>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</si>
  <si>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</si>
  <si>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</si>
  <si>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</si>
  <si>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</si>
  <si>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</si>
  <si>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</si>
  <si>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</si>
  <si>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</si>
  <si>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</si>
  <si>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</si>
  <si>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</si>
  <si>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</si>
  <si>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</si>
  <si>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</si>
  <si>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</si>
  <si>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</si>
  <si>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</si>
  <si>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</si>
  <si>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</si>
  <si>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</si>
  <si>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</si>
  <si>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</si>
  <si>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</si>
  <si>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</si>
  <si>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</si>
  <si>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</si>
  <si>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</si>
  <si>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</si>
  <si>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</si>
  <si>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</si>
  <si>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</si>
  <si>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</si>
  <si>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</si>
  <si>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</si>
  <si>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</si>
  <si>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</si>
  <si>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</si>
  <si>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</si>
  <si>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</si>
  <si>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</si>
  <si>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</si>
  <si>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</si>
  <si>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</si>
  <si>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</si>
  <si>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</si>
  <si>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</si>
  <si>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</si>
  <si>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</si>
  <si>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</si>
  <si>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</si>
  <si>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</si>
  <si>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</si>
  <si>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</si>
  <si>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</si>
  <si>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</si>
  <si>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</si>
  <si>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</si>
  <si>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</si>
  <si>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</si>
  <si>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</si>
  <si>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</si>
  <si>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</si>
  <si>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</si>
  <si>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</si>
  <si>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</si>
  <si>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</si>
  <si>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</si>
  <si>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</si>
  <si>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</si>
  <si>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</si>
  <si>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</si>
  <si>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</si>
  <si>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</si>
  <si>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</si>
  <si>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</si>
  <si>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</si>
  <si>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</si>
  <si>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</si>
  <si>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</si>
  <si>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</si>
  <si>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</si>
  <si>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</si>
  <si>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</si>
  <si>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</si>
  <si>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</si>
  <si>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</si>
  <si>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</si>
  <si>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</si>
  <si>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</si>
  <si>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</si>
  <si>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</si>
  <si>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</si>
  <si>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</si>
  <si>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</si>
  <si>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</si>
  <si>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</si>
  <si>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</si>
  <si>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</si>
  <si>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</si>
  <si>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</si>
  <si>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</si>
  <si>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</si>
  <si>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</si>
  <si>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</si>
  <si>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</si>
  <si>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</si>
  <si>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</si>
  <si>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</si>
  <si>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</si>
  <si>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</si>
  <si>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</si>
  <si>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</si>
  <si>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</si>
  <si>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</si>
  <si>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</si>
  <si>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</si>
  <si>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</si>
  <si>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</si>
  <si>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</si>
  <si>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</si>
  <si>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</si>
  <si>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</si>
  <si>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</si>
  <si>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</si>
  <si>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</si>
  <si>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</si>
  <si>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</si>
  <si>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</si>
  <si>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</si>
  <si>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</si>
  <si>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</si>
  <si>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</si>
  <si>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</si>
  <si>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</si>
  <si>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</si>
  <si>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</si>
  <si>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</si>
  <si>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</si>
  <si>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</si>
  <si>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</si>
  <si>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</si>
  <si>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</si>
  <si>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</si>
  <si>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</si>
  <si>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</si>
  <si>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</si>
  <si>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</si>
  <si>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</si>
  <si>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</si>
  <si>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</si>
  <si>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</si>
  <si>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</si>
  <si>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</si>
  <si>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</si>
  <si>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</si>
  <si>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</si>
  <si>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</si>
  <si>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</si>
  <si>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</si>
  <si>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</si>
  <si>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</si>
  <si>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</si>
  <si>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</si>
  <si>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</si>
  <si>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</si>
  <si>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</si>
  <si>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</si>
  <si>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</si>
  <si>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</si>
  <si>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</si>
  <si>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</si>
  <si>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</si>
  <si>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</si>
  <si>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</si>
  <si>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</si>
  <si>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</si>
  <si>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</si>
  <si>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</si>
  <si>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</si>
  <si>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</si>
  <si>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</si>
  <si>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</si>
  <si>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</si>
  <si>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</si>
  <si>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</si>
  <si>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</si>
  <si>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</si>
  <si>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</si>
  <si>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</si>
  <si>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</si>
  <si>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</si>
  <si>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</si>
  <si>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</si>
  <si>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</si>
  <si>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</si>
  <si>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</si>
  <si>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</si>
  <si>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</si>
  <si>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</si>
  <si>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</si>
  <si>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</si>
  <si>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</si>
  <si>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</si>
  <si>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</si>
  <si>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</si>
  <si>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</si>
  <si>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</si>
  <si>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</si>
  <si>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</si>
  <si>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</si>
  <si>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</si>
  <si>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</si>
  <si>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</si>
  <si>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</si>
  <si>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</si>
  <si>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</si>
  <si>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</si>
  <si>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</si>
  <si>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</si>
  <si>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</si>
  <si>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</si>
  <si>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</si>
  <si>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</si>
  <si>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</si>
  <si>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</si>
  <si>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</si>
  <si>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</si>
  <si>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</si>
  <si>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</si>
  <si>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</si>
  <si>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</si>
  <si>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</si>
  <si>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</si>
  <si>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</si>
  <si>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</si>
  <si>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</si>
  <si>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</si>
  <si>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</si>
  <si>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</si>
  <si>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</si>
  <si>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</si>
  <si>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</si>
  <si>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</si>
  <si>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</si>
  <si>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</si>
  <si>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</si>
  <si>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</si>
  <si>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</si>
  <si>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</si>
  <si>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</si>
  <si>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</si>
  <si>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</si>
  <si>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</si>
  <si>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</si>
  <si>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</si>
  <si>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</si>
  <si>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</si>
  <si>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</si>
  <si>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</si>
  <si>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</si>
  <si>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</si>
  <si>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</si>
  <si>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</si>
  <si>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</si>
  <si>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</si>
  <si>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</si>
  <si>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</si>
  <si>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</si>
  <si>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</si>
  <si>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</si>
  <si>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</si>
  <si>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</si>
  <si>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</si>
  <si>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</si>
  <si>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</si>
  <si>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</si>
  <si>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</si>
  <si>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</si>
  <si>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</si>
  <si>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</si>
  <si>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</si>
  <si>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</si>
  <si>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</si>
  <si>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</si>
  <si>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</si>
  <si>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</si>
  <si>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</si>
  <si>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</si>
  <si>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</si>
  <si>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</si>
  <si>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</si>
  <si>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</si>
  <si>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</si>
  <si>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</si>
  <si>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</si>
  <si>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</si>
  <si>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</si>
  <si>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</si>
  <si>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</si>
  <si>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</si>
  <si>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</si>
  <si>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</si>
  <si>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</si>
  <si>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</si>
  <si>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</si>
  <si>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</si>
  <si>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</si>
  <si>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</si>
  <si>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</si>
  <si>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</si>
  <si>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</si>
  <si>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</si>
  <si>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</si>
  <si>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</si>
  <si>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</si>
  <si>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</si>
  <si>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</si>
  <si>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</si>
  <si>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</si>
  <si>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</si>
  <si>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</si>
  <si>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</si>
  <si>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</si>
  <si>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</si>
  <si>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</si>
  <si>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</si>
  <si>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</si>
  <si>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</si>
  <si>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</si>
  <si>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</si>
  <si>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</si>
  <si>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</si>
  <si>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</si>
  <si>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</si>
  <si>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</si>
  <si>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</si>
  <si>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</si>
  <si>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</si>
  <si>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</si>
  <si>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</si>
  <si>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</si>
  <si>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</si>
  <si>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</si>
  <si>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</si>
  <si>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</si>
  <si>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</si>
  <si>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</si>
  <si>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</si>
  <si>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</si>
  <si>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</si>
  <si>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</si>
  <si>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</si>
  <si>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</si>
  <si>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</si>
  <si>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</si>
  <si>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</si>
  <si>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</si>
  <si>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</si>
  <si>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</si>
  <si>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</si>
  <si>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</si>
  <si>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</si>
  <si>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</si>
  <si>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</si>
  <si>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</si>
  <si>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</si>
  <si>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</si>
  <si>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</si>
  <si>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</si>
  <si>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</si>
  <si>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</si>
  <si>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</si>
  <si>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</si>
  <si>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</si>
  <si>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</si>
  <si>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</si>
  <si>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</si>
  <si>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</si>
  <si>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</si>
  <si>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</si>
  <si>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</si>
  <si>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</si>
  <si>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</si>
  <si>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</si>
  <si>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</si>
  <si>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</si>
  <si>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</si>
  <si>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</si>
  <si>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</si>
  <si>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</si>
  <si>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</si>
  <si>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</si>
  <si>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</si>
  <si>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</si>
  <si>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</si>
  <si>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</si>
  <si>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</si>
  <si>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</si>
  <si>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</si>
  <si>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</si>
  <si>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</si>
  <si>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</si>
  <si>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</si>
  <si>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</si>
  <si>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</si>
  <si>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</si>
  <si>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</si>
  <si>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</si>
  <si>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</si>
  <si>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</si>
  <si>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</si>
  <si>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</si>
  <si>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</si>
  <si>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</si>
  <si>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</si>
  <si>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</si>
  <si>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</si>
  <si>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</si>
  <si>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</si>
  <si>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</si>
  <si>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</si>
  <si>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</si>
  <si>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</si>
  <si>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</si>
  <si>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</si>
  <si>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</si>
  <si>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</si>
  <si>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</si>
  <si>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</si>
  <si>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</si>
  <si>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</si>
  <si>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</si>
  <si>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</si>
  <si>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</si>
  <si>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</si>
  <si>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</si>
  <si>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</si>
  <si>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</si>
  <si>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</si>
  <si>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</si>
  <si>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</si>
  <si>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</si>
  <si>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</si>
  <si>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</si>
  <si>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</si>
  <si>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</si>
  <si>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</si>
  <si>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</si>
  <si>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</si>
  <si>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</si>
  <si>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</si>
  <si>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</si>
  <si>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</si>
  <si>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</si>
  <si>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</si>
  <si>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</si>
  <si>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</si>
  <si>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</si>
  <si>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</si>
  <si>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</si>
  <si>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</si>
  <si>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</si>
  <si>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</si>
  <si>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</si>
  <si>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</si>
  <si>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</si>
  <si>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</si>
  <si>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</si>
  <si>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</si>
  <si>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</si>
  <si>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</si>
  <si>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</si>
  <si>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</si>
  <si>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</si>
  <si>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</si>
  <si>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</si>
  <si>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</si>
  <si>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</si>
  <si>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</si>
  <si>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</si>
  <si>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</si>
  <si>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</si>
  <si>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</si>
  <si>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</si>
  <si>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</si>
  <si>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</si>
  <si>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</si>
  <si>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</si>
  <si>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</si>
  <si>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</si>
  <si>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</si>
  <si>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</si>
  <si>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</si>
  <si>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</si>
  <si>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</si>
  <si>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</si>
  <si>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</si>
  <si>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</si>
  <si>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</si>
  <si>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</si>
  <si>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</si>
  <si>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</si>
  <si>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</si>
  <si>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</si>
  <si>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</si>
  <si>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</si>
  <si>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</si>
  <si>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</si>
  <si>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</si>
  <si>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</si>
  <si>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</si>
  <si>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</si>
  <si>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</si>
  <si>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</si>
  <si>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</si>
  <si>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</si>
  <si>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</si>
  <si>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</si>
  <si>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</si>
  <si>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</si>
  <si>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</si>
  <si>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</si>
  <si>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</si>
  <si>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</si>
  <si>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</si>
  <si>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</si>
  <si>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</si>
  <si>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</si>
  <si>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</si>
  <si>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</si>
  <si>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</si>
  <si>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</si>
  <si>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</si>
  <si>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</si>
  <si>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</si>
  <si>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</si>
  <si>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</si>
  <si>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</si>
  <si>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</si>
  <si>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</si>
  <si>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</si>
  <si>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</si>
  <si>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</si>
  <si>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</si>
  <si>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</si>
  <si>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</si>
  <si>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</si>
  <si>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</si>
  <si>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</si>
  <si>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</si>
  <si>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</si>
  <si>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</si>
  <si>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</si>
  <si>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</si>
  <si>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</si>
  <si>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</si>
  <si>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</si>
  <si>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</si>
  <si>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</si>
  <si>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</si>
  <si>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</si>
  <si>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</si>
  <si>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</si>
  <si>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</si>
  <si>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</si>
  <si>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</si>
  <si>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</si>
  <si>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</si>
  <si>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</si>
  <si>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</si>
  <si>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</si>
  <si>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</si>
  <si>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</si>
  <si>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</si>
  <si>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</si>
  <si>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</si>
  <si>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</si>
  <si>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</si>
  <si>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</si>
  <si>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</si>
  <si>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</si>
  <si>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</si>
  <si>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</si>
  <si>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</si>
  <si>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</si>
  <si>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</si>
  <si>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</si>
  <si>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</si>
  <si>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</si>
  <si>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</si>
  <si>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</si>
  <si>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</si>
  <si>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</si>
  <si>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</si>
  <si>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</si>
  <si>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</si>
  <si>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</si>
  <si>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</si>
  <si>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</si>
  <si>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</si>
  <si>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</si>
  <si>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</si>
  <si>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</si>
  <si>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</si>
  <si>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</si>
  <si>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</si>
  <si>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</si>
  <si>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</si>
  <si>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</si>
  <si>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</si>
  <si>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</si>
  <si>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</si>
  <si>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</si>
  <si>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</si>
  <si>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</si>
  <si>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</si>
  <si>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</si>
  <si>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</si>
  <si>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</si>
  <si>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</si>
  <si>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</si>
  <si>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</si>
  <si>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</si>
  <si>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</si>
  <si>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</si>
  <si>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</si>
  <si>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</si>
  <si>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</si>
  <si>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</si>
  <si>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</si>
  <si>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</si>
  <si>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</si>
  <si>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</si>
  <si>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</si>
  <si>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</si>
  <si>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</si>
  <si>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</si>
  <si>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</si>
  <si>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</si>
  <si>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</si>
  <si>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</si>
  <si>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</si>
  <si>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</si>
  <si>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</si>
  <si>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</si>
  <si>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</si>
  <si>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</si>
  <si>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</si>
  <si>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</si>
  <si>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</si>
  <si>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</si>
  <si>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</si>
  <si>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</si>
  <si>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</si>
  <si>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</si>
  <si>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</si>
  <si>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</si>
  <si>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</si>
  <si>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</si>
  <si>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</si>
  <si>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</si>
  <si>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</si>
  <si>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</si>
  <si>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</si>
  <si>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</si>
  <si>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</si>
  <si>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</si>
  <si>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</si>
  <si>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</si>
  <si>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</si>
  <si>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</si>
  <si>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</si>
  <si>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</si>
  <si>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</si>
  <si>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</si>
  <si>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</si>
  <si>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</si>
  <si>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</si>
  <si>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</si>
  <si>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</si>
  <si>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</si>
  <si>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</si>
  <si>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</si>
  <si>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</si>
  <si>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</si>
  <si>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</si>
  <si>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</si>
  <si>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</si>
  <si>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</si>
  <si>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</si>
  <si>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</si>
  <si>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</si>
  <si>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</si>
  <si>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</si>
  <si>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</si>
  <si>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</si>
  <si>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</si>
  <si>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</si>
  <si>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</si>
  <si>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</si>
  <si>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</si>
  <si>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</si>
  <si>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</si>
  <si>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</si>
  <si>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</si>
  <si>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</si>
  <si>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</si>
  <si>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</si>
  <si>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</si>
  <si>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</si>
  <si>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</si>
  <si>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</si>
  <si>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</si>
  <si>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</si>
  <si>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</si>
  <si>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</si>
  <si>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</si>
  <si>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</si>
  <si>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</si>
  <si>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</si>
  <si>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</si>
  <si>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</si>
  <si>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</si>
  <si>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</si>
  <si>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</si>
  <si>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</si>
  <si>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</si>
  <si>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</si>
  <si>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</si>
  <si>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</si>
  <si>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</si>
  <si>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</si>
  <si>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</si>
  <si>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</si>
  <si>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</si>
  <si>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</si>
  <si>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</si>
  <si>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</si>
  <si>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</si>
  <si>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</si>
  <si>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</si>
  <si>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</si>
  <si>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</si>
  <si>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</si>
  <si>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</si>
  <si>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</si>
  <si>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</si>
  <si>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</si>
  <si>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</si>
  <si>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</si>
  <si>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</si>
  <si>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</si>
  <si>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</si>
  <si>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</si>
  <si>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</si>
  <si>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</si>
  <si>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</si>
  <si>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</si>
  <si>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</si>
  <si>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</si>
  <si>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</si>
  <si>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</si>
  <si>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</si>
  <si>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</si>
  <si>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</si>
  <si>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</si>
  <si>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</si>
  <si>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</si>
  <si>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</si>
  <si>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</si>
  <si>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</si>
  <si>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</si>
  <si>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</si>
  <si>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</si>
  <si>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</si>
  <si>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</si>
  <si>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</si>
  <si>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</si>
  <si>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</si>
  <si>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</si>
  <si>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</si>
  <si>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</si>
  <si>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</si>
  <si>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</si>
  <si>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</si>
  <si>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</si>
  <si>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</si>
  <si>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</si>
  <si>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</si>
  <si>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</si>
  <si>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</si>
  <si>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</si>
  <si>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</si>
  <si>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</si>
  <si>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</si>
  <si>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</si>
  <si>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</si>
  <si>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</si>
  <si>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</si>
  <si>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</si>
  <si>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</si>
  <si>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</si>
  <si>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</si>
  <si>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</si>
  <si>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</si>
  <si>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</si>
  <si>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</si>
  <si>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</si>
  <si>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</si>
  <si>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</si>
  <si>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</si>
  <si>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</si>
  <si>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</si>
  <si>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</si>
  <si>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</si>
  <si>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</si>
  <si>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</si>
  <si>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</si>
  <si>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</si>
  <si>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</si>
  <si>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</si>
  <si>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</si>
  <si>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</si>
  <si>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</si>
  <si>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</si>
  <si>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</si>
  <si>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</si>
  <si>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</si>
  <si>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</si>
  <si>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</si>
  <si>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</si>
  <si>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</si>
  <si>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</si>
  <si>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</si>
  <si>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</si>
  <si>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</si>
  <si>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</si>
  <si>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</si>
  <si>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</si>
  <si>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</si>
  <si>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</si>
  <si>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</si>
  <si>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</si>
  <si>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</si>
  <si>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</si>
  <si>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</si>
  <si>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</si>
  <si>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</si>
  <si>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</si>
  <si>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</si>
  <si>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</si>
  <si>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</si>
  <si>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</si>
  <si>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</si>
  <si>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</si>
  <si>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</si>
  <si>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</si>
  <si>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</si>
  <si>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</si>
  <si>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</si>
  <si>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</si>
  <si>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</si>
  <si>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</si>
  <si>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</si>
  <si>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</si>
  <si>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</si>
  <si>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</si>
  <si>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</si>
  <si>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</si>
  <si>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</si>
  <si>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</si>
  <si>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</si>
  <si>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</si>
  <si>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</si>
  <si>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</si>
  <si>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</si>
  <si>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</si>
  <si>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</si>
  <si>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</si>
  <si>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</si>
  <si>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</si>
  <si>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</si>
  <si>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</si>
  <si>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</si>
  <si>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</si>
  <si>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</si>
  <si>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</si>
  <si>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</si>
  <si>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</si>
  <si>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</si>
  <si>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</si>
  <si>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</si>
  <si>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</si>
  <si>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</si>
  <si>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</si>
  <si>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</si>
  <si>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</si>
  <si>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</si>
  <si>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</si>
  <si>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</si>
  <si>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</si>
  <si>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</si>
  <si>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</si>
  <si>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</si>
  <si>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</si>
  <si>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</si>
  <si>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</si>
  <si>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</si>
  <si>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</si>
  <si>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</si>
  <si>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</si>
  <si>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</si>
  <si>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</si>
  <si>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</si>
  <si>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</si>
  <si>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</si>
  <si>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</si>
  <si>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</si>
  <si>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</si>
  <si>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</si>
  <si>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</si>
  <si>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</si>
  <si>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</si>
  <si>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</si>
  <si>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</si>
  <si>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</si>
  <si>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</si>
  <si>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</si>
  <si>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</si>
  <si>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</si>
  <si>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</si>
  <si>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</si>
  <si>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</si>
  <si>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</si>
  <si>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</si>
  <si>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</si>
  <si>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</si>
  <si>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</si>
  <si>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</si>
  <si>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</si>
  <si>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</si>
  <si>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</si>
  <si>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</si>
  <si>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</si>
  <si>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</si>
  <si>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</si>
  <si>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</si>
  <si>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</si>
  <si>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</si>
  <si>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</si>
  <si>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</si>
  <si>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</si>
  <si>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</si>
  <si>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</si>
  <si>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</si>
  <si>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</si>
  <si>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</si>
  <si>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</si>
  <si>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</si>
  <si>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</si>
  <si>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</si>
  <si>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</si>
  <si>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</si>
  <si>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</si>
  <si>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</si>
  <si>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</si>
  <si>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</si>
  <si>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</si>
  <si>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</si>
  <si>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</si>
  <si>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</si>
  <si>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</si>
  <si>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</si>
  <si>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</si>
  <si>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</si>
  <si>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</si>
  <si>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</si>
  <si>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</si>
  <si>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</si>
  <si>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</si>
  <si>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</si>
  <si>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</si>
  <si>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</si>
  <si>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</si>
  <si>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</si>
  <si>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</si>
  <si>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</si>
  <si>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</si>
  <si>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</si>
  <si>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</si>
  <si>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</si>
  <si>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</si>
  <si>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</si>
  <si>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</si>
  <si>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</si>
  <si>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</si>
  <si>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</si>
  <si>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</si>
  <si>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</si>
  <si>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</si>
  <si>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</si>
  <si>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</si>
  <si>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</si>
  <si>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</si>
  <si>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</si>
  <si>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</si>
  <si>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</si>
  <si>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</si>
  <si>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</si>
  <si>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</si>
  <si>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</si>
  <si>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</si>
  <si>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</si>
  <si>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</si>
  <si>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</si>
  <si>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</si>
  <si>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</si>
  <si>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</si>
  <si>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</si>
  <si>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</si>
  <si>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</si>
  <si>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</si>
  <si>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</si>
  <si>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</si>
  <si>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</si>
  <si>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</si>
  <si>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</si>
  <si>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</si>
  <si>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</si>
  <si>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</si>
  <si>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</si>
  <si>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</si>
  <si>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</si>
  <si>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</si>
  <si>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</si>
  <si>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</si>
  <si>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</si>
  <si>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</si>
  <si>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</si>
  <si>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</si>
  <si>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</si>
  <si>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</si>
  <si>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</si>
  <si>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</si>
  <si>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</si>
  <si>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</si>
  <si>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</si>
  <si>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</si>
  <si>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</si>
  <si>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</si>
  <si>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</si>
  <si>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</si>
  <si>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</si>
  <si>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</si>
  <si>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</si>
  <si>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</si>
  <si>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</si>
  <si>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</si>
  <si>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</si>
  <si>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</si>
  <si>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</si>
  <si>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</si>
  <si>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</si>
  <si>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</si>
  <si>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</si>
  <si>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</si>
  <si>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</si>
  <si>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</si>
  <si>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</si>
  <si>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</si>
  <si>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</si>
  <si>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</si>
  <si>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</si>
  <si>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</si>
  <si>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</si>
  <si>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</si>
  <si>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</si>
  <si>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</si>
  <si>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</si>
  <si>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</si>
  <si>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</si>
  <si>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</si>
  <si>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</si>
  <si>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</si>
  <si>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</si>
  <si>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</si>
  <si>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</si>
  <si>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</si>
  <si>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</si>
  <si>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</si>
  <si>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</si>
  <si>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</si>
  <si>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</si>
  <si>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</si>
  <si>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</si>
  <si>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</si>
  <si>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</si>
  <si>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</si>
  <si>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</si>
  <si>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</si>
  <si>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</si>
  <si>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</si>
  <si>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</si>
  <si>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</si>
  <si>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</si>
  <si>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</si>
  <si>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</si>
  <si>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</si>
  <si>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</si>
  <si>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</si>
  <si>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</si>
  <si>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</si>
  <si>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</si>
  <si>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</si>
  <si>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</si>
  <si>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</si>
  <si>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</si>
  <si>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</si>
  <si>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</si>
  <si>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</si>
  <si>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</si>
  <si>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</si>
  <si>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</si>
  <si>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</si>
  <si>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</si>
  <si>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</si>
  <si>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</si>
  <si>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</si>
  <si>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</si>
  <si>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</si>
  <si>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</si>
  <si>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</si>
  <si>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</si>
  <si>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</si>
  <si>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</si>
  <si>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</si>
  <si>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</si>
  <si>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</si>
  <si>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</si>
  <si>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</si>
  <si>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</si>
  <si>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</si>
  <si>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</si>
  <si>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</si>
  <si>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</si>
  <si>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</si>
  <si>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</si>
  <si>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</si>
  <si>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</si>
  <si>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</si>
  <si>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</si>
  <si>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</si>
  <si>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</si>
  <si>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</si>
  <si>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</si>
  <si>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</si>
  <si>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</si>
  <si>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</si>
  <si>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</si>
  <si>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</si>
  <si>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</si>
  <si>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</si>
  <si>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</si>
  <si>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</si>
  <si>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</si>
  <si>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</si>
  <si>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</si>
  <si>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</si>
  <si>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</si>
  <si>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</si>
  <si>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</si>
  <si>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</si>
  <si>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</si>
  <si>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</si>
  <si>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</si>
  <si>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</si>
  <si>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</si>
  <si>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</si>
  <si>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</si>
  <si>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</si>
  <si>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</si>
  <si>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</si>
  <si>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</si>
  <si>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</si>
  <si>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</si>
  <si>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</si>
  <si>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</si>
  <si>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</si>
  <si>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</si>
  <si>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</si>
  <si>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</si>
  <si>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</si>
  <si>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</si>
  <si>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</si>
  <si>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</si>
  <si>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</si>
  <si>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</si>
  <si>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</si>
  <si>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</si>
  <si>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</si>
  <si>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</si>
  <si>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</si>
  <si>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</si>
  <si>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</si>
  <si>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</si>
  <si>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</si>
  <si>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</si>
  <si>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</si>
  <si>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</si>
  <si>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</si>
  <si>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</si>
  <si>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</si>
  <si>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</si>
  <si>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</si>
  <si>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</si>
  <si>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</si>
  <si>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</si>
  <si>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</si>
  <si>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</si>
  <si>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</si>
  <si>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</si>
  <si>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</si>
  <si>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</si>
  <si>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</si>
  <si>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</si>
  <si>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</si>
  <si>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</si>
  <si>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</si>
  <si>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</si>
  <si>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</si>
  <si>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</si>
  <si>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</si>
  <si>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</si>
  <si>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</si>
  <si>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</si>
  <si>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</si>
  <si>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</si>
  <si>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</si>
  <si>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</si>
  <si>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</si>
  <si>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</si>
  <si>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</si>
  <si>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</si>
  <si>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</si>
  <si>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</si>
  <si>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</si>
  <si>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</si>
  <si>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</si>
  <si>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</si>
  <si>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</si>
  <si>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</si>
  <si>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</si>
  <si>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</si>
  <si>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</si>
  <si>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</si>
  <si>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</si>
  <si>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</si>
  <si>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</si>
  <si>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</si>
  <si>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</si>
  <si>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</si>
  <si>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</si>
  <si>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</si>
  <si>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</si>
  <si>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</si>
  <si>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</si>
  <si>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</si>
  <si>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</si>
  <si>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</si>
  <si>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</si>
  <si>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</si>
  <si>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</si>
  <si>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</si>
  <si>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</si>
  <si>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</si>
  <si>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</si>
  <si>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</si>
  <si>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</si>
  <si>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</si>
  <si>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</si>
  <si>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</si>
  <si>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</si>
  <si>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</si>
  <si>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</si>
  <si>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</si>
  <si>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</si>
  <si>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</si>
  <si>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</si>
  <si>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</si>
  <si>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</si>
  <si>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</si>
  <si>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</si>
  <si>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</si>
  <si>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</si>
  <si>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</si>
  <si>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</si>
  <si>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</si>
  <si>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</si>
  <si>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</si>
  <si>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</si>
  <si>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</si>
  <si>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</si>
  <si>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</si>
  <si>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</si>
  <si>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</si>
  <si>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</si>
  <si>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</si>
  <si>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</si>
  <si>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</si>
  <si>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</si>
  <si>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</si>
  <si>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</si>
  <si>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</si>
  <si>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</si>
  <si>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</si>
  <si>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</si>
  <si>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</si>
  <si>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</si>
  <si>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</si>
  <si>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</si>
  <si>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</si>
  <si>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</si>
  <si>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</si>
  <si>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</si>
  <si>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</si>
  <si>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</si>
  <si>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</si>
  <si>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</si>
  <si>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</si>
  <si>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</si>
  <si>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</si>
  <si>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</si>
  <si>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</si>
  <si>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</si>
  <si>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</si>
  <si>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</si>
  <si>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</si>
  <si>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</si>
  <si>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</si>
  <si>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</si>
  <si>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</si>
  <si>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</si>
  <si>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</si>
  <si>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</si>
  <si>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</si>
  <si>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</si>
  <si>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</si>
  <si>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</si>
  <si>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</si>
  <si>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</si>
  <si>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</si>
  <si>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</si>
  <si>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</si>
  <si>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</si>
  <si>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</si>
  <si>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</si>
  <si>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</si>
  <si>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</si>
  <si>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</si>
  <si>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</si>
  <si>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</si>
  <si>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</si>
  <si>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</si>
  <si>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</si>
  <si>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</si>
  <si>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</si>
  <si>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</si>
  <si>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</si>
  <si>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</si>
  <si>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</si>
  <si>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</si>
  <si>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</si>
  <si>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</si>
  <si>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</si>
  <si>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</si>
  <si>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</si>
  <si>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</si>
  <si>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</si>
  <si>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</si>
  <si>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</si>
  <si>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</si>
  <si>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</si>
  <si>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</si>
  <si>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</si>
  <si>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</si>
  <si>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</si>
  <si>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</si>
  <si>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</si>
  <si>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</si>
  <si>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</si>
  <si>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</si>
  <si>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</si>
  <si>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</si>
  <si>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</si>
  <si>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</si>
  <si>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</si>
  <si>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</si>
  <si>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</si>
  <si>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</si>
  <si>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</si>
  <si>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</si>
  <si>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</si>
  <si>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</si>
  <si>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</si>
  <si>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</si>
  <si>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</si>
  <si>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</si>
  <si>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</si>
  <si>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</si>
  <si>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</si>
  <si>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</si>
  <si>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</si>
  <si>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</si>
  <si>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</si>
  <si>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</si>
  <si>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</si>
  <si>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</si>
  <si>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</si>
  <si>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</si>
  <si>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</si>
  <si>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</si>
  <si>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</si>
  <si>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</si>
  <si>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</si>
  <si>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</si>
  <si>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</si>
  <si>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</si>
  <si>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</si>
  <si>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</si>
  <si>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</si>
  <si>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</si>
  <si>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</si>
  <si>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</si>
  <si>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</si>
  <si>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</si>
  <si>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</si>
  <si>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</si>
  <si>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</si>
  <si>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</si>
  <si>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</si>
  <si>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</si>
  <si>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</si>
  <si>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</si>
  <si>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</si>
  <si>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</si>
  <si>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</si>
  <si>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</si>
  <si>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</si>
  <si>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</si>
  <si>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</si>
  <si>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</si>
  <si>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</si>
  <si>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</si>
  <si>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</si>
  <si>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</si>
  <si>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</si>
  <si>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</si>
  <si>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</si>
  <si>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</si>
  <si>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</si>
  <si>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</si>
  <si>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</si>
  <si>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</si>
  <si>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</si>
  <si>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</si>
  <si>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</si>
  <si>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</si>
  <si>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</si>
  <si>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</si>
  <si>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</si>
  <si>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</si>
  <si>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</si>
  <si>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</si>
  <si>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</si>
  <si>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</si>
  <si>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</si>
  <si>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</si>
  <si>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</si>
  <si>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</si>
  <si>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</si>
  <si>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</si>
  <si>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</si>
  <si>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</si>
  <si>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</si>
  <si>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</si>
  <si>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</si>
  <si>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</si>
  <si>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</si>
  <si>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</si>
  <si>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</si>
  <si>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</si>
  <si>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</si>
  <si>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</si>
  <si>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</si>
  <si>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</si>
  <si>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</si>
  <si>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</si>
  <si>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</si>
  <si>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</si>
  <si>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</si>
  <si>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</si>
  <si>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</si>
  <si>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</si>
  <si>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</si>
  <si>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</si>
  <si>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</si>
  <si>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</si>
  <si>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</si>
  <si>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</si>
  <si>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</si>
  <si>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</si>
  <si>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</si>
  <si>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</si>
  <si>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</si>
  <si>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</si>
  <si>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</si>
  <si>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</si>
  <si>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</si>
  <si>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</si>
  <si>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</si>
  <si>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</si>
  <si>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</si>
  <si>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</si>
  <si>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</si>
  <si>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</si>
  <si>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</si>
  <si>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</si>
  <si>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</si>
  <si>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</si>
  <si>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</si>
  <si>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</si>
  <si>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</si>
  <si>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</si>
  <si>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</si>
  <si>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</si>
  <si>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</si>
  <si>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</si>
  <si>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</si>
  <si>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</si>
  <si>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</si>
  <si>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</si>
  <si>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</si>
  <si>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</si>
  <si>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</si>
  <si>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</si>
  <si>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</si>
  <si>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</si>
  <si>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</si>
  <si>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</si>
  <si>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</si>
  <si>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</si>
  <si>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</si>
  <si>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</si>
  <si>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</si>
  <si>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</si>
  <si>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</si>
  <si>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</si>
  <si>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</si>
  <si>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</si>
  <si>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</si>
  <si>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</si>
  <si>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</si>
  <si>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</si>
  <si>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</si>
  <si>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</si>
  <si>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</si>
  <si>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</si>
  <si>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</si>
  <si>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</si>
  <si>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</si>
  <si>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</si>
  <si>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</si>
  <si>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</si>
  <si>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</si>
  <si>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</si>
  <si>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</si>
  <si>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</si>
  <si>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</si>
  <si>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</si>
  <si>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</si>
  <si>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</si>
  <si>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</si>
  <si>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</si>
  <si>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</si>
  <si>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</si>
  <si>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</si>
  <si>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</si>
  <si>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</si>
  <si>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</si>
  <si>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</si>
  <si>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</si>
  <si>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</si>
  <si>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</si>
  <si>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</si>
  <si>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</si>
  <si>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</si>
  <si>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</si>
  <si>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</si>
  <si>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</si>
  <si>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</si>
  <si>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</si>
  <si>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</si>
  <si>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</si>
  <si>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</si>
  <si>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</si>
  <si>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</si>
  <si>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</si>
  <si>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</si>
  <si>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</si>
  <si>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</si>
  <si>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</si>
  <si>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</si>
  <si>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</si>
  <si>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</si>
  <si>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</si>
  <si>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</si>
  <si>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</si>
  <si>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</si>
  <si>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</si>
  <si>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</si>
  <si>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</si>
  <si>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</si>
  <si>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</si>
  <si>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</si>
  <si>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</si>
  <si>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</si>
  <si>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</si>
  <si>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</si>
  <si>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</si>
  <si>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</si>
  <si>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</si>
  <si>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</si>
  <si>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</si>
  <si>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</si>
  <si>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</si>
  <si>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</si>
  <si>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</si>
  <si>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</si>
  <si>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</si>
  <si>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</si>
  <si>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</si>
  <si>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</si>
  <si>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</si>
  <si>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</si>
  <si>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</si>
  <si>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</si>
  <si>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</si>
  <si>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</si>
  <si>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</si>
  <si>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</si>
  <si>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</si>
  <si>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</si>
  <si>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</si>
  <si>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</si>
  <si>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</si>
  <si>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</si>
  <si>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</si>
  <si>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</si>
  <si>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</si>
  <si>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</si>
  <si>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</si>
  <si>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</si>
  <si>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</si>
  <si>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</si>
  <si>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</si>
  <si>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</si>
  <si>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</si>
  <si>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</si>
  <si>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</si>
  <si>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</si>
  <si>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</si>
  <si>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</si>
  <si>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</si>
  <si>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</si>
  <si>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</si>
  <si>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</si>
  <si>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</si>
  <si>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</si>
  <si>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</si>
  <si>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</si>
  <si>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</si>
  <si>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</si>
  <si>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</si>
  <si>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</si>
  <si>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</si>
  <si>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</si>
  <si>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</si>
  <si>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</si>
  <si>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</si>
  <si>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</si>
  <si>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</si>
  <si>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</si>
  <si>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</si>
  <si>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</si>
  <si>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</si>
  <si>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</si>
  <si>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</si>
  <si>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</si>
  <si>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</si>
  <si>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</si>
  <si>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</si>
  <si>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</si>
  <si>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</si>
  <si>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</si>
  <si>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</si>
  <si>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</si>
  <si>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</si>
  <si>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</si>
  <si>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</si>
  <si>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</si>
  <si>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</si>
  <si>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</si>
  <si>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</si>
  <si>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</si>
  <si>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</si>
  <si>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</si>
  <si>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</si>
  <si>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</si>
  <si>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</si>
  <si>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</si>
  <si>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</si>
  <si>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</si>
  <si>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</si>
  <si>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</si>
  <si>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</si>
  <si>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</si>
  <si>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</si>
  <si>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</si>
  <si>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</si>
  <si>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</si>
  <si>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</si>
  <si>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</si>
  <si>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</si>
  <si>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</si>
  <si>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</si>
  <si>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</si>
  <si>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</si>
  <si>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</si>
  <si>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</si>
  <si>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</si>
  <si>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</si>
  <si>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</si>
  <si>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</si>
  <si>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</si>
  <si>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</si>
  <si>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</si>
  <si>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</si>
  <si>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</si>
  <si>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</si>
  <si>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</si>
  <si>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</si>
  <si>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</si>
  <si>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</si>
  <si>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</si>
  <si>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</si>
  <si>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</si>
  <si>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</si>
  <si>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</si>
  <si>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</si>
  <si>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</si>
  <si>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</si>
  <si>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</si>
  <si>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</si>
  <si>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</si>
  <si>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</si>
  <si>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</si>
  <si>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</si>
  <si>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</si>
  <si>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</si>
  <si>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</si>
  <si>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</si>
  <si>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</si>
  <si>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</si>
  <si>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</si>
  <si>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</si>
  <si>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</si>
  <si>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</si>
  <si>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</si>
  <si>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</si>
  <si>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</si>
  <si>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</si>
  <si>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</si>
  <si>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</si>
  <si>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</si>
  <si>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</si>
  <si>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</si>
  <si>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</si>
  <si>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</si>
  <si>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</si>
  <si>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</si>
  <si>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</si>
  <si>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</si>
  <si>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</si>
  <si>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</si>
  <si>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</si>
  <si>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</si>
  <si>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</si>
  <si>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</si>
  <si>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</si>
  <si>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</si>
  <si>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</si>
  <si>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</si>
  <si>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</si>
  <si>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</si>
  <si>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</si>
  <si>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</si>
  <si>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</si>
  <si>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</si>
  <si>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</si>
  <si>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</si>
  <si>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</si>
  <si>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</si>
  <si>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</si>
  <si>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</si>
  <si>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</si>
  <si>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</si>
  <si>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</si>
  <si>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</si>
  <si>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</si>
  <si>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</si>
  <si>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</si>
  <si>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</si>
  <si>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</si>
  <si>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</si>
  <si>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</si>
  <si>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</si>
  <si>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</si>
  <si>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</si>
  <si>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</si>
  <si>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</si>
  <si>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</si>
  <si>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</si>
  <si>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</si>
  <si>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</si>
  <si>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</si>
  <si>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</si>
  <si>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</si>
  <si>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</si>
  <si>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</si>
  <si>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</si>
  <si>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</si>
  <si>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</si>
  <si>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</si>
  <si>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</si>
  <si>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</si>
  <si>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</si>
  <si>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</si>
  <si>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</si>
  <si>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</si>
  <si>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</si>
  <si>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</si>
  <si>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</si>
  <si>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</si>
  <si>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</si>
  <si>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</si>
  <si>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</si>
  <si>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</si>
  <si>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</si>
  <si>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</si>
  <si>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</si>
  <si>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</si>
  <si>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</si>
  <si>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</si>
  <si>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</si>
  <si>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</si>
  <si>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</si>
  <si>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</si>
  <si>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</si>
  <si>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</si>
  <si>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</si>
  <si>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</si>
  <si>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</si>
  <si>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</si>
  <si>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</si>
  <si>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</si>
  <si>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</si>
  <si>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</si>
  <si>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</si>
  <si>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</si>
  <si>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</si>
  <si>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</si>
  <si>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</si>
  <si>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</si>
  <si>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</si>
  <si>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</si>
  <si>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</si>
  <si>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</si>
  <si>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</si>
  <si>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</si>
  <si>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</si>
  <si>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</si>
  <si>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</si>
  <si>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</si>
  <si>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</si>
  <si>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</si>
  <si>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</si>
  <si>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</si>
  <si>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</si>
  <si>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</si>
  <si>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</si>
  <si>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</si>
  <si>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</si>
  <si>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</si>
  <si>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</si>
  <si>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</si>
  <si>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</si>
  <si>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</si>
  <si>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</si>
  <si>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</si>
  <si>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</si>
  <si>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</si>
  <si>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</si>
  <si>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</si>
  <si>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</si>
  <si>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</si>
  <si>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</si>
  <si>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</si>
  <si>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</si>
  <si>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</si>
  <si>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</si>
  <si>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</si>
  <si>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</si>
  <si>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</si>
  <si>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</si>
  <si>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</si>
  <si>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</si>
  <si>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</si>
  <si>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</si>
  <si>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</si>
  <si>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</si>
  <si>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</si>
  <si>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</si>
  <si>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</si>
  <si>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</si>
  <si>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</si>
  <si>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</si>
  <si>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</si>
  <si>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</si>
  <si>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</si>
  <si>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</si>
  <si>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</si>
  <si>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</si>
  <si>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</si>
  <si>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</si>
  <si>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</si>
  <si>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</si>
  <si>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</si>
  <si>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</si>
  <si>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</si>
  <si>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</si>
  <si>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</si>
  <si>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</si>
  <si>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</si>
  <si>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</si>
  <si>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</si>
  <si>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</si>
  <si>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</si>
  <si>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</si>
  <si>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</si>
  <si>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</si>
  <si>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</si>
  <si>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</si>
  <si>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</si>
  <si>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</si>
  <si>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</si>
  <si>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</si>
  <si>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</si>
  <si>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</si>
  <si>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</si>
  <si>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</si>
  <si>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</si>
  <si>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</si>
  <si>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</si>
  <si>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</si>
  <si>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</si>
  <si>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</si>
  <si>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</si>
  <si>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</si>
  <si>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</si>
  <si>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</si>
  <si>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</si>
  <si>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</si>
  <si>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</si>
  <si>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</si>
  <si>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</si>
  <si>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</si>
  <si>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</si>
  <si>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</si>
  <si>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</si>
  <si>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</si>
  <si>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</si>
  <si>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</si>
  <si>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</si>
  <si>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</si>
  <si>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</si>
  <si>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</si>
  <si>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</si>
  <si>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</si>
  <si>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</si>
  <si>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</si>
  <si>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</si>
  <si>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</si>
  <si>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</si>
  <si>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</si>
  <si>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</si>
  <si>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</si>
  <si>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</si>
  <si>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</si>
  <si>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</si>
  <si>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</si>
  <si>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</si>
  <si>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</si>
  <si>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</si>
  <si>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</si>
  <si>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</si>
  <si>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</si>
  <si>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</si>
  <si>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</si>
  <si>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</si>
  <si>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</si>
  <si>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</si>
  <si>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</si>
  <si>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</si>
  <si>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</si>
  <si>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</si>
  <si>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</si>
  <si>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</si>
  <si>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</si>
  <si>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</si>
  <si>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</si>
  <si>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</si>
  <si>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</si>
  <si>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</si>
  <si>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</si>
  <si>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</si>
  <si>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</si>
  <si>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</si>
  <si>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</si>
  <si>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</si>
  <si>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</si>
  <si>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</si>
  <si>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</si>
  <si>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</si>
  <si>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</si>
  <si>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</si>
  <si>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</si>
  <si>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</si>
  <si>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</si>
  <si>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</si>
  <si>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</si>
  <si>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</si>
  <si>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</si>
  <si>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</si>
  <si>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</si>
  <si>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</si>
  <si>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</si>
  <si>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</si>
  <si>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</si>
  <si>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</si>
  <si>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</si>
  <si>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</si>
  <si>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</si>
  <si>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</si>
  <si>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</si>
  <si>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</si>
  <si>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</si>
  <si>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</si>
  <si>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</si>
  <si>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</si>
  <si>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</si>
  <si>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</si>
  <si>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</si>
  <si>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</si>
  <si>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</si>
  <si>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</si>
  <si>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</si>
  <si>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</si>
  <si>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</si>
  <si>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</si>
  <si>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</si>
  <si>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</si>
  <si>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</si>
  <si>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</si>
  <si>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</si>
  <si>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</si>
  <si>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</si>
  <si>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</si>
  <si>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</si>
  <si>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</si>
  <si>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</si>
  <si>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</si>
  <si>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</si>
  <si>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</si>
  <si>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</si>
  <si>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</si>
  <si>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</si>
  <si>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</si>
  <si>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</si>
  <si>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</si>
  <si>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</si>
  <si>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</si>
  <si>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</si>
  <si>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</si>
  <si>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</si>
  <si>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</si>
  <si>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</si>
  <si>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</si>
  <si>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</si>
  <si>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</si>
  <si>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</si>
  <si>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</si>
  <si>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</si>
  <si>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</si>
  <si>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</si>
  <si>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</si>
  <si>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</si>
  <si>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</si>
  <si>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</si>
  <si>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</si>
  <si>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</si>
  <si>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</si>
  <si>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</si>
  <si>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</si>
  <si>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</si>
  <si>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</si>
  <si>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</si>
  <si>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</si>
  <si>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</si>
  <si>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</si>
  <si>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</si>
  <si>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</si>
  <si>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</si>
  <si>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</si>
  <si>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</si>
  <si>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</si>
  <si>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</si>
  <si>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</si>
  <si>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</si>
  <si>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</si>
  <si>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</si>
  <si>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</si>
  <si>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</si>
  <si>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</si>
  <si>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</si>
  <si>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</si>
  <si>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</si>
  <si>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</si>
  <si>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</si>
  <si>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</si>
  <si>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</si>
  <si>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</si>
  <si>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</si>
  <si>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</si>
  <si>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</si>
  <si>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</si>
  <si>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</si>
  <si>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</si>
  <si>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</si>
  <si>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</si>
  <si>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</si>
  <si>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</si>
  <si>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</si>
  <si>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</si>
  <si>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</si>
  <si>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</si>
  <si>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</si>
  <si>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</si>
  <si>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</si>
  <si>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</si>
  <si>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</si>
  <si>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</si>
  <si>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</si>
  <si>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</si>
  <si>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</si>
  <si>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</si>
  <si>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</si>
  <si>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</si>
  <si>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</si>
  <si>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</si>
  <si>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</si>
  <si>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</si>
  <si>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</si>
  <si>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</si>
  <si>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</si>
  <si>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</si>
  <si>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</si>
  <si>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</si>
  <si>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</si>
  <si>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</si>
  <si>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</si>
  <si>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</si>
  <si>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</si>
  <si>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</si>
  <si>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</si>
  <si>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</si>
  <si>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</si>
  <si>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</si>
  <si>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</si>
  <si>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</si>
  <si>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</si>
  <si>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</si>
  <si>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</si>
  <si>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</si>
  <si>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</si>
  <si>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</si>
  <si>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</si>
  <si>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</si>
  <si>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</si>
  <si>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</si>
  <si>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</si>
  <si>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</si>
  <si>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</si>
  <si>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</si>
  <si>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</si>
  <si>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</si>
  <si>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</si>
  <si>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</si>
  <si>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</si>
  <si>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</si>
  <si>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</si>
  <si>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</si>
  <si>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</si>
  <si>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</si>
  <si>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</si>
  <si>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</si>
  <si>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</si>
  <si>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</si>
  <si>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</si>
  <si>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</si>
  <si>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</si>
  <si>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</si>
  <si>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</si>
  <si>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</si>
  <si>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</si>
  <si>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</si>
  <si>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</si>
  <si>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</si>
  <si>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</si>
  <si>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</si>
  <si>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</si>
  <si>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</si>
  <si>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</si>
  <si>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</si>
  <si>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</si>
  <si>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</si>
  <si>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</si>
  <si>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</si>
  <si>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</si>
  <si>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</si>
  <si>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</si>
  <si>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</si>
  <si>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</si>
  <si>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</si>
  <si>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</si>
  <si>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</si>
  <si>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</si>
  <si>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</si>
  <si>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</si>
  <si>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</si>
  <si>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</si>
  <si>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</si>
  <si>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</si>
  <si>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</si>
  <si>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</si>
  <si>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</si>
  <si>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</si>
  <si>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</si>
  <si>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</si>
  <si>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</si>
  <si>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</si>
  <si>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</si>
  <si>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</si>
  <si>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</si>
  <si>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</si>
  <si>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</si>
  <si>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</si>
  <si>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</si>
  <si>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</si>
  <si>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</si>
  <si>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</si>
  <si>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</si>
  <si>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</si>
  <si>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</si>
  <si>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</si>
  <si>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</si>
  <si>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</si>
  <si>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</si>
  <si>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</si>
  <si>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</si>
  <si>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</si>
  <si>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</si>
  <si>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</si>
  <si>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</si>
  <si>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</si>
  <si>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</si>
  <si>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</si>
  <si>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</si>
  <si>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</si>
  <si>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</si>
  <si>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</si>
  <si>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</si>
  <si>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</si>
  <si>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</si>
  <si>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</si>
  <si>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</si>
  <si>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</si>
  <si>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</si>
  <si>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</si>
  <si>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</si>
  <si>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</si>
  <si>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</si>
  <si>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</si>
  <si>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</si>
  <si>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</si>
  <si>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</si>
  <si>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</si>
  <si>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</si>
  <si>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</si>
  <si>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</si>
  <si>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</si>
  <si>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</si>
  <si>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</si>
  <si>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</si>
  <si>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</si>
  <si>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</si>
  <si>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</si>
  <si>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</si>
  <si>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</si>
  <si>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</si>
  <si>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</si>
  <si>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</si>
  <si>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</si>
  <si>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</si>
  <si>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</si>
  <si>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</si>
  <si>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</si>
  <si>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</si>
  <si>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</si>
  <si>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</si>
  <si>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</si>
  <si>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</si>
  <si>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</si>
  <si>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</si>
  <si>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</si>
  <si>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</si>
  <si>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</si>
  <si>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</si>
  <si>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</si>
  <si>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</si>
  <si>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</si>
  <si>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</si>
  <si>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</si>
  <si>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</si>
  <si>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</si>
  <si>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</si>
  <si>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</si>
  <si>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</si>
  <si>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</si>
  <si>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</si>
  <si>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</si>
  <si>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</si>
  <si>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</si>
  <si>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</si>
  <si>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</si>
  <si>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</si>
  <si>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</si>
  <si>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</si>
  <si>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</si>
  <si>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</si>
  <si>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</si>
  <si>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</si>
  <si>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</si>
  <si>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</si>
  <si>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</si>
  <si>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</si>
  <si>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</si>
  <si>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</si>
  <si>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</si>
  <si>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</si>
  <si>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</si>
  <si>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</si>
  <si>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</si>
  <si>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</si>
  <si>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</si>
  <si>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</si>
  <si>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</si>
  <si>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</si>
  <si>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</si>
  <si>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</si>
  <si>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</si>
  <si>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</si>
  <si>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</si>
  <si>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</si>
  <si>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</si>
  <si>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</si>
  <si>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</si>
  <si>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</si>
  <si>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</si>
  <si>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</si>
  <si>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</si>
  <si>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</si>
  <si>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</si>
  <si>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</si>
  <si>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</si>
  <si>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</si>
  <si>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</si>
  <si>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</si>
  <si>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</si>
  <si>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</si>
  <si>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</si>
  <si>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</si>
  <si>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</si>
  <si>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</si>
  <si>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</si>
  <si>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</si>
  <si>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</si>
  <si>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</si>
  <si>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</si>
  <si>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</si>
  <si>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</si>
  <si>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</si>
  <si>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</si>
  <si>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</si>
  <si>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</si>
  <si>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</si>
  <si>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</si>
  <si>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</si>
  <si>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</si>
  <si>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</si>
  <si>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</si>
  <si>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</si>
  <si>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</si>
  <si>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</si>
  <si>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</si>
  <si>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</si>
  <si>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</si>
  <si>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</si>
  <si>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</si>
  <si>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</si>
  <si>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</si>
  <si>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</si>
  <si>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</si>
  <si>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</si>
  <si>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</si>
  <si>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</si>
  <si>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</si>
  <si>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</si>
  <si>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</si>
  <si>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</si>
  <si>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</si>
  <si>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</si>
  <si>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</si>
  <si>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</si>
  <si>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</si>
  <si>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</si>
  <si>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</si>
  <si>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</si>
  <si>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</si>
  <si>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</si>
  <si>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</si>
  <si>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</si>
  <si>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</si>
  <si>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</si>
  <si>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</si>
  <si>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</si>
  <si>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</si>
  <si>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</si>
  <si>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</si>
  <si>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</si>
  <si>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</si>
  <si>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</si>
  <si>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</si>
  <si>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</si>
  <si>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</si>
  <si>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</si>
  <si>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</si>
  <si>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</si>
  <si>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</si>
  <si>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</si>
  <si>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</si>
  <si>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</si>
  <si>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</si>
  <si>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</si>
  <si>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</si>
  <si>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</si>
  <si>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</si>
  <si>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</si>
  <si>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</si>
  <si>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</si>
  <si>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</si>
  <si>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</si>
  <si>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</si>
  <si>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</si>
  <si>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</si>
  <si>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</si>
  <si>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</si>
  <si>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</si>
  <si>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</si>
  <si>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</si>
  <si>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</si>
  <si>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</si>
  <si>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</si>
  <si>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</si>
  <si>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</si>
  <si>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</si>
  <si>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</si>
  <si>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</si>
  <si>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</si>
  <si>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</si>
  <si>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</si>
  <si>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</si>
  <si>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</si>
  <si>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</si>
  <si>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</si>
  <si>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</si>
  <si>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</si>
  <si>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</si>
  <si>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</si>
  <si>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</si>
  <si>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</si>
  <si>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</si>
  <si>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</si>
  <si>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</si>
  <si>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</si>
  <si>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</si>
  <si>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</si>
  <si>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</si>
  <si>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</si>
  <si>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</si>
  <si>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</si>
  <si>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</si>
  <si>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</si>
  <si>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</si>
  <si>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</si>
  <si>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</si>
  <si>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</si>
  <si>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</si>
  <si>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</si>
  <si>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</si>
  <si>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</si>
  <si>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</si>
  <si>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</si>
  <si>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</si>
  <si>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</si>
  <si>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</si>
  <si>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</si>
  <si>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</si>
  <si>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</si>
  <si>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</si>
  <si>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</si>
  <si>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</si>
  <si>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</si>
  <si>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</si>
  <si>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</si>
  <si>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</si>
  <si>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</si>
  <si>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</si>
  <si>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</si>
  <si>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</si>
  <si>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</si>
  <si>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</si>
  <si>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</si>
  <si>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</si>
  <si>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</si>
  <si>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</si>
  <si>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</si>
  <si>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</si>
  <si>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</si>
  <si>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</si>
  <si>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</si>
  <si>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</si>
  <si>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</si>
  <si>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</si>
  <si>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</si>
  <si>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</si>
  <si>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</si>
  <si>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</si>
  <si>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</si>
  <si>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</si>
  <si>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</si>
  <si>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</si>
  <si>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</si>
  <si>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</si>
  <si>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</si>
  <si>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</si>
  <si>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</si>
  <si>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</si>
  <si>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</si>
  <si>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</si>
  <si>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</si>
  <si>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</si>
  <si>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</si>
  <si>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</si>
  <si>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</si>
  <si>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</si>
  <si>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</si>
  <si>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</si>
  <si>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</si>
  <si>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</si>
  <si>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</si>
  <si>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</si>
  <si>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</si>
  <si>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</si>
  <si>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</si>
  <si>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</si>
  <si>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</si>
  <si>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</si>
  <si>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</si>
  <si>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</si>
  <si>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</si>
  <si>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</si>
  <si>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</si>
  <si>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</si>
  <si>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</si>
  <si>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</si>
  <si>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</si>
  <si>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</si>
  <si>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</si>
  <si>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</si>
  <si>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</si>
  <si>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</si>
  <si>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</si>
  <si>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</si>
  <si>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</si>
  <si>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</si>
  <si>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</si>
  <si>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</si>
  <si>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</si>
  <si>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</si>
  <si>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</si>
  <si>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</si>
  <si>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</si>
  <si>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</si>
  <si>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</si>
  <si>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</si>
  <si>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</si>
  <si>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</si>
  <si>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</si>
  <si>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</si>
  <si>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</si>
  <si>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</si>
  <si>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</si>
  <si>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</si>
  <si>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</si>
  <si>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</si>
  <si>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</si>
  <si>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</si>
  <si>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</si>
  <si>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</si>
  <si>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</si>
  <si>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</si>
  <si>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</si>
  <si>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</si>
  <si>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</si>
  <si>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</si>
  <si>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</si>
  <si>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</si>
  <si>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</si>
  <si>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</si>
  <si>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</si>
  <si>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</si>
  <si>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</si>
  <si>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</si>
  <si>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</si>
  <si>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</si>
  <si>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</si>
  <si>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</si>
  <si>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</si>
  <si>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</si>
  <si>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</si>
  <si>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</si>
  <si>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</si>
  <si>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</si>
  <si>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</si>
  <si>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</si>
  <si>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</si>
  <si>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</si>
  <si>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</si>
  <si>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</si>
  <si>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</si>
  <si>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</si>
  <si>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</si>
  <si>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</si>
  <si>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</si>
  <si>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</si>
  <si>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</si>
  <si>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</si>
  <si>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</si>
  <si>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</si>
  <si>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</si>
  <si>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</si>
  <si>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</si>
  <si>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</si>
  <si>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</si>
  <si>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</si>
  <si>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</si>
  <si>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</si>
  <si>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</si>
  <si>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</si>
  <si>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</si>
  <si>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</si>
  <si>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</si>
  <si>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</si>
  <si>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</si>
  <si>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</si>
  <si>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</si>
  <si>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</si>
  <si>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</si>
  <si>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</si>
  <si>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</si>
  <si>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</si>
  <si>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</si>
  <si>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</si>
  <si>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</si>
  <si>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</si>
  <si>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</si>
  <si>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</si>
  <si>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</si>
  <si>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</si>
  <si>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</si>
  <si>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</si>
  <si>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</si>
  <si>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</si>
  <si>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</si>
  <si>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</si>
  <si>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</si>
  <si>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</si>
  <si>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</si>
  <si>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</si>
  <si>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</si>
  <si>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</si>
  <si>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</si>
  <si>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</si>
  <si>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</si>
  <si>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</si>
  <si>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</si>
  <si>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</si>
  <si>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</si>
  <si>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</si>
  <si>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</si>
  <si>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</si>
  <si>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</si>
  <si>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</si>
  <si>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</si>
  <si>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</si>
  <si>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</si>
  <si>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</si>
  <si>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</si>
  <si>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</si>
  <si>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</si>
  <si>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</si>
  <si>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</si>
  <si>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</si>
  <si>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</si>
  <si>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</si>
  <si>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</si>
  <si>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</si>
  <si>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</si>
  <si>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</si>
  <si>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</si>
  <si>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</si>
  <si>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</si>
  <si>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</si>
  <si>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</si>
  <si>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</si>
  <si>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</si>
  <si>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</si>
  <si>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</si>
  <si>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</si>
  <si>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</si>
  <si>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</si>
  <si>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</si>
  <si>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</si>
  <si>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</si>
  <si>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</si>
  <si>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</si>
  <si>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</si>
  <si>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</si>
  <si>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</si>
  <si>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</si>
  <si>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</si>
  <si>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</si>
  <si>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</si>
  <si>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</si>
  <si>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</si>
  <si>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</si>
  <si>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</si>
  <si>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</si>
  <si>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</si>
  <si>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</si>
  <si>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</si>
  <si>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</si>
  <si>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</si>
  <si>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</si>
  <si>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</si>
  <si>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</si>
  <si>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</si>
  <si>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</si>
  <si>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</si>
  <si>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</si>
  <si>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</si>
  <si>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</si>
  <si>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</si>
  <si>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</si>
  <si>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</si>
  <si>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</si>
  <si>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</si>
  <si>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</si>
  <si>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</si>
  <si>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</si>
  <si>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</si>
  <si>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</si>
  <si>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</si>
  <si>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</si>
  <si>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</si>
  <si>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</si>
  <si>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</si>
  <si>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</si>
  <si>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</si>
  <si>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</si>
  <si>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</si>
  <si>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</si>
  <si>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</si>
  <si>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</si>
  <si>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</si>
  <si>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</si>
  <si>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</si>
  <si>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</si>
  <si>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</si>
  <si>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</si>
  <si>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</si>
  <si>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</si>
  <si>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</si>
  <si>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</si>
  <si>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</si>
  <si>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</si>
  <si>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</si>
  <si>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</si>
  <si>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</si>
  <si>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</si>
  <si>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</si>
  <si>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</si>
  <si>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</si>
  <si>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</si>
  <si>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</si>
  <si>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</si>
  <si>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</si>
  <si>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</si>
  <si>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</si>
  <si>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</si>
  <si>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</si>
  <si>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</si>
  <si>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</si>
  <si>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</si>
  <si>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</si>
  <si>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</si>
  <si>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</si>
  <si>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</si>
  <si>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</si>
  <si>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</si>
  <si>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</si>
  <si>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</si>
  <si>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</si>
  <si>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</si>
  <si>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</si>
  <si>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</si>
  <si>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</si>
  <si>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</si>
  <si>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</si>
  <si>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</si>
  <si>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</si>
  <si>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</si>
  <si>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</si>
  <si>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</si>
  <si>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</si>
  <si>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</si>
  <si>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</si>
  <si>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</si>
  <si>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</si>
  <si>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</si>
  <si>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</si>
  <si>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</si>
  <si>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</si>
  <si>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</si>
  <si>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</si>
  <si>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</si>
  <si>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</si>
  <si>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</si>
  <si>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</si>
  <si>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</si>
  <si>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</si>
  <si>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</si>
  <si>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</si>
  <si>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</si>
  <si>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</si>
  <si>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</si>
  <si>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</si>
  <si>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</si>
  <si>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</si>
  <si>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</si>
  <si>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</si>
  <si>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</si>
  <si>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</si>
  <si>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</si>
  <si>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</si>
  <si>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</si>
  <si>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</si>
  <si>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</si>
  <si>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</si>
  <si>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</si>
  <si>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</si>
  <si>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</si>
  <si>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</si>
  <si>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</si>
  <si>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</si>
  <si>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</si>
  <si>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</si>
  <si>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</si>
  <si>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</si>
  <si>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</si>
  <si>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</si>
  <si>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</si>
  <si>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</si>
  <si>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</si>
  <si>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</si>
  <si>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</si>
  <si>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</si>
  <si>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</si>
  <si>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</si>
  <si>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</si>
  <si>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</si>
  <si>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</si>
  <si>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</si>
  <si>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</si>
  <si>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</si>
  <si>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</si>
  <si>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</si>
  <si>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</si>
  <si>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</si>
  <si>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</si>
  <si>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</si>
  <si>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</si>
  <si>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</si>
  <si>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</si>
  <si>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</si>
  <si>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</si>
  <si>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</si>
  <si>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</si>
  <si>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</si>
  <si>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</si>
  <si>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</si>
  <si>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</si>
  <si>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</si>
  <si>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</si>
  <si>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</si>
  <si>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</si>
  <si>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</si>
  <si>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</si>
  <si>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</si>
  <si>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</si>
  <si>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</si>
  <si>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</si>
  <si>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</si>
  <si>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</si>
  <si>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</si>
  <si>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</si>
  <si>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</si>
  <si>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</si>
  <si>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</si>
  <si>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</si>
  <si>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</si>
  <si>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</si>
  <si>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</si>
  <si>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</si>
  <si>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</si>
  <si>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</si>
  <si>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</si>
  <si>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</si>
  <si>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</si>
  <si>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</si>
  <si>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</si>
  <si>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</si>
  <si>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</si>
  <si>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</si>
  <si>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</si>
  <si>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</si>
  <si>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</si>
  <si>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</si>
  <si>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</si>
  <si>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</si>
  <si>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</si>
  <si>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</si>
  <si>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</si>
  <si>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</si>
  <si>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</si>
  <si>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</si>
  <si>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</si>
  <si>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</si>
  <si>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</si>
  <si>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</si>
  <si>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</si>
  <si>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</si>
  <si>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</si>
  <si>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</si>
  <si>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</si>
  <si>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</si>
  <si>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</si>
  <si>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</si>
  <si>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</si>
  <si>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</si>
  <si>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</si>
  <si>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</si>
  <si>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</si>
  <si>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</si>
  <si>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</si>
  <si>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</si>
  <si>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</si>
  <si>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</si>
  <si>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</si>
  <si>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</si>
  <si>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</si>
  <si>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</si>
  <si>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</si>
  <si>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</si>
  <si>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</si>
  <si>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</si>
  <si>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</si>
  <si>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</si>
  <si>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</si>
  <si>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</si>
  <si>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</si>
  <si>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</si>
  <si>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</si>
  <si>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</si>
  <si>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</si>
  <si>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</si>
  <si>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</si>
  <si>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</si>
  <si>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</si>
  <si>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</si>
  <si>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</si>
  <si>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</si>
  <si>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</si>
  <si>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</si>
  <si>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</si>
  <si>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</si>
  <si>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</si>
  <si>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</si>
  <si>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</si>
  <si>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</si>
  <si>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</si>
  <si>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</si>
  <si>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</si>
  <si>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</si>
  <si>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</si>
  <si>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</si>
  <si>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</si>
  <si>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</si>
  <si>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</si>
  <si>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</si>
  <si>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</si>
  <si>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</si>
  <si>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</si>
  <si>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</si>
  <si>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</si>
  <si>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</si>
  <si>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</si>
  <si>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</si>
  <si>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</si>
  <si>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</si>
  <si>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</si>
  <si>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</si>
  <si>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</si>
  <si>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</si>
  <si>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</si>
  <si>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</si>
  <si>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</si>
  <si>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</si>
  <si>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</si>
  <si>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</si>
  <si>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</si>
  <si>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</si>
  <si>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</si>
  <si>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</si>
  <si>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</si>
  <si>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</si>
  <si>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</si>
  <si>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</si>
  <si>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</si>
  <si>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</si>
  <si>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</si>
  <si>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</si>
  <si>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</si>
  <si>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</si>
  <si>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</si>
  <si>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</si>
  <si>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</si>
  <si>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</si>
  <si>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</si>
  <si>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</si>
  <si>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</si>
  <si>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</si>
  <si>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</si>
  <si>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</si>
  <si>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</si>
  <si>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</si>
  <si>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</si>
  <si>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</si>
  <si>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</si>
  <si>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</si>
  <si>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</si>
  <si>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</si>
  <si>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</si>
  <si>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</si>
  <si>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</si>
  <si>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</si>
  <si>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</si>
  <si>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</si>
  <si>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</si>
  <si>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</si>
  <si>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</si>
  <si>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</si>
  <si>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</si>
  <si>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</si>
  <si>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</si>
  <si>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</si>
  <si>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</si>
  <si>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</si>
  <si>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</si>
  <si>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</si>
  <si>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</si>
  <si>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</si>
  <si>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</si>
  <si>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</si>
  <si>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</si>
  <si>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</si>
  <si>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</si>
  <si>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</si>
  <si>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</si>
  <si>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</si>
  <si>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</si>
  <si>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</si>
  <si>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</si>
  <si>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</si>
  <si>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</si>
  <si>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</si>
  <si>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</si>
  <si>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</si>
  <si>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</si>
  <si>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</si>
  <si>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</si>
  <si>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</si>
  <si>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</si>
  <si>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</si>
  <si>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</si>
  <si>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</si>
  <si>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</si>
  <si>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</si>
  <si>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</si>
  <si>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</si>
  <si>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</si>
  <si>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</si>
  <si>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</si>
  <si>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</si>
  <si>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</si>
  <si>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</si>
  <si>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</si>
  <si>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</si>
  <si>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</si>
  <si>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</si>
  <si>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</si>
  <si>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</si>
  <si>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</si>
  <si>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</si>
  <si>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</si>
  <si>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</si>
  <si>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</si>
  <si>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</si>
  <si>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</si>
  <si>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</si>
  <si>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</si>
  <si>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</si>
  <si>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</si>
  <si>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</si>
  <si>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</si>
  <si>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</si>
  <si>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</si>
  <si>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</si>
  <si>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</si>
  <si>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</si>
  <si>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</si>
  <si>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</si>
  <si>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</si>
  <si>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</si>
  <si>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</si>
  <si>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</si>
  <si>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</si>
  <si>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</si>
  <si>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</si>
  <si>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</si>
  <si>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</si>
  <si>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</si>
  <si>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</si>
  <si>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</si>
  <si>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</si>
  <si>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</si>
  <si>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</si>
  <si>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</si>
  <si>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</si>
  <si>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</si>
  <si>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</si>
  <si>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</si>
  <si>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</si>
  <si>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</si>
  <si>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</si>
  <si>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</si>
  <si>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</si>
  <si>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</si>
  <si>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</si>
  <si>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</si>
  <si>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</si>
  <si>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</si>
  <si>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</si>
  <si>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</si>
  <si>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</si>
  <si>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</si>
  <si>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</si>
  <si>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</si>
  <si>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</si>
  <si>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</si>
  <si>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</si>
  <si>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</si>
  <si>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</si>
  <si>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</si>
  <si>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</si>
  <si>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</si>
  <si>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</si>
  <si>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</si>
  <si>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</si>
  <si>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</si>
  <si>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</si>
  <si>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</si>
  <si>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</si>
  <si>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</si>
  <si>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</si>
  <si>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</si>
  <si>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</si>
  <si>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</si>
  <si>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</si>
  <si>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</si>
  <si>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</si>
  <si>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</si>
  <si>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</si>
  <si>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</si>
  <si>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</si>
  <si>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</si>
  <si>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</si>
  <si>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</si>
  <si>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</si>
  <si>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</si>
  <si>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</si>
  <si>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</si>
  <si>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</si>
  <si>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</si>
  <si>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</si>
  <si>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</si>
  <si>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</si>
  <si>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</si>
  <si>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</si>
  <si>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</si>
  <si>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</si>
  <si>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</si>
  <si>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</si>
  <si>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</si>
  <si>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</si>
  <si>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</si>
  <si>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</si>
  <si>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</si>
  <si>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</si>
  <si>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</si>
  <si>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</si>
  <si>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</si>
  <si>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</si>
  <si>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</si>
  <si>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</si>
  <si>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</si>
  <si>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</si>
  <si>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</si>
  <si>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</si>
  <si>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</si>
  <si>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</si>
  <si>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</si>
  <si>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</si>
  <si>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</si>
  <si>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</si>
  <si>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</si>
  <si>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</si>
  <si>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</si>
  <si>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</si>
  <si>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</si>
  <si>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</si>
  <si>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</si>
  <si>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</si>
  <si>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</si>
  <si>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</si>
  <si>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</si>
  <si>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</si>
  <si>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</si>
  <si>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</si>
  <si>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</si>
  <si>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</si>
  <si>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</si>
  <si>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</si>
  <si>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</si>
  <si>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</si>
  <si>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</si>
  <si>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</si>
  <si>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</si>
  <si>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</si>
  <si>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</si>
  <si>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</si>
  <si>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</si>
  <si>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</si>
  <si>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</si>
  <si>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</si>
  <si>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</si>
  <si>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</si>
  <si>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</si>
  <si>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</si>
  <si>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</si>
  <si>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</si>
  <si>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</si>
  <si>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</si>
  <si>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</si>
  <si>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</si>
  <si>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</si>
  <si>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</si>
  <si>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</si>
  <si>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</si>
  <si>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</si>
  <si>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</si>
  <si>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</si>
  <si>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</si>
  <si>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</si>
  <si>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</si>
  <si>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</si>
  <si>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</si>
  <si>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</si>
  <si>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</si>
  <si>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</si>
  <si>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</si>
  <si>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</si>
  <si>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</si>
  <si>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</si>
  <si>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</si>
  <si>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</si>
  <si>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</si>
  <si>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</si>
  <si>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</si>
  <si>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</si>
  <si>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</si>
  <si>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</si>
  <si>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</si>
  <si>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</si>
  <si>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</si>
  <si>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</si>
  <si>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</si>
  <si>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</si>
  <si>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</si>
  <si>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</si>
  <si>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</si>
  <si>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</si>
  <si>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</si>
  <si>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</si>
  <si>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</si>
  <si>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</si>
  <si>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</si>
  <si>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</si>
  <si>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</si>
  <si>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</si>
  <si>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</si>
  <si>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</si>
  <si>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</si>
  <si>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</si>
  <si>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</si>
  <si>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</si>
  <si>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</si>
  <si>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</si>
  <si>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</si>
  <si>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</si>
  <si>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</si>
  <si>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</si>
  <si>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</si>
  <si>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</si>
  <si>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</si>
  <si>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</si>
  <si>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</si>
  <si>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</si>
  <si>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</si>
  <si>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</si>
  <si>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</si>
  <si>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</si>
  <si>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</si>
  <si>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</si>
  <si>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</si>
  <si>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</si>
  <si>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</si>
  <si>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</si>
  <si>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</si>
  <si>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</si>
  <si>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</si>
  <si>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</si>
  <si>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</si>
  <si>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</si>
  <si>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</si>
  <si>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</si>
  <si>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</si>
  <si>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</si>
  <si>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</si>
  <si>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</si>
  <si>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</si>
  <si>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</si>
  <si>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</si>
  <si>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</si>
  <si>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</si>
  <si>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</si>
  <si>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</si>
  <si>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</si>
  <si>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</si>
  <si>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</si>
  <si>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</si>
  <si>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</si>
  <si>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</si>
  <si>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</si>
  <si>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</si>
  <si>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</si>
  <si>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</si>
  <si>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</si>
  <si>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</si>
  <si>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</si>
  <si>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</si>
  <si>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</si>
  <si>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</si>
  <si>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</si>
  <si>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</si>
  <si>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</si>
  <si>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</si>
  <si>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</si>
  <si>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</si>
  <si>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</si>
  <si>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</si>
  <si>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</si>
  <si>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</si>
  <si>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</si>
  <si>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</si>
  <si>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</si>
  <si>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</si>
  <si>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</si>
  <si>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</si>
  <si>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</si>
  <si>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</si>
  <si>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</si>
  <si>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</si>
  <si>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</si>
  <si>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</si>
  <si>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</si>
  <si>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</si>
  <si>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</si>
  <si>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</si>
  <si>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</si>
  <si>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</si>
  <si>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</si>
  <si>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</si>
  <si>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</si>
  <si>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</si>
  <si>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</si>
  <si>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</si>
  <si>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</si>
  <si>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</si>
  <si>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</si>
  <si>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</si>
  <si>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</si>
  <si>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</si>
  <si>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</si>
  <si>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</si>
  <si>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</si>
  <si>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</si>
  <si>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</si>
  <si>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</si>
  <si>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</si>
  <si>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</si>
  <si>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</si>
  <si>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</si>
  <si>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</si>
  <si>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</si>
  <si>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</si>
  <si>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</si>
  <si>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</si>
  <si>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</si>
  <si>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</si>
  <si>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</si>
  <si>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</si>
  <si>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</si>
  <si>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</si>
  <si>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</si>
  <si>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</si>
  <si>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</si>
  <si>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</si>
  <si>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</si>
  <si>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</si>
  <si>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</si>
  <si>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</si>
  <si>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12947129864134</t>
  </si>
  <si>
    <t>yuzi@gmail.com</t>
  </si>
  <si>
    <t>Jakarta</t>
  </si>
  <si>
    <t>08218347192</t>
  </si>
  <si>
    <t>08/08/2000</t>
  </si>
  <si>
    <t>Jln kebon jeruk</t>
  </si>
  <si>
    <t>kebon jeruk</t>
  </si>
  <si>
    <t>jakarta barat</t>
  </si>
  <si>
    <t>Reason Failed</t>
  </si>
  <si>
    <t>Objective</t>
  </si>
  <si>
    <t>S2</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</si>
  <si>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</si>
  <si>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</si>
  <si>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</si>
  <si>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</si>
  <si>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</si>
  <si>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</si>
  <si>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</si>
  <si>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</si>
  <si>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</si>
  <si>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</si>
  <si>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</si>
  <si>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</si>
  <si>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</si>
  <si>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</si>
  <si>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</si>
  <si>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</si>
  <si>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</si>
  <si>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</si>
  <si>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</si>
  <si>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</si>
  <si>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</si>
  <si>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</si>
  <si>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</si>
  <si>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</si>
  <si>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</si>
  <si>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</si>
  <si>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</si>
  <si>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</si>
  <si>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</si>
  <si>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</si>
  <si>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</si>
  <si>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</si>
  <si>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</si>
  <si>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</si>
  <si>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</si>
  <si>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</si>
  <si>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</si>
  <si>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</si>
  <si>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</si>
  <si>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</si>
  <si>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</si>
  <si>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</si>
  <si>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</si>
  <si>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</si>
  <si>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</si>
  <si>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</si>
  <si>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</si>
  <si>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</si>
  <si>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</si>
  <si>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</si>
  <si>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</si>
  <si>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</si>
  <si>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</si>
  <si>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</si>
  <si>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</si>
  <si>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</si>
  <si>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</si>
  <si>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</si>
  <si>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</si>
  <si>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</si>
  <si>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</si>
  <si>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</si>
  <si>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</si>
  <si>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</si>
  <si>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</si>
  <si>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Non Professional</t>
  </si>
  <si>
    <t>Customer Model</t>
  </si>
  <si>
    <t>Customer Name</t>
  </si>
  <si>
    <t>Add Asset</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</si>
  <si>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</si>
  <si>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</si>
  <si>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</si>
  <si>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</si>
  <si>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</si>
  <si>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</si>
  <si>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</si>
  <si>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</si>
  <si>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</si>
  <si>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</si>
  <si>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</si>
  <si>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</si>
  <si>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</si>
  <si>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</si>
  <si>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</si>
  <si>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</si>
  <si>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</si>
  <si>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</si>
  <si>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ziyu</t>
  </si>
  <si>
    <t>-</t>
  </si>
  <si>
    <t>PT NUT</t>
  </si>
  <si>
    <t>pt comp</t>
  </si>
  <si>
    <t>09/12/2020</t>
  </si>
  <si>
    <t>other biz</t>
  </si>
  <si>
    <t>biz type</t>
  </si>
  <si>
    <t>industry type</t>
  </si>
  <si>
    <t>job pos</t>
  </si>
  <si>
    <t>03/12/2002</t>
  </si>
  <si>
    <t>notes</t>
  </si>
  <si>
    <t>FT TIO</t>
  </si>
  <si>
    <t>Foreigner</t>
  </si>
  <si>
    <t>Catholic</t>
  </si>
  <si>
    <t>Motor;Rumah</t>
  </si>
  <si>
    <t>Kawasaki Z;PIK 2 Lantai</t>
  </si>
  <si>
    <t>Mobil;Rumah</t>
  </si>
  <si>
    <t>Wuling EV;KelapaGading 10*12</t>
  </si>
  <si>
    <t>20300000;500000000</t>
  </si>
  <si>
    <t>3;1</t>
  </si>
  <si>
    <t>Check E-KYC</t>
  </si>
  <si>
    <t>03/01/2020</t>
  </si>
  <si>
    <t>LOS-001-177</t>
  </si>
  <si>
    <t>LOS-001-185, LOS-001-188</t>
  </si>
  <si>
    <t>LOS-001-189, LOS-001-191</t>
  </si>
  <si>
    <t>LOS-001-189, LOS-001-195, LOS-001-196</t>
  </si>
  <si>
    <t>LOS-001-197, LOS-199</t>
  </si>
  <si>
    <t>JL. KEMANGGISAN NO 70</t>
  </si>
  <si>
    <t>LOS-001-197, LOS-200, LOS-001-201, LOS-001-204</t>
  </si>
  <si>
    <t>LOS-001-207</t>
  </si>
  <si>
    <t>LOS-001-185, LOS-001-207</t>
  </si>
  <si>
    <t>LOS-001-208</t>
  </si>
  <si>
    <t>LOS-001-208, LOS-001-211, LOS-001-214, LOS-001-215</t>
  </si>
  <si>
    <t>LOS-001-208, LOS-001-218</t>
  </si>
  <si>
    <t>LOS-001-224</t>
  </si>
  <si>
    <t>LOS-001-218, LOS-001-227</t>
  </si>
  <si>
    <t>LOS-001-224:226, LOS-001-228, LOS-001-229</t>
  </si>
  <si>
    <t>0;0</t>
  </si>
  <si>
    <t>LOS-001-232</t>
  </si>
  <si>
    <t>LOS-001-234</t>
  </si>
  <si>
    <t>LOS-001-224, 232</t>
  </si>
  <si>
    <t>LOS-001-234, LOS-001-237, LOS-001-245, LOS-001-246, 248, 250:253, 257:258, 262</t>
  </si>
  <si>
    <t>0;-1</t>
  </si>
  <si>
    <t>LOS-001-265, LOS-001-267</t>
  </si>
  <si>
    <t>LOS-001-269</t>
  </si>
  <si>
    <t>2000000;30000000</t>
  </si>
  <si>
    <t>2;1</t>
  </si>
  <si>
    <t>LOS-001-269, LOS-001-276</t>
  </si>
  <si>
    <t>LOS-001-280:284</t>
  </si>
  <si>
    <t>Online Shop</t>
  </si>
  <si>
    <t>03/01/2021</t>
  </si>
  <si>
    <t>DANAMON branch</t>
  </si>
  <si>
    <t>dennis DM</t>
  </si>
  <si>
    <t>123871247135</t>
  </si>
  <si>
    <t>2019;2020</t>
  </si>
  <si>
    <t>130000;3000000</t>
  </si>
  <si>
    <t>1000;2000</t>
  </si>
  <si>
    <t>1;1</t>
  </si>
  <si>
    <t>LOS-001-238, LOS-001-240, LOS-001-241, LOS-001-243, LOS-001-255, LOS-001-256, LOS-001-259:260,261,262</t>
  </si>
  <si>
    <t>FT TI</t>
  </si>
  <si>
    <t>FT MER</t>
  </si>
  <si>
    <t>FT SUR</t>
  </si>
  <si>
    <t>FT SURYA</t>
  </si>
  <si>
    <t>FT FENDY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</si>
</sst>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39">
    <xf borderId="0" fillId="0" fontId="0" numFmtId="0" xfId="0"/>
    <xf applyBorder="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Border="1" applyNumberFormat="1" borderId="1" fillId="0" fontId="0" numFmtId="3" xfId="0"/>
    <xf applyBorder="1" borderId="4" fillId="0" fontId="0" numFmtId="0" xfId="0"/>
    <xf applyBorder="1" borderId="2" fillId="0" fontId="0" numFmtId="0" xfId="0"/>
    <xf applyAlignment="1" applyNumberFormat="1" borderId="0" fillId="0" fontId="0" numFmtId="49" xfId="0">
      <alignment wrapText="1"/>
    </xf>
    <xf applyAlignment="1" applyFill="1" applyFont="1" borderId="0" fillId="2" fontId="1" numFmtId="0" xfId="0">
      <alignment horizontal="left" vertical="top"/>
    </xf>
    <xf applyAlignment="1" applyFon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NumberFormat="1" borderId="1" fillId="0" fontId="0" numFmtId="164" quotePrefix="1" xfId="0"/>
    <xf applyBorder="1" applyNumberFormat="1" borderId="1" fillId="0" fontId="0" numFmtId="164" xfId="0"/>
    <xf applyBorder="1" applyNumberFormat="1" borderId="1" fillId="0" fontId="0" numFmtId="3" quotePrefix="1" xfId="0"/>
    <xf applyAlignment="1" applyBorder="1" applyNumberFormat="1" borderId="1" fillId="0" fontId="0" numFmtId="164" quotePrefix="1" xfId="0">
      <alignment wrapText="1"/>
    </xf>
    <xf applyBorder="1" applyFill="1" borderId="1" fillId="7"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7" fillId="3" fontId="0" numFmtId="0" xfId="0"/>
    <xf applyBorder="1" applyFill="1" applyFont="1" borderId="1" fillId="3" fontId="3"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borderId="1" fillId="9" fontId="0" numFmtId="0" xfId="0"/>
    <xf applyFill="1" borderId="0" fillId="9" fontId="0" numFmtId="0" xfId="0"/>
  </cellXfs>
  <cellStyles count="2">
    <cellStyle builtinId="8" name="Hyperlink" xfId="1"/>
    <cellStyle builtinId="0" name="Normal" xfId="0"/>
  </cellStyles>
  <dxfs count="101">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BNI.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Z13" t="str">
            <v>app1</v>
          </cell>
          <cell r="AA13" t="str">
            <v>app1</v>
          </cell>
          <cell r="AB13" t="str">
            <v>app1</v>
          </cell>
          <cell r="AC13" t="str">
            <v>app1</v>
          </cell>
          <cell r="AD13" t="str">
            <v>app1</v>
          </cell>
          <cell r="AE13" t="str">
            <v>app1</v>
          </cell>
          <cell r="AF13" t="str">
            <v>app1</v>
          </cell>
          <cell r="AG13" t="str">
            <v>app2</v>
          </cell>
          <cell r="AH13" t="str">
            <v>app3</v>
          </cell>
          <cell r="AI13" t="str">
            <v>app4</v>
          </cell>
          <cell r="AJ13" t="str">
            <v>app5</v>
          </cell>
          <cell r="AK13" t="str">
            <v>app6</v>
          </cell>
          <cell r="AL13" t="str">
            <v>app7</v>
          </cell>
          <cell r="AM13" t="str">
            <v>app8</v>
          </cell>
          <cell r="AN13" t="str">
            <v>app9</v>
          </cell>
          <cell r="AO13" t="str">
            <v>app10</v>
          </cell>
          <cell r="AP13" t="str">
            <v>app17</v>
          </cell>
          <cell r="AQ13" t="str">
            <v>app2</v>
          </cell>
          <cell r="AR13" t="str">
            <v>app10</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10" Target="mailto:yuzi@gmail.com" TargetMode="External" Type="http://schemas.openxmlformats.org/officeDocument/2006/relationships/hyperlink"/><Relationship Id="rId11" Target="mailto:yuzi@gmail.com" TargetMode="External" Type="http://schemas.openxmlformats.org/officeDocument/2006/relationships/hyperlink"/><Relationship Id="rId12" Target="mailto:yuzi@gmail.com" TargetMode="External" Type="http://schemas.openxmlformats.org/officeDocument/2006/relationships/hyperlink"/><Relationship Id="rId13" Target="mailto:yuzi@gmail.com" TargetMode="External" Type="http://schemas.openxmlformats.org/officeDocument/2006/relationships/hyperlink"/><Relationship Id="rId14" Target="mailto:yuzi@gmail.com" TargetMode="External" Type="http://schemas.openxmlformats.org/officeDocument/2006/relationships/hyperlink"/><Relationship Id="rId15" Target="mailto:yuzi@gmail.com" TargetMode="External" Type="http://schemas.openxmlformats.org/officeDocument/2006/relationships/hyperlink"/><Relationship Id="rId16" Target="mailto:yuzi@gmail.com" TargetMode="External" Type="http://schemas.openxmlformats.org/officeDocument/2006/relationships/hyperlink"/><Relationship Id="rId17" Target="mailto:yuzi@gmail.com" TargetMode="External" Type="http://schemas.openxmlformats.org/officeDocument/2006/relationships/hyperlink"/><Relationship Id="rId18" Target="../printerSettings/printerSettings3.bin" Type="http://schemas.openxmlformats.org/officeDocument/2006/relationships/printerSettings"/><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mailto:yuzi@gmail.com" TargetMode="External" Type="http://schemas.openxmlformats.org/officeDocument/2006/relationships/hyperlink"/><Relationship Id="rId5" Target="mailto:yuzi@gmail.com" TargetMode="External" Type="http://schemas.openxmlformats.org/officeDocument/2006/relationships/hyperlink"/><Relationship Id="rId6" Target="mailto:yuzi@gmail.com" TargetMode="External" Type="http://schemas.openxmlformats.org/officeDocument/2006/relationships/hyperlink"/><Relationship Id="rId7" Target="mailto:yuzi@gmail.com" TargetMode="External" Type="http://schemas.openxmlformats.org/officeDocument/2006/relationships/hyperlink"/><Relationship Id="rId8" Target="mailto:yuzi@gmail.com" TargetMode="External" Type="http://schemas.openxmlformats.org/officeDocument/2006/relationships/hyperlink"/><Relationship Id="rId9" Target="mailto:yuzi@gmail.com" TargetMode="External" Type="http://schemas.openxmlformats.org/officeDocument/2006/relationships/hyperlink"/></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V30"/>
  <sheetViews>
    <sheetView topLeftCell="H1" workbookViewId="0">
      <selection activeCell="U13" sqref="U13"/>
    </sheetView>
  </sheetViews>
  <sheetFormatPr defaultRowHeight="15" x14ac:dyDescent="0.25"/>
  <cols>
    <col min="1" max="1" bestFit="true" customWidth="true" width="29.7109375" collapsed="true"/>
    <col min="2" max="8" bestFit="true" customWidth="true" width="34.28515625" collapsed="true"/>
    <col min="9" max="11" bestFit="true" customWidth="true" width="19.85546875" collapsed="true"/>
  </cols>
  <sheetData>
    <row customFormat="1" r="1" s="1" spans="1:21" x14ac:dyDescent="0.25">
      <c r="A1" s="1" t="s">
        <v>12</v>
      </c>
      <c r="B1" s="1" t="s">
        <v>3283</v>
      </c>
      <c r="C1" s="1" t="s">
        <v>3283</v>
      </c>
      <c r="D1" s="1" t="s">
        <v>3283</v>
      </c>
      <c r="E1" s="1" t="s">
        <v>3283</v>
      </c>
      <c r="F1" s="1" t="s">
        <v>3283</v>
      </c>
      <c r="G1" s="1" t="s">
        <v>3283</v>
      </c>
      <c r="H1" s="1" t="s">
        <v>3283</v>
      </c>
      <c r="I1" s="1" t="s">
        <v>3283</v>
      </c>
      <c r="J1" s="1" t="s">
        <v>3283</v>
      </c>
      <c r="K1" s="1" t="s">
        <v>3283</v>
      </c>
      <c r="L1" s="1" t="s">
        <v>3283</v>
      </c>
      <c r="M1" s="1" t="s">
        <v>3283</v>
      </c>
      <c r="N1" s="1" t="s">
        <v>3283</v>
      </c>
      <c r="O1" s="1" t="s">
        <v>3283</v>
      </c>
      <c r="P1" s="1" t="s">
        <v>3283</v>
      </c>
      <c r="Q1" s="1" t="s">
        <v>3283</v>
      </c>
      <c r="R1" s="1" t="s">
        <v>3283</v>
      </c>
      <c r="S1" s="1" t="s">
        <v>3283</v>
      </c>
      <c r="T1" s="1" t="s">
        <v>3283</v>
      </c>
      <c r="U1" s="1" t="s">
        <v>3283</v>
      </c>
    </row>
    <row customFormat="1" r="2" s="1" spans="1:21"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customFormat="1" r="3" s="1" spans="1:21" x14ac:dyDescent="0.25">
      <c r="A3" s="1" t="s">
        <v>4146</v>
      </c>
      <c r="B3" t="s">
        <v>4257</v>
      </c>
      <c r="C3" t="s">
        <v>4258</v>
      </c>
      <c r="D3" t="s">
        <v>4265</v>
      </c>
      <c r="E3" t="s">
        <v>4268</v>
      </c>
      <c r="F3" t="s">
        <v>4275</v>
      </c>
      <c r="G3" t="s">
        <v>4274</v>
      </c>
      <c r="H3" t="s">
        <v>4279</v>
      </c>
    </row>
    <row customFormat="1" r="4" s="1" spans="1:21" x14ac:dyDescent="0.25">
      <c r="A4" s="1" t="s">
        <v>4155</v>
      </c>
      <c r="B4" s="1">
        <f ref="B4:U4" si="0" t="shared">COUNTIFS($A$14:$A$29, "*$*",B14:B29,"")+IF(B19="Yes",COUNTIFS($A$30, "*$*",B30,""),0)</f>
        <v>6</v>
      </c>
      <c r="C4" s="1">
        <f si="0" t="shared"/>
        <v>0</v>
      </c>
      <c r="D4" s="1">
        <f si="0" t="shared"/>
        <v>0</v>
      </c>
      <c r="E4" s="1">
        <f si="0" t="shared"/>
        <v>0</v>
      </c>
      <c r="F4" s="1">
        <f si="0" t="shared"/>
        <v>0</v>
      </c>
      <c r="G4" s="1">
        <f si="0" t="shared"/>
        <v>0</v>
      </c>
      <c r="H4" s="1">
        <f si="0" t="shared"/>
        <v>0</v>
      </c>
      <c r="I4" s="1">
        <f si="0" t="shared"/>
        <v>0</v>
      </c>
      <c r="J4" s="1">
        <f si="0" t="shared"/>
        <v>0</v>
      </c>
      <c r="K4" s="1">
        <f si="0" t="shared"/>
        <v>0</v>
      </c>
      <c r="L4" s="1">
        <f si="0" t="shared"/>
        <v>0</v>
      </c>
      <c r="M4" s="1">
        <f si="0" t="shared"/>
        <v>0</v>
      </c>
      <c r="N4" s="1">
        <f si="0" t="shared"/>
        <v>0</v>
      </c>
      <c r="O4" s="1">
        <f si="0" t="shared"/>
        <v>0</v>
      </c>
      <c r="P4" s="1">
        <f si="0" t="shared"/>
        <v>0</v>
      </c>
      <c r="Q4" s="1">
        <f si="0" t="shared"/>
        <v>0</v>
      </c>
      <c r="R4" s="1">
        <f si="0" t="shared"/>
        <v>0</v>
      </c>
      <c r="S4" s="1">
        <f si="0" t="shared"/>
        <v>0</v>
      </c>
      <c r="T4" s="1">
        <f si="0" t="shared"/>
        <v>0</v>
      </c>
      <c r="U4" s="1">
        <f si="0" t="shared"/>
        <v>0</v>
      </c>
    </row>
    <row customFormat="1" r="5" s="1" spans="1:21" x14ac:dyDescent="0.25"/>
    <row customFormat="1" r="6" s="1" spans="1:21" x14ac:dyDescent="0.25"/>
    <row customFormat="1" r="7" s="1" spans="1:21" x14ac:dyDescent="0.25"/>
    <row customFormat="1" r="8" s="1" spans="1:21" x14ac:dyDescent="0.25"/>
    <row customFormat="1" r="9" s="1" spans="1:21" x14ac:dyDescent="0.25"/>
    <row customFormat="1" r="10" s="1" spans="1:21" x14ac:dyDescent="0.25"/>
    <row customFormat="1" r="11" s="32" spans="1:21" x14ac:dyDescent="0.25">
      <c r="B11" s="31"/>
      <c r="C11" s="31"/>
      <c r="D11" s="31"/>
      <c r="E11" s="31"/>
      <c r="F11" s="31"/>
      <c r="G11" s="31"/>
      <c r="H11" s="31"/>
      <c r="I11" s="31"/>
    </row>
    <row customFormat="1" r="12" s="1" spans="1:21" x14ac:dyDescent="0.25">
      <c r="A12" s="26" t="s">
        <v>3558</v>
      </c>
      <c r="B12" s="1" t="str">
        <f>'[1]1.TabCustomerMainData'!Z$13</f>
        <v>app1</v>
      </c>
      <c r="C12" s="1" t="str">
        <f>'[1]1.TabCustomerMainData'!AA$13</f>
        <v>app1</v>
      </c>
      <c r="D12" s="1" t="str">
        <f>'[1]1.TabCustomerMainData'!AB$13</f>
        <v>app1</v>
      </c>
      <c r="E12" s="1" t="str">
        <f>'[1]1.TabCustomerMainData'!AC$13</f>
        <v>app1</v>
      </c>
      <c r="F12" s="1" t="str">
        <f>'[1]1.TabCustomerMainData'!AD$13</f>
        <v>app1</v>
      </c>
      <c r="G12" s="1" t="str">
        <f>'[1]1.TabCustomerMainData'!AE$13</f>
        <v>app1</v>
      </c>
      <c r="H12" s="1" t="str">
        <f>'[1]1.TabCustomerMainData'!AF$13</f>
        <v>app1</v>
      </c>
      <c r="I12" s="1" t="str">
        <f>'[1]1.TabCustomerMainData'!AG$13</f>
        <v>app2</v>
      </c>
      <c r="J12" s="1" t="str">
        <f>'[1]1.TabCustomerMainData'!AH$13</f>
        <v>app3</v>
      </c>
      <c r="K12" s="1" t="str">
        <f>'[1]1.TabCustomerMainData'!AI$13</f>
        <v>app4</v>
      </c>
      <c r="L12" s="1" t="str">
        <f>'[1]1.TabCustomerMainData'!AJ$13</f>
        <v>app5</v>
      </c>
      <c r="M12" s="1" t="str">
        <f>'[1]1.TabCustomerMainData'!AK$13</f>
        <v>app6</v>
      </c>
      <c r="N12" s="1" t="str">
        <f>'[1]1.TabCustomerMainData'!AL$13</f>
        <v>app7</v>
      </c>
      <c r="O12" s="1" t="str">
        <f>'[1]1.TabCustomerMainData'!AM$13</f>
        <v>app8</v>
      </c>
      <c r="P12" s="1" t="str">
        <f>'[1]1.TabCustomerMainData'!AN$13</f>
        <v>app9</v>
      </c>
      <c r="Q12" s="1" t="str">
        <f>'[1]1.TabCustomerMainData'!AO$13</f>
        <v>app10</v>
      </c>
      <c r="R12" s="1" t="str">
        <f>'[1]1.TabCustomerMainData'!AP$13</f>
        <v>app17</v>
      </c>
      <c r="S12" s="1" t="str">
        <f>'[1]1.TabCustomerMainData'!AQ$13</f>
        <v>app2</v>
      </c>
      <c r="T12" s="1" t="str">
        <f>'[1]1.TabCustomerMainData'!AR$13</f>
        <v>app10</v>
      </c>
      <c r="U12" s="1" t="str">
        <f>'[1]1.TabCustomerMainData'!AS$13</f>
        <v>app22</v>
      </c>
    </row>
    <row customFormat="1" r="13" s="1" spans="1:21" x14ac:dyDescent="0.25">
      <c r="A13" s="26" t="s">
        <v>0</v>
      </c>
      <c r="B13" t="s">
        <v>4246</v>
      </c>
      <c r="C13" t="s">
        <v>4298</v>
      </c>
      <c r="D13" t="s">
        <v>4246</v>
      </c>
      <c r="E13" t="s">
        <v>4246</v>
      </c>
      <c r="F13" t="s">
        <v>4246</v>
      </c>
      <c r="G13" t="s">
        <v>4246</v>
      </c>
      <c r="H13" t="s">
        <v>4246</v>
      </c>
      <c r="I13" t="s">
        <v>4294</v>
      </c>
      <c r="J13" t="s">
        <v>4246</v>
      </c>
      <c r="K13" t="s">
        <v>4294</v>
      </c>
      <c r="L13" s="1" t="s">
        <v>4246</v>
      </c>
      <c r="M13" s="1" t="s">
        <v>4295</v>
      </c>
      <c r="N13" s="1" t="s">
        <v>4296</v>
      </c>
      <c r="O13" s="1" t="s">
        <v>4246</v>
      </c>
      <c r="P13" s="1" t="s">
        <v>4246</v>
      </c>
      <c r="Q13" s="1" t="s">
        <v>4246</v>
      </c>
      <c r="R13" s="1" t="s">
        <v>4297</v>
      </c>
      <c r="S13" s="1" t="s">
        <v>4294</v>
      </c>
      <c r="T13" s="1" t="s">
        <v>4246</v>
      </c>
      <c r="U13" s="1" t="s">
        <v>4246</v>
      </c>
    </row>
    <row customFormat="1" r="14" s="1" spans="1:21" x14ac:dyDescent="0.25">
      <c r="A14" s="1" t="s">
        <v>9</v>
      </c>
    </row>
    <row customFormat="1" r="15" s="1" spans="1:21" x14ac:dyDescent="0.25">
      <c r="A15" s="1" t="s">
        <v>2</v>
      </c>
      <c r="B15" s="1">
        <v>0</v>
      </c>
      <c r="C15" s="1">
        <v>0</v>
      </c>
      <c r="D15" s="1">
        <v>0</v>
      </c>
      <c r="E15" s="1">
        <v>0</v>
      </c>
      <c r="F15" s="1">
        <v>0</v>
      </c>
      <c r="G15" s="1">
        <v>0</v>
      </c>
      <c r="H15" s="1">
        <v>0</v>
      </c>
      <c r="I15" s="1">
        <v>0</v>
      </c>
      <c r="J15" s="1">
        <v>0</v>
      </c>
      <c r="K15" s="1">
        <v>0</v>
      </c>
      <c r="L15" s="1">
        <v>0</v>
      </c>
      <c r="M15" s="1">
        <v>0</v>
      </c>
      <c r="N15" s="1">
        <v>0</v>
      </c>
      <c r="O15" s="1">
        <v>0</v>
      </c>
      <c r="P15" s="1">
        <v>0</v>
      </c>
      <c r="Q15" s="1">
        <v>0</v>
      </c>
      <c r="R15" s="1">
        <v>0</v>
      </c>
      <c r="S15" s="1">
        <v>0</v>
      </c>
      <c r="T15" s="1">
        <v>0</v>
      </c>
      <c r="U15" s="1">
        <v>0</v>
      </c>
    </row>
    <row customFormat="1" r="16" s="1" spans="1:21" x14ac:dyDescent="0.25">
      <c r="A16" s="1" t="s">
        <v>3</v>
      </c>
      <c r="B16" s="1">
        <v>0</v>
      </c>
      <c r="C16" s="1">
        <v>0</v>
      </c>
      <c r="D16" s="1">
        <v>0</v>
      </c>
      <c r="E16" s="1">
        <v>0</v>
      </c>
      <c r="F16" s="1">
        <v>0</v>
      </c>
      <c r="G16" s="1">
        <v>0</v>
      </c>
      <c r="H16" s="1">
        <v>0</v>
      </c>
      <c r="I16" s="1">
        <v>0</v>
      </c>
      <c r="J16" s="1">
        <v>0</v>
      </c>
      <c r="K16" s="1">
        <v>0</v>
      </c>
      <c r="L16" s="1">
        <v>0</v>
      </c>
      <c r="M16" s="1">
        <v>0</v>
      </c>
      <c r="N16" s="1">
        <v>0</v>
      </c>
      <c r="O16" s="1">
        <v>0</v>
      </c>
      <c r="P16" s="1">
        <v>0</v>
      </c>
      <c r="Q16" s="1">
        <v>0</v>
      </c>
      <c r="R16" s="1">
        <v>0</v>
      </c>
      <c r="S16" s="1">
        <v>0</v>
      </c>
      <c r="T16" s="1">
        <v>0</v>
      </c>
      <c r="U16" s="1">
        <v>0</v>
      </c>
    </row>
    <row customFormat="1" r="17" s="1" spans="1:21" x14ac:dyDescent="0.25">
      <c r="A17" s="1" t="s">
        <v>4</v>
      </c>
    </row>
    <row customFormat="1" r="18" s="1" spans="1:21" x14ac:dyDescent="0.25">
      <c r="A18" s="1" t="s">
        <v>4156</v>
      </c>
      <c r="B18" s="1" t="s">
        <v>5</v>
      </c>
      <c r="C18" s="1" t="s">
        <v>5</v>
      </c>
      <c r="D18" s="1" t="s">
        <v>5</v>
      </c>
      <c r="E18" s="1" t="s">
        <v>5</v>
      </c>
      <c r="F18" s="1" t="s">
        <v>5</v>
      </c>
      <c r="G18" s="1" t="s">
        <v>5</v>
      </c>
      <c r="H18" s="1" t="s">
        <v>5</v>
      </c>
      <c r="I18" s="1" t="s">
        <v>5</v>
      </c>
      <c r="J18" s="1" t="s">
        <v>5</v>
      </c>
      <c r="K18" s="1" t="s">
        <v>5</v>
      </c>
      <c r="L18" s="1" t="s">
        <v>5</v>
      </c>
      <c r="M18" s="1" t="s">
        <v>5</v>
      </c>
      <c r="N18" s="1" t="s">
        <v>5</v>
      </c>
      <c r="O18" s="1" t="s">
        <v>5</v>
      </c>
      <c r="P18" s="1" t="s">
        <v>5</v>
      </c>
      <c r="Q18" s="1" t="s">
        <v>5</v>
      </c>
      <c r="R18" s="1" t="s">
        <v>5</v>
      </c>
      <c r="S18" s="1" t="s">
        <v>5</v>
      </c>
      <c r="T18" s="1" t="s">
        <v>5</v>
      </c>
      <c r="U18" s="1" t="s">
        <v>5</v>
      </c>
    </row>
    <row customFormat="1" r="19" s="1" spans="1:21" x14ac:dyDescent="0.25">
      <c r="A19" s="1" t="s">
        <v>4157</v>
      </c>
      <c r="B19" s="1" t="s">
        <v>6</v>
      </c>
      <c r="C19" s="1" t="s">
        <v>6</v>
      </c>
      <c r="D19" s="1" t="s">
        <v>6</v>
      </c>
      <c r="E19" s="1" t="s">
        <v>6</v>
      </c>
      <c r="F19" s="1" t="s">
        <v>6</v>
      </c>
      <c r="G19" s="1" t="s">
        <v>6</v>
      </c>
      <c r="H19" s="1" t="s">
        <v>6</v>
      </c>
      <c r="I19" s="1" t="s">
        <v>5</v>
      </c>
      <c r="J19" s="1" t="s">
        <v>6</v>
      </c>
      <c r="K19" s="1" t="s">
        <v>6</v>
      </c>
      <c r="L19" s="1" t="s">
        <v>6</v>
      </c>
      <c r="M19" s="1" t="s">
        <v>6</v>
      </c>
      <c r="N19" s="1" t="s">
        <v>6</v>
      </c>
      <c r="O19" s="1" t="s">
        <v>6</v>
      </c>
      <c r="P19" s="1" t="s">
        <v>6</v>
      </c>
      <c r="Q19" s="1" t="s">
        <v>6</v>
      </c>
      <c r="R19" s="1" t="s">
        <v>6</v>
      </c>
      <c r="S19" s="1" t="s">
        <v>6</v>
      </c>
      <c r="T19" s="1" t="s">
        <v>6</v>
      </c>
      <c r="U19" s="1" t="s">
        <v>6</v>
      </c>
    </row>
    <row customFormat="1" r="20" s="1" spans="1:21" x14ac:dyDescent="0.25">
      <c r="A20" s="1" t="s">
        <v>4158</v>
      </c>
      <c r="B20" s="1" t="s">
        <v>5</v>
      </c>
      <c r="C20" s="1" t="s">
        <v>5</v>
      </c>
      <c r="D20" s="1" t="s">
        <v>5</v>
      </c>
      <c r="E20" s="1" t="s">
        <v>5</v>
      </c>
      <c r="F20" s="1" t="s">
        <v>5</v>
      </c>
      <c r="G20" s="1" t="s">
        <v>5</v>
      </c>
      <c r="H20" s="1" t="s">
        <v>5</v>
      </c>
      <c r="I20" s="1" t="s">
        <v>5</v>
      </c>
      <c r="J20" s="1" t="s">
        <v>5</v>
      </c>
      <c r="K20" s="1" t="s">
        <v>5</v>
      </c>
      <c r="L20" s="1" t="s">
        <v>5</v>
      </c>
      <c r="M20" s="1" t="s">
        <v>5</v>
      </c>
      <c r="N20" s="1" t="s">
        <v>5</v>
      </c>
      <c r="O20" s="1" t="s">
        <v>5</v>
      </c>
      <c r="P20" s="1" t="s">
        <v>5</v>
      </c>
      <c r="Q20" s="1" t="s">
        <v>5</v>
      </c>
      <c r="R20" s="1" t="s">
        <v>5</v>
      </c>
      <c r="S20" s="1" t="s">
        <v>5</v>
      </c>
      <c r="T20" s="1" t="s">
        <v>5</v>
      </c>
      <c r="U20" s="1" t="s">
        <v>5</v>
      </c>
    </row>
    <row customFormat="1" r="21" s="1" spans="1:21" x14ac:dyDescent="0.25">
      <c r="A21" s="1" t="s">
        <v>7</v>
      </c>
    </row>
    <row customFormat="1" r="22" s="1" spans="1:21" x14ac:dyDescent="0.25">
      <c r="A22" s="18" t="s">
        <v>4148</v>
      </c>
      <c r="C22" s="1" t="s">
        <v>8</v>
      </c>
      <c r="D22" s="1" t="s">
        <v>8</v>
      </c>
      <c r="E22" s="1" t="s">
        <v>8</v>
      </c>
      <c r="F22" s="1" t="s">
        <v>8</v>
      </c>
      <c r="G22" s="1" t="s">
        <v>8</v>
      </c>
      <c r="H22" s="1" t="s">
        <v>8</v>
      </c>
      <c r="I22" s="1" t="s">
        <v>8</v>
      </c>
      <c r="J22" s="1" t="s">
        <v>8</v>
      </c>
      <c r="K22" s="1" t="s">
        <v>8</v>
      </c>
      <c r="L22" s="1" t="s">
        <v>8</v>
      </c>
      <c r="M22" s="1" t="s">
        <v>8</v>
      </c>
      <c r="N22" s="1" t="s">
        <v>8</v>
      </c>
      <c r="O22" s="1" t="s">
        <v>8</v>
      </c>
      <c r="P22" s="1" t="s">
        <v>8</v>
      </c>
      <c r="Q22" s="1" t="s">
        <v>8</v>
      </c>
      <c r="R22" s="1" t="s">
        <v>8</v>
      </c>
      <c r="S22" s="1" t="s">
        <v>8</v>
      </c>
      <c r="T22" s="1" t="s">
        <v>8</v>
      </c>
      <c r="U22" s="1" t="s">
        <v>8</v>
      </c>
    </row>
    <row customFormat="1" r="23" s="1" spans="1:21" x14ac:dyDescent="0.25">
      <c r="A23" s="1" t="s">
        <v>1</v>
      </c>
    </row>
    <row customFormat="1" r="24" s="1" spans="1:21" x14ac:dyDescent="0.25">
      <c r="A24" s="1" t="s">
        <v>10</v>
      </c>
    </row>
    <row customFormat="1" r="25" s="1" spans="1:21" x14ac:dyDescent="0.25">
      <c r="A25" s="18" t="s">
        <v>4149</v>
      </c>
      <c r="C25" s="1" t="s">
        <v>11</v>
      </c>
      <c r="D25" s="1" t="s">
        <v>11</v>
      </c>
      <c r="E25" s="1" t="s">
        <v>11</v>
      </c>
      <c r="F25" s="1" t="s">
        <v>11</v>
      </c>
      <c r="G25" s="1" t="s">
        <v>11</v>
      </c>
      <c r="H25" s="1" t="s">
        <v>11</v>
      </c>
      <c r="I25" s="1" t="s">
        <v>4247</v>
      </c>
      <c r="J25" s="1" t="s">
        <v>11</v>
      </c>
      <c r="K25" s="1" t="s">
        <v>11</v>
      </c>
      <c r="L25" s="1" t="s">
        <v>11</v>
      </c>
      <c r="M25" s="1" t="s">
        <v>11</v>
      </c>
      <c r="N25" s="1" t="s">
        <v>11</v>
      </c>
      <c r="O25" s="1" t="s">
        <v>11</v>
      </c>
      <c r="P25" s="1" t="s">
        <v>11</v>
      </c>
      <c r="Q25" s="1" t="s">
        <v>11</v>
      </c>
      <c r="R25" s="1" t="s">
        <v>11</v>
      </c>
      <c r="S25" s="1" t="s">
        <v>11</v>
      </c>
      <c r="T25" s="1" t="s">
        <v>11</v>
      </c>
      <c r="U25" s="1" t="s">
        <v>11</v>
      </c>
    </row>
    <row customFormat="1" r="26" s="1" spans="1:21" x14ac:dyDescent="0.25">
      <c r="A26" s="19" t="s">
        <v>4150</v>
      </c>
      <c r="B26" s="1" t="e">
        <f>VLOOKUP(B27,Master!$BA:$BB,2,FALSE)</f>
        <v>#N/A</v>
      </c>
      <c r="C26" s="1" t="str">
        <f>VLOOKUP(C27,Master!$BA:$BB,2,FALSE)</f>
        <v>COUNTRY001</v>
      </c>
      <c r="D26" s="1" t="str">
        <f>VLOOKUP(D27,Master!$BA:$BB,2,FALSE)</f>
        <v>COUNTRY001</v>
      </c>
      <c r="E26" s="1" t="str">
        <f>VLOOKUP(E27,Master!$BA:$BB,2,FALSE)</f>
        <v>COUNTRY001</v>
      </c>
      <c r="F26" s="1" t="str">
        <f>VLOOKUP(F27,Master!$BA:$BB,2,FALSE)</f>
        <v>COUNTRY001</v>
      </c>
      <c r="G26" s="1" t="str">
        <f>VLOOKUP(G27,Master!$BA:$BB,2,FALSE)</f>
        <v>COUNTRY001</v>
      </c>
      <c r="H26" s="1" t="str">
        <f>VLOOKUP(H27,Master!$BA:$BB,2,FALSE)</f>
        <v>COUNTRY001</v>
      </c>
      <c r="I26" s="1" t="str">
        <f>VLOOKUP(I27,Master!$BA:$BB,2,FALSE)</f>
        <v>COUNTRY008</v>
      </c>
      <c r="J26" s="1" t="str">
        <f>VLOOKUP(J27,Master!$BA:$BB,2,FALSE)</f>
        <v>COUNTRY001</v>
      </c>
      <c r="K26" s="1" t="str">
        <f>VLOOKUP(K27,Master!$BA:$BB,2,FALSE)</f>
        <v>COUNTRY001</v>
      </c>
      <c r="L26" s="1" t="str">
        <f>VLOOKUP(L27,Master!$BA:$BB,2,FALSE)</f>
        <v>COUNTRY001</v>
      </c>
      <c r="M26" s="1" t="str">
        <f>VLOOKUP(M27,Master!$BA:$BB,2,FALSE)</f>
        <v>COUNTRY001</v>
      </c>
      <c r="N26" s="1" t="str">
        <f>VLOOKUP(N27,Master!$BA:$BB,2,FALSE)</f>
        <v>COUNTRY001</v>
      </c>
      <c r="O26" s="1" t="str">
        <f>VLOOKUP(O27,Master!$BA:$BB,2,FALSE)</f>
        <v>COUNTRY001</v>
      </c>
      <c r="P26" s="1" t="str">
        <f>VLOOKUP(P27,Master!$BA:$BB,2,FALSE)</f>
        <v>COUNTRY001</v>
      </c>
      <c r="Q26" s="1" t="str">
        <f>VLOOKUP(Q27,Master!$BA:$BB,2,FALSE)</f>
        <v>COUNTRY001</v>
      </c>
      <c r="R26" s="1" t="str">
        <f>VLOOKUP(R27,Master!$BA:$BB,2,FALSE)</f>
        <v>COUNTRY001</v>
      </c>
      <c r="S26" s="1" t="str">
        <f>VLOOKUP(S27,Master!$BA:$BB,2,FALSE)</f>
        <v>COUNTRY001</v>
      </c>
      <c r="T26" s="1" t="str">
        <f>VLOOKUP(T27,Master!$BA:$BB,2,FALSE)</f>
        <v>COUNTRY001</v>
      </c>
      <c r="U26" s="1" t="str">
        <f>VLOOKUP(U27,Master!$BA:$BB,2,FALSE)</f>
        <v>COUNTRY001</v>
      </c>
    </row>
    <row customFormat="1" r="27" s="1" spans="1:21" x14ac:dyDescent="0.25">
      <c r="A27" s="17" t="s">
        <v>4151</v>
      </c>
      <c r="C27" s="1" t="s">
        <v>3572</v>
      </c>
      <c r="D27" s="1" t="s">
        <v>3572</v>
      </c>
      <c r="E27" s="1" t="s">
        <v>3572</v>
      </c>
      <c r="F27" s="1" t="s">
        <v>3572</v>
      </c>
      <c r="G27" s="1" t="s">
        <v>3572</v>
      </c>
      <c r="H27" s="1" t="s">
        <v>3572</v>
      </c>
      <c r="I27" s="1" t="s">
        <v>3586</v>
      </c>
      <c r="J27" s="1" t="s">
        <v>3572</v>
      </c>
      <c r="K27" s="1" t="s">
        <v>3572</v>
      </c>
      <c r="L27" s="1" t="s">
        <v>3572</v>
      </c>
      <c r="M27" s="1" t="s">
        <v>3572</v>
      </c>
      <c r="N27" s="1" t="s">
        <v>3572</v>
      </c>
      <c r="O27" s="1" t="s">
        <v>3572</v>
      </c>
      <c r="P27" s="1" t="s">
        <v>3572</v>
      </c>
      <c r="Q27" s="1" t="s">
        <v>3572</v>
      </c>
      <c r="R27" s="1" t="s">
        <v>3572</v>
      </c>
      <c r="S27" s="1" t="s">
        <v>3572</v>
      </c>
      <c r="T27" s="1" t="s">
        <v>3572</v>
      </c>
      <c r="U27" s="1" t="s">
        <v>3572</v>
      </c>
    </row>
    <row customFormat="1" r="28" s="1" spans="1:21" x14ac:dyDescent="0.25">
      <c r="A28" s="18" t="s">
        <v>4152</v>
      </c>
      <c r="C28" s="1" t="s">
        <v>4104</v>
      </c>
      <c r="D28" s="1" t="s">
        <v>4104</v>
      </c>
      <c r="E28" s="1" t="s">
        <v>4104</v>
      </c>
      <c r="F28" s="1" t="s">
        <v>4104</v>
      </c>
      <c r="G28" s="1" t="s">
        <v>4104</v>
      </c>
      <c r="H28" s="1" t="s">
        <v>4104</v>
      </c>
      <c r="I28" s="1" t="s">
        <v>4147</v>
      </c>
      <c r="J28" s="1" t="s">
        <v>4104</v>
      </c>
      <c r="K28" s="1" t="s">
        <v>4104</v>
      </c>
      <c r="L28" s="1" t="s">
        <v>4104</v>
      </c>
      <c r="M28" s="1" t="s">
        <v>4104</v>
      </c>
      <c r="N28" s="1" t="s">
        <v>4104</v>
      </c>
      <c r="O28" s="1" t="s">
        <v>4104</v>
      </c>
      <c r="P28" s="1" t="s">
        <v>4104</v>
      </c>
      <c r="Q28" s="1" t="s">
        <v>4104</v>
      </c>
      <c r="R28" s="1" t="s">
        <v>4104</v>
      </c>
      <c r="S28" s="1" t="s">
        <v>4104</v>
      </c>
      <c r="T28" s="1" t="s">
        <v>4104</v>
      </c>
      <c r="U28" s="1" t="s">
        <v>4104</v>
      </c>
    </row>
    <row customFormat="1" r="29" s="1" spans="1:21" x14ac:dyDescent="0.25">
      <c r="A29" s="18" t="s">
        <v>4153</v>
      </c>
      <c r="C29" s="1" t="s">
        <v>4099</v>
      </c>
      <c r="D29" s="1" t="s">
        <v>4099</v>
      </c>
      <c r="E29" s="1" t="s">
        <v>4099</v>
      </c>
      <c r="F29" s="1" t="s">
        <v>4099</v>
      </c>
      <c r="G29" s="1" t="s">
        <v>4099</v>
      </c>
      <c r="H29" s="1" t="s">
        <v>4099</v>
      </c>
      <c r="I29" s="1" t="s">
        <v>4248</v>
      </c>
      <c r="J29" s="1" t="s">
        <v>4099</v>
      </c>
      <c r="K29" s="1" t="s">
        <v>4099</v>
      </c>
      <c r="L29" s="1" t="s">
        <v>4099</v>
      </c>
      <c r="M29" s="1" t="s">
        <v>4099</v>
      </c>
      <c r="N29" s="1" t="s">
        <v>4099</v>
      </c>
      <c r="O29" s="1" t="s">
        <v>4099</v>
      </c>
      <c r="P29" s="1" t="s">
        <v>4099</v>
      </c>
      <c r="Q29" s="1" t="s">
        <v>4099</v>
      </c>
      <c r="R29" s="1" t="s">
        <v>4099</v>
      </c>
      <c r="S29" s="1" t="s">
        <v>4099</v>
      </c>
      <c r="T29" s="1" t="s">
        <v>4099</v>
      </c>
      <c r="U29" s="1" t="s">
        <v>4099</v>
      </c>
    </row>
    <row customFormat="1" r="30" s="1" spans="1:21" x14ac:dyDescent="0.25">
      <c r="A30" s="17" t="s">
        <v>4154</v>
      </c>
      <c r="C30" s="1">
        <v>123</v>
      </c>
      <c r="D30" s="1">
        <v>123</v>
      </c>
      <c r="E30" s="1">
        <v>123</v>
      </c>
      <c r="F30" s="1">
        <v>123</v>
      </c>
      <c r="G30" s="1">
        <v>123</v>
      </c>
      <c r="H30" s="1">
        <v>123</v>
      </c>
      <c r="J30" s="1">
        <v>123</v>
      </c>
      <c r="K30" s="1">
        <v>123</v>
      </c>
      <c r="L30" s="1">
        <v>123</v>
      </c>
      <c r="M30" s="1">
        <v>123</v>
      </c>
      <c r="N30" s="1">
        <v>123</v>
      </c>
      <c r="O30" s="1">
        <v>123</v>
      </c>
      <c r="P30" s="1">
        <v>123</v>
      </c>
      <c r="Q30" s="1">
        <v>123</v>
      </c>
      <c r="R30" s="1">
        <v>123</v>
      </c>
      <c r="S30" s="1">
        <v>123</v>
      </c>
      <c r="T30" s="1">
        <v>123</v>
      </c>
      <c r="U30" s="1">
        <v>123</v>
      </c>
    </row>
  </sheetData>
  <conditionalFormatting sqref="A30:I30 V30:XFD30">
    <cfRule dxfId="100" priority="6" type="expression">
      <formula>A$19="No"</formula>
    </cfRule>
  </conditionalFormatting>
  <conditionalFormatting sqref="B26:I27 V26:XFD27">
    <cfRule dxfId="99" priority="5" type="expression">
      <formula>AND(B$25&lt;&gt;"Foreigner",B$25&lt;&gt;"",B$25&lt;&gt;"Nationality")</formula>
    </cfRule>
  </conditionalFormatting>
  <conditionalFormatting sqref="J30">
    <cfRule dxfId="98" priority="4" type="expression">
      <formula>J$19="No"</formula>
    </cfRule>
  </conditionalFormatting>
  <conditionalFormatting sqref="J26:J27">
    <cfRule dxfId="97" priority="3" type="expression">
      <formula>AND(J$25&lt;&gt;"Foreigner",J$25&lt;&gt;"",J$25&lt;&gt;"Nationality")</formula>
    </cfRule>
  </conditionalFormatting>
  <conditionalFormatting sqref="K30:U30">
    <cfRule dxfId="96" priority="2" type="expression">
      <formula>K$19="No"</formula>
    </cfRule>
  </conditionalFormatting>
  <conditionalFormatting sqref="K26:U27">
    <cfRule dxfId="95" priority="1" type="expression">
      <formula>AND(K$25&lt;&gt;"Foreigner",K$25&lt;&gt;"",K$25&lt;&gt;"Nationality")</formula>
    </cfRule>
  </conditionalFormatting>
  <dataValidations count="10">
    <dataValidation showErrorMessage="1" showInputMessage="1" sqref="B21:U21"/>
    <dataValidation allowBlank="1" showErrorMessage="1" showInputMessage="1" sqref="B26:U26" type="custom">
      <formula1>B$25="Foreigner"</formula1>
    </dataValidation>
    <dataValidation allowBlank="1" showErrorMessage="1" showInputMessage="1" sqref="B30:U30" type="custom">
      <formula1>B$19="Yes"</formula1>
    </dataValidation>
    <dataValidation allowBlank="1" showErrorMessage="1" showInputMessage="1" sqref="B15:U16" type="whole">
      <formula1>0</formula1>
      <formula2>9.99999999999999E+26</formula2>
    </dataValidation>
    <dataValidation allowBlank="1" showErrorMessage="1" showInputMessage="1" sqref="B27:U27" type="list">
      <formula1>IF(B$25="Foreigner",ListCountry)</formula1>
    </dataValidation>
    <dataValidation errorStyle="information" showErrorMessage="1" showInputMessage="1" sqref="B18:U20" type="list">
      <formula1>"Yes, No"</formula1>
    </dataValidation>
    <dataValidation allowBlank="1" errorStyle="information" showErrorMessage="1" showInputMessage="1" sqref="B22:U22" type="list">
      <formula1>"Mr, Mrs, Ms"</formula1>
    </dataValidation>
    <dataValidation allowBlank="1" errorStyle="information" showErrorMessage="1" showInputMessage="1" sqref="B25:U25" type="list">
      <formula1>"Local, Foreigner"</formula1>
    </dataValidation>
    <dataValidation allowBlank="1" errorStyle="information" showErrorMessage="1" showInputMessage="1" sqref="B28:U28" type="list">
      <formula1>"S1, S2, S3, SD, SMP, SMA, D3"</formula1>
    </dataValidation>
    <dataValidation allowBlank="1" errorStyle="information" showErrorMessage="1" showInputMessage="1" sqref="B29:U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AA32"/>
  <sheetViews>
    <sheetView workbookViewId="0">
      <selection activeCell="P10" sqref="P10"/>
    </sheetView>
  </sheetViews>
  <sheetFormatPr defaultRowHeight="15" x14ac:dyDescent="0.25"/>
  <cols>
    <col min="1" max="1" bestFit="true" customWidth="true" width="18.28515625" collapsed="true"/>
    <col min="2" max="16" bestFit="true" customWidth="true" width="23.140625" collapsed="true"/>
  </cols>
  <sheetData>
    <row customFormat="1" r="1" s="1" spans="1:26" x14ac:dyDescent="0.25">
      <c r="A1" s="1" t="s">
        <v>12</v>
      </c>
      <c r="B1" s="1" t="s">
        <v>3283</v>
      </c>
      <c r="C1" s="1" t="s">
        <v>3283</v>
      </c>
      <c r="D1" s="1" t="s">
        <v>3283</v>
      </c>
      <c r="E1" s="1" t="s">
        <v>3283</v>
      </c>
      <c r="F1" s="1" t="s">
        <v>3283</v>
      </c>
      <c r="G1" s="1" t="s">
        <v>3283</v>
      </c>
      <c r="H1" s="1" t="s">
        <v>3283</v>
      </c>
      <c r="I1" s="1" t="s">
        <v>3283</v>
      </c>
      <c r="J1" s="1" t="s">
        <v>3283</v>
      </c>
      <c r="K1" s="1" t="s">
        <v>3283</v>
      </c>
      <c r="L1" s="1" t="s">
        <v>3283</v>
      </c>
      <c r="M1" s="1" t="s">
        <v>3283</v>
      </c>
      <c r="N1" s="1" t="s">
        <v>3283</v>
      </c>
      <c r="O1" s="1" t="s">
        <v>3283</v>
      </c>
      <c r="P1" s="1" t="s">
        <v>3283</v>
      </c>
      <c r="Q1" s="1" t="s">
        <v>3283</v>
      </c>
      <c r="R1" s="1" t="s">
        <v>3283</v>
      </c>
      <c r="S1" s="1" t="s">
        <v>3283</v>
      </c>
      <c r="T1" s="1" t="s">
        <v>3283</v>
      </c>
      <c r="U1" s="1" t="s">
        <v>3283</v>
      </c>
      <c r="V1" s="1" t="s">
        <v>3283</v>
      </c>
      <c r="W1" s="1" t="s">
        <v>3283</v>
      </c>
      <c r="X1" s="1" t="s">
        <v>3283</v>
      </c>
      <c r="Y1" s="1" t="s">
        <v>3283</v>
      </c>
      <c r="Z1" s="1" t="s">
        <v>3283</v>
      </c>
    </row>
    <row customFormat="1" r="2" s="1" spans="1:26"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c r="V2" s="1" t="s">
        <v>4236</v>
      </c>
      <c r="W2" s="1" t="s">
        <v>4236</v>
      </c>
      <c r="X2" s="1" t="s">
        <v>4236</v>
      </c>
      <c r="Y2" s="1" t="s">
        <v>4236</v>
      </c>
      <c r="Z2" s="1" t="s">
        <v>4236</v>
      </c>
    </row>
    <row customFormat="1" r="3" s="1" spans="1:26" x14ac:dyDescent="0.25">
      <c r="A3" s="1" t="s">
        <v>4146</v>
      </c>
      <c r="B3" s="1" t="s">
        <v>4259</v>
      </c>
      <c r="C3" s="1" t="s">
        <v>4260</v>
      </c>
      <c r="D3" s="1" t="s">
        <v>4261</v>
      </c>
      <c r="E3" s="1" t="s">
        <v>4263</v>
      </c>
      <c r="F3" s="1" t="s">
        <v>4266</v>
      </c>
      <c r="G3" s="1" t="s">
        <v>4266</v>
      </c>
      <c r="H3" s="1" t="s">
        <v>4269</v>
      </c>
      <c r="I3" s="1" t="s">
        <v>4269</v>
      </c>
      <c r="J3" s="1" t="s">
        <v>4274</v>
      </c>
      <c r="K3" s="1" t="s">
        <v>4274</v>
      </c>
      <c r="L3" s="1" t="s">
        <v>4279</v>
      </c>
      <c r="M3" s="1" t="s">
        <v>4279</v>
      </c>
    </row>
    <row customFormat="1" r="4" s="1" spans="1:26" x14ac:dyDescent="0.25">
      <c r="A4" s="1" t="s">
        <v>4155</v>
      </c>
      <c r="B4" s="1">
        <f ref="B4:Z4" si="0" t="shared">IF(B13="",COUNTIFS($A$12:$A$32, "*$*",B12:B32,""),0)</f>
        <v>5</v>
      </c>
      <c r="C4" s="1">
        <f si="0" t="shared"/>
        <v>0</v>
      </c>
      <c r="D4" s="1">
        <f si="0" t="shared"/>
        <v>4</v>
      </c>
      <c r="E4" s="1">
        <f si="0" t="shared"/>
        <v>0</v>
      </c>
      <c r="F4" s="1">
        <f si="0" t="shared"/>
        <v>0</v>
      </c>
      <c r="G4" s="1">
        <f si="0" t="shared"/>
        <v>0</v>
      </c>
      <c r="H4" s="1">
        <f si="0" t="shared"/>
        <v>0</v>
      </c>
      <c r="I4" s="1">
        <f si="0" t="shared"/>
        <v>0</v>
      </c>
      <c r="J4" s="1">
        <f si="0" t="shared"/>
        <v>0</v>
      </c>
      <c r="K4" s="1">
        <f si="0" t="shared"/>
        <v>0</v>
      </c>
      <c r="L4" s="1">
        <f si="0" t="shared"/>
        <v>0</v>
      </c>
      <c r="M4" s="1">
        <f si="0" t="shared"/>
        <v>0</v>
      </c>
      <c r="N4" s="1">
        <f si="0" t="shared"/>
        <v>0</v>
      </c>
      <c r="O4" s="1">
        <f si="0" t="shared"/>
        <v>0</v>
      </c>
      <c r="P4" s="1">
        <f si="0" t="shared"/>
        <v>0</v>
      </c>
      <c r="Q4" s="1">
        <f si="0" t="shared"/>
        <v>0</v>
      </c>
      <c r="R4" s="1">
        <f si="0" t="shared"/>
        <v>0</v>
      </c>
      <c r="S4" s="1">
        <f si="0" t="shared"/>
        <v>0</v>
      </c>
      <c r="T4" s="1">
        <f si="0" t="shared"/>
        <v>0</v>
      </c>
      <c r="U4" s="1">
        <f si="0" t="shared"/>
        <v>0</v>
      </c>
      <c r="V4" s="1">
        <f si="0" t="shared"/>
        <v>0</v>
      </c>
      <c r="W4" s="1">
        <f si="0" t="shared"/>
        <v>0</v>
      </c>
      <c r="X4" s="1">
        <f si="0" t="shared"/>
        <v>0</v>
      </c>
      <c r="Y4" s="1">
        <f si="0" t="shared"/>
        <v>0</v>
      </c>
      <c r="Z4" s="1">
        <f si="0" t="shared"/>
        <v>0</v>
      </c>
    </row>
    <row customFormat="1" r="5" s="1" spans="1:26" x14ac:dyDescent="0.25"/>
    <row customFormat="1" r="6" s="1" spans="1:26" x14ac:dyDescent="0.25"/>
    <row customFormat="1" r="7" s="1" spans="1:26" x14ac:dyDescent="0.25">
      <c r="N7"/>
      <c r="O7"/>
    </row>
    <row customFormat="1" r="8" s="30" spans="1:26" x14ac:dyDescent="0.25"/>
    <row customFormat="1" r="9" s="1" spans="1:26" x14ac:dyDescent="0.25">
      <c r="A9" s="1" t="s">
        <v>3558</v>
      </c>
      <c r="B9" s="1" t="str">
        <f>'1.CustomerDetail'!D12</f>
        <v>app1</v>
      </c>
      <c r="C9" s="1" t="str">
        <f>'1.CustomerDetail'!D12</f>
        <v>app1</v>
      </c>
      <c r="D9" s="1" t="str">
        <f>'1.CustomerDetail'!D12</f>
        <v>app1</v>
      </c>
      <c r="E9" s="1" t="str">
        <f>'1.CustomerDetail'!D12</f>
        <v>app1</v>
      </c>
      <c r="F9" s="1" t="str">
        <f>'1.CustomerDetail'!E12</f>
        <v>app1</v>
      </c>
      <c r="G9" s="1" t="str">
        <f>'1.CustomerDetail'!E12</f>
        <v>app1</v>
      </c>
      <c r="H9" s="1" t="str">
        <f>'1.CustomerDetail'!F12</f>
        <v>app1</v>
      </c>
      <c r="I9" s="1" t="str">
        <f>'1.CustomerDetail'!F12</f>
        <v>app1</v>
      </c>
      <c r="J9" s="1" t="str">
        <f>'1.CustomerDetail'!G12</f>
        <v>app1</v>
      </c>
      <c r="K9" s="1" t="str">
        <f>'1.CustomerDetail'!G12</f>
        <v>app1</v>
      </c>
      <c r="L9" s="1" t="str">
        <f>'1.CustomerDetail'!H12</f>
        <v>app1</v>
      </c>
      <c r="M9" s="1" t="str">
        <f>'1.CustomerDetail'!H12</f>
        <v>app1</v>
      </c>
      <c r="N9" s="1" t="str">
        <f>'1.CustomerDetail'!I12</f>
        <v>app2</v>
      </c>
      <c r="O9" s="1" t="str">
        <f>'1.CustomerDetail'!J12</f>
        <v>app3</v>
      </c>
      <c r="P9" s="1" t="str">
        <f>'1.CustomerDetail'!K12</f>
        <v>app4</v>
      </c>
      <c r="Q9" s="1" t="str">
        <f>'1.CustomerDetail'!L12</f>
        <v>app5</v>
      </c>
      <c r="R9" s="1" t="str">
        <f>'1.CustomerDetail'!M12</f>
        <v>app6</v>
      </c>
      <c r="S9" s="1" t="str">
        <f>'1.CustomerDetail'!N12</f>
        <v>app7</v>
      </c>
      <c r="T9" s="1" t="str">
        <f>'1.CustomerDetail'!O12</f>
        <v>app8</v>
      </c>
      <c r="U9" s="1" t="str">
        <f>'1.CustomerDetail'!P12</f>
        <v>app9</v>
      </c>
      <c r="V9" s="1" t="str">
        <f>'1.CustomerDetail'!Q12</f>
        <v>app10</v>
      </c>
      <c r="W9" s="1" t="str">
        <f>'1.CustomerDetail'!R12</f>
        <v>app17</v>
      </c>
      <c r="X9" s="1" t="str">
        <f>'1.CustomerDetail'!S12</f>
        <v>app2</v>
      </c>
      <c r="Y9" s="1" t="str">
        <f>'1.CustomerDetail'!T12</f>
        <v>app10</v>
      </c>
      <c r="Z9" s="1" t="str">
        <f>'1.CustomerDetail'!U12</f>
        <v>app22</v>
      </c>
    </row>
    <row customFormat="1" r="10" s="1" spans="1:26" x14ac:dyDescent="0.25">
      <c r="A10" s="1" t="s">
        <v>4215</v>
      </c>
      <c r="B10" s="1" t="str">
        <f>'1.CustomerDetail'!$D$13</f>
        <v>FT TIO</v>
      </c>
      <c r="C10" s="1" t="str">
        <f>'1.CustomerDetail'!$D$13</f>
        <v>FT TIO</v>
      </c>
      <c r="D10" s="1" t="str">
        <f>'1.CustomerDetail'!$D$13</f>
        <v>FT TIO</v>
      </c>
      <c r="E10" s="1" t="str">
        <f>'1.CustomerDetail'!$D$13</f>
        <v>FT TIO</v>
      </c>
      <c r="F10" s="1" t="str">
        <f>'1.CustomerDetail'!$E$13</f>
        <v>FT TIO</v>
      </c>
      <c r="G10" s="1" t="str">
        <f>'1.CustomerDetail'!$E$13</f>
        <v>FT TIO</v>
      </c>
      <c r="H10" s="1" t="str">
        <f>'1.CustomerDetail'!$F$13</f>
        <v>FT TIO</v>
      </c>
      <c r="I10" s="1" t="str">
        <f>'1.CustomerDetail'!$F$13</f>
        <v>FT TIO</v>
      </c>
      <c r="J10" s="1" t="str">
        <f>'1.CustomerDetail'!$G$13</f>
        <v>FT TIO</v>
      </c>
      <c r="K10" s="1" t="str">
        <f>'1.CustomerDetail'!$G$13</f>
        <v>FT TIO</v>
      </c>
      <c r="L10" s="1" t="str">
        <f>'1.CustomerDetail'!$H$13</f>
        <v>FT TIO</v>
      </c>
      <c r="M10" s="1" t="str">
        <f>'1.CustomerDetail'!$H$13</f>
        <v>FT TIO</v>
      </c>
      <c r="N10" s="1" t="str">
        <f>'1.CustomerDetail'!I$13</f>
        <v>FT TI</v>
      </c>
      <c r="O10" s="1" t="str">
        <f>'1.CustomerDetail'!J$13</f>
        <v>FT TIO</v>
      </c>
      <c r="P10" s="1" t="str">
        <f>'1.CustomerDetail'!K$13</f>
        <v>FT TI</v>
      </c>
      <c r="Q10" s="1" t="str">
        <f>'1.CustomerDetail'!L$13</f>
        <v>FT TIO</v>
      </c>
      <c r="R10" s="1" t="str">
        <f>'1.CustomerDetail'!M$13</f>
        <v>FT MER</v>
      </c>
      <c r="S10" s="1" t="str">
        <f>'1.CustomerDetail'!N$13</f>
        <v>FT SUR</v>
      </c>
      <c r="T10" s="1" t="str">
        <f>'1.CustomerDetail'!O$13</f>
        <v>FT TIO</v>
      </c>
      <c r="U10" s="1" t="str">
        <f>'1.CustomerDetail'!P$13</f>
        <v>FT TIO</v>
      </c>
      <c r="V10" s="1" t="str">
        <f>'1.CustomerDetail'!Q$13</f>
        <v>FT TIO</v>
      </c>
      <c r="W10" s="1" t="str">
        <f>'1.CustomerDetail'!R$13</f>
        <v>FT SURYA</v>
      </c>
      <c r="X10" s="1" t="str">
        <f>'1.CustomerDetail'!S$13</f>
        <v>FT TI</v>
      </c>
      <c r="Y10" s="1" t="str">
        <f>'1.CustomerDetail'!T$13</f>
        <v>FT TIO</v>
      </c>
      <c r="Z10" s="1" t="str">
        <f>'1.CustomerDetail'!U$13</f>
        <v>FT TIO</v>
      </c>
    </row>
    <row customFormat="1" r="11" s="30" spans="1:26" x14ac:dyDescent="0.25">
      <c r="B11" s="31"/>
      <c r="C11" s="31"/>
      <c r="D11" s="31"/>
      <c r="E11" s="31"/>
      <c r="F11" s="31"/>
      <c r="G11" s="31"/>
      <c r="H11" s="31"/>
      <c r="I11" s="31"/>
      <c r="J11" s="31"/>
      <c r="K11" s="31"/>
      <c r="L11" s="31"/>
      <c r="M11" s="31"/>
      <c r="N11" s="31"/>
    </row>
    <row customFormat="1" r="12" s="1" spans="1:26" x14ac:dyDescent="0.25">
      <c r="A12" s="18" t="s">
        <v>4159</v>
      </c>
      <c r="B12" s="1" t="s">
        <v>13</v>
      </c>
      <c r="C12" s="1" t="s">
        <v>13</v>
      </c>
      <c r="D12" s="1" t="s">
        <v>4057</v>
      </c>
      <c r="E12" s="1" t="s">
        <v>4057</v>
      </c>
      <c r="F12" s="1" t="s">
        <v>4057</v>
      </c>
      <c r="G12" s="1" t="s">
        <v>13</v>
      </c>
      <c r="H12" s="1" t="s">
        <v>4057</v>
      </c>
      <c r="I12" s="1" t="s">
        <v>13</v>
      </c>
      <c r="J12" s="1" t="s">
        <v>4057</v>
      </c>
      <c r="K12" s="1" t="s">
        <v>13</v>
      </c>
      <c r="L12" s="1" t="s">
        <v>4057</v>
      </c>
      <c r="M12" s="1" t="s">
        <v>13</v>
      </c>
      <c r="N12" s="1" t="s">
        <v>13</v>
      </c>
      <c r="O12" s="1" t="s">
        <v>13</v>
      </c>
      <c r="P12" s="1" t="s">
        <v>13</v>
      </c>
      <c r="Q12" s="1" t="s">
        <v>13</v>
      </c>
      <c r="R12" s="1" t="s">
        <v>13</v>
      </c>
      <c r="S12" s="1" t="s">
        <v>13</v>
      </c>
      <c r="T12" s="1" t="s">
        <v>13</v>
      </c>
      <c r="U12" s="1" t="s">
        <v>13</v>
      </c>
      <c r="V12" s="1" t="s">
        <v>13</v>
      </c>
      <c r="W12" s="1" t="s">
        <v>13</v>
      </c>
      <c r="X12" s="1" t="s">
        <v>13</v>
      </c>
      <c r="Y12" s="1" t="s">
        <v>13</v>
      </c>
      <c r="Z12" s="1" t="s">
        <v>13</v>
      </c>
    </row>
    <row customFormat="1" r="13" s="1" spans="1:26" x14ac:dyDescent="0.25">
      <c r="A13" s="1" t="s">
        <v>14</v>
      </c>
    </row>
    <row customFormat="1" r="14" s="1" spans="1:26" x14ac:dyDescent="0.25">
      <c r="A14" s="18" t="s">
        <v>4160</v>
      </c>
      <c r="B14" s="1" t="s">
        <v>16</v>
      </c>
      <c r="C14" s="1" t="s">
        <v>16</v>
      </c>
      <c r="D14" s="1" t="s">
        <v>4262</v>
      </c>
      <c r="E14" s="1" t="s">
        <v>4262</v>
      </c>
      <c r="F14" s="1" t="s">
        <v>4262</v>
      </c>
      <c r="G14" s="1" t="s">
        <v>16</v>
      </c>
      <c r="H14" s="1" t="s">
        <v>4262</v>
      </c>
      <c r="I14" s="1" t="s">
        <v>16</v>
      </c>
      <c r="J14" s="1" t="s">
        <v>4262</v>
      </c>
      <c r="K14" s="1" t="s">
        <v>16</v>
      </c>
      <c r="L14" s="1" t="s">
        <v>4262</v>
      </c>
      <c r="M14" s="1" t="s">
        <v>16</v>
      </c>
      <c r="N14" s="1" t="s">
        <v>16</v>
      </c>
      <c r="O14" s="1" t="s">
        <v>16</v>
      </c>
      <c r="P14" s="1" t="s">
        <v>16</v>
      </c>
      <c r="Q14" s="1" t="s">
        <v>16</v>
      </c>
      <c r="R14" s="1" t="s">
        <v>16</v>
      </c>
      <c r="S14" s="1" t="s">
        <v>16</v>
      </c>
      <c r="T14" s="1" t="s">
        <v>16</v>
      </c>
      <c r="U14" s="1" t="s">
        <v>16</v>
      </c>
      <c r="V14" s="1" t="s">
        <v>16</v>
      </c>
      <c r="W14" s="1" t="s">
        <v>16</v>
      </c>
      <c r="X14" s="1" t="s">
        <v>16</v>
      </c>
      <c r="Y14" s="1" t="s">
        <v>16</v>
      </c>
      <c r="Z14" s="1" t="s">
        <v>16</v>
      </c>
    </row>
    <row customFormat="1" r="15" s="1" spans="1:26" x14ac:dyDescent="0.25">
      <c r="A15" s="18" t="s">
        <v>4161</v>
      </c>
      <c r="C15" s="1">
        <v>23</v>
      </c>
      <c r="E15" s="1">
        <v>2</v>
      </c>
      <c r="F15" s="1">
        <v>2</v>
      </c>
      <c r="G15" s="1">
        <v>23</v>
      </c>
      <c r="H15" s="1">
        <v>2</v>
      </c>
      <c r="I15" s="1">
        <v>23</v>
      </c>
      <c r="J15" s="1">
        <v>2</v>
      </c>
      <c r="K15" s="1">
        <v>23</v>
      </c>
      <c r="L15" s="1">
        <v>2</v>
      </c>
      <c r="M15" s="1">
        <v>23</v>
      </c>
      <c r="N15" s="1">
        <v>23</v>
      </c>
      <c r="O15" s="1">
        <v>23</v>
      </c>
      <c r="P15" s="1">
        <v>23</v>
      </c>
      <c r="Q15" s="1">
        <v>23</v>
      </c>
      <c r="R15" s="1">
        <v>23</v>
      </c>
      <c r="S15" s="1">
        <v>23</v>
      </c>
      <c r="T15" s="1">
        <v>23</v>
      </c>
      <c r="U15" s="1">
        <v>23</v>
      </c>
      <c r="V15" s="1">
        <v>23</v>
      </c>
      <c r="W15" s="1">
        <v>23</v>
      </c>
      <c r="X15" s="1">
        <v>23</v>
      </c>
      <c r="Y15" s="1">
        <v>23</v>
      </c>
      <c r="Z15" s="1">
        <v>23</v>
      </c>
    </row>
    <row customFormat="1" r="16" s="1" spans="1:26" x14ac:dyDescent="0.25">
      <c r="A16" s="18" t="s">
        <v>4162</v>
      </c>
      <c r="C16" s="1">
        <v>12</v>
      </c>
      <c r="E16" s="1">
        <v>25</v>
      </c>
      <c r="F16" s="1">
        <v>25</v>
      </c>
      <c r="G16" s="1">
        <v>12</v>
      </c>
      <c r="H16" s="1">
        <v>25</v>
      </c>
      <c r="I16" s="1">
        <v>12</v>
      </c>
      <c r="J16" s="1">
        <v>25</v>
      </c>
      <c r="K16" s="1">
        <v>12</v>
      </c>
      <c r="L16" s="1">
        <v>25</v>
      </c>
      <c r="M16" s="1">
        <v>12</v>
      </c>
      <c r="N16" s="1">
        <v>12</v>
      </c>
      <c r="O16" s="1">
        <v>12</v>
      </c>
      <c r="P16" s="1">
        <v>12</v>
      </c>
      <c r="Q16" s="1">
        <v>12</v>
      </c>
      <c r="R16" s="1">
        <v>12</v>
      </c>
      <c r="S16" s="1">
        <v>12</v>
      </c>
      <c r="T16" s="1">
        <v>12</v>
      </c>
      <c r="U16" s="1">
        <v>12</v>
      </c>
      <c r="V16" s="1">
        <v>12</v>
      </c>
      <c r="W16" s="1">
        <v>12</v>
      </c>
      <c r="X16" s="1">
        <v>12</v>
      </c>
      <c r="Y16" s="1">
        <v>12</v>
      </c>
      <c r="Z16" s="1">
        <v>12</v>
      </c>
    </row>
    <row customFormat="1" r="17" s="1" spans="1:26" x14ac:dyDescent="0.25">
      <c r="A17" s="18" t="s">
        <v>4163</v>
      </c>
      <c r="B17" s="1">
        <v>11530</v>
      </c>
      <c r="C17" s="1">
        <v>11530</v>
      </c>
      <c r="D17" s="1">
        <v>11530</v>
      </c>
      <c r="E17" s="1">
        <v>11530</v>
      </c>
      <c r="F17" s="1">
        <v>11530</v>
      </c>
      <c r="G17" s="1">
        <v>11530</v>
      </c>
      <c r="H17" s="1">
        <v>11530</v>
      </c>
      <c r="I17" s="1">
        <v>11530</v>
      </c>
      <c r="J17" s="1">
        <v>11530</v>
      </c>
      <c r="K17" s="1">
        <v>11530</v>
      </c>
      <c r="L17" s="1">
        <v>11530</v>
      </c>
      <c r="M17" s="1">
        <v>11530</v>
      </c>
      <c r="N17" s="1">
        <v>11530</v>
      </c>
      <c r="O17" s="1">
        <v>11530</v>
      </c>
      <c r="P17" s="1">
        <v>11530</v>
      </c>
      <c r="Q17" s="1">
        <v>11530</v>
      </c>
      <c r="R17" s="1">
        <v>11530</v>
      </c>
      <c r="S17" s="1">
        <v>11530</v>
      </c>
      <c r="T17" s="1">
        <v>11530</v>
      </c>
      <c r="U17" s="1">
        <v>11530</v>
      </c>
      <c r="V17" s="1">
        <v>11530</v>
      </c>
      <c r="W17" s="1">
        <v>11530</v>
      </c>
      <c r="X17" s="1">
        <v>11530</v>
      </c>
      <c r="Y17" s="1">
        <v>11530</v>
      </c>
      <c r="Z17" s="1">
        <v>11530</v>
      </c>
    </row>
    <row customFormat="1" r="18" s="1" spans="1:26" x14ac:dyDescent="0.25">
      <c r="A18" s="18" t="s">
        <v>4164</v>
      </c>
      <c r="B18" s="1" t="s">
        <v>21</v>
      </c>
      <c r="C18" s="1" t="s">
        <v>21</v>
      </c>
      <c r="D18" s="1" t="s">
        <v>21</v>
      </c>
      <c r="E18" s="1" t="s">
        <v>21</v>
      </c>
      <c r="F18" s="1" t="s">
        <v>21</v>
      </c>
      <c r="G18" s="1" t="s">
        <v>21</v>
      </c>
      <c r="H18" s="1" t="s">
        <v>21</v>
      </c>
      <c r="I18" s="1" t="s">
        <v>21</v>
      </c>
      <c r="J18" s="1" t="s">
        <v>21</v>
      </c>
      <c r="K18" s="1" t="s">
        <v>21</v>
      </c>
      <c r="L18" s="1" t="s">
        <v>21</v>
      </c>
      <c r="M18" s="1" t="s">
        <v>21</v>
      </c>
      <c r="N18" s="1" t="s">
        <v>21</v>
      </c>
      <c r="O18" s="1" t="s">
        <v>21</v>
      </c>
      <c r="P18" s="1" t="s">
        <v>21</v>
      </c>
      <c r="Q18" s="1" t="s">
        <v>21</v>
      </c>
      <c r="R18" s="1" t="s">
        <v>21</v>
      </c>
      <c r="S18" s="1" t="s">
        <v>21</v>
      </c>
      <c r="T18" s="1" t="s">
        <v>21</v>
      </c>
      <c r="U18" s="1" t="s">
        <v>21</v>
      </c>
      <c r="V18" s="1" t="s">
        <v>21</v>
      </c>
      <c r="W18" s="1" t="s">
        <v>21</v>
      </c>
      <c r="X18" s="1" t="s">
        <v>21</v>
      </c>
      <c r="Y18" s="1" t="s">
        <v>21</v>
      </c>
      <c r="Z18" s="1" t="s">
        <v>21</v>
      </c>
    </row>
    <row customFormat="1" r="19" s="1" spans="1:26" x14ac:dyDescent="0.25">
      <c r="A19" s="18" t="s">
        <v>4165</v>
      </c>
      <c r="B19" s="1" t="s">
        <v>21</v>
      </c>
      <c r="C19" s="1" t="s">
        <v>21</v>
      </c>
      <c r="D19" s="1" t="s">
        <v>21</v>
      </c>
      <c r="E19" s="1" t="s">
        <v>21</v>
      </c>
      <c r="F19" s="1" t="s">
        <v>21</v>
      </c>
      <c r="G19" s="1" t="s">
        <v>21</v>
      </c>
      <c r="H19" s="1" t="s">
        <v>21</v>
      </c>
      <c r="I19" s="1" t="s">
        <v>21</v>
      </c>
      <c r="J19" s="1" t="s">
        <v>21</v>
      </c>
      <c r="K19" s="1" t="s">
        <v>21</v>
      </c>
      <c r="L19" s="1" t="s">
        <v>21</v>
      </c>
      <c r="M19" s="1" t="s">
        <v>21</v>
      </c>
      <c r="N19" s="1" t="s">
        <v>21</v>
      </c>
      <c r="O19" s="1" t="s">
        <v>21</v>
      </c>
      <c r="P19" s="1" t="s">
        <v>21</v>
      </c>
      <c r="Q19" s="1" t="s">
        <v>21</v>
      </c>
      <c r="R19" s="1" t="s">
        <v>21</v>
      </c>
      <c r="S19" s="1" t="s">
        <v>21</v>
      </c>
      <c r="T19" s="1" t="s">
        <v>21</v>
      </c>
      <c r="U19" s="1" t="s">
        <v>21</v>
      </c>
      <c r="V19" s="1" t="s">
        <v>21</v>
      </c>
      <c r="W19" s="1" t="s">
        <v>21</v>
      </c>
      <c r="X19" s="1" t="s">
        <v>21</v>
      </c>
      <c r="Y19" s="1" t="s">
        <v>21</v>
      </c>
      <c r="Z19" s="1" t="s">
        <v>21</v>
      </c>
    </row>
    <row customFormat="1" r="20" s="1" spans="1:26" x14ac:dyDescent="0.25">
      <c r="A20" s="18" t="s">
        <v>4166</v>
      </c>
      <c r="B20" s="1" t="s">
        <v>248</v>
      </c>
      <c r="C20" s="1" t="s">
        <v>248</v>
      </c>
      <c r="D20" s="1" t="s">
        <v>248</v>
      </c>
      <c r="E20" s="1" t="s">
        <v>248</v>
      </c>
      <c r="F20" s="1" t="s">
        <v>248</v>
      </c>
      <c r="G20" s="1" t="s">
        <v>248</v>
      </c>
      <c r="H20" s="1" t="s">
        <v>248</v>
      </c>
      <c r="I20" s="1" t="s">
        <v>248</v>
      </c>
      <c r="J20" s="1" t="s">
        <v>248</v>
      </c>
      <c r="K20" s="1" t="s">
        <v>248</v>
      </c>
      <c r="L20" s="1" t="s">
        <v>248</v>
      </c>
      <c r="M20" s="1" t="s">
        <v>248</v>
      </c>
      <c r="N20" s="1" t="s">
        <v>248</v>
      </c>
      <c r="O20" s="1" t="s">
        <v>248</v>
      </c>
      <c r="P20" s="1" t="s">
        <v>248</v>
      </c>
      <c r="Q20" s="1" t="s">
        <v>248</v>
      </c>
      <c r="R20" s="1" t="s">
        <v>248</v>
      </c>
      <c r="S20" s="1" t="s">
        <v>248</v>
      </c>
      <c r="T20" s="1" t="s">
        <v>248</v>
      </c>
      <c r="U20" s="1" t="s">
        <v>248</v>
      </c>
      <c r="V20" s="1" t="s">
        <v>248</v>
      </c>
      <c r="W20" s="1" t="s">
        <v>248</v>
      </c>
      <c r="X20" s="1" t="s">
        <v>248</v>
      </c>
      <c r="Y20" s="1" t="s">
        <v>248</v>
      </c>
      <c r="Z20" s="1" t="s">
        <v>248</v>
      </c>
    </row>
    <row customFormat="1" r="21" s="1" spans="1:26" x14ac:dyDescent="0.25">
      <c r="A21" s="18" t="s">
        <v>4167</v>
      </c>
      <c r="C21" s="1">
        <v>124214</v>
      </c>
      <c r="E21" s="1">
        <v>12421456</v>
      </c>
      <c r="F21" s="1">
        <v>12421456</v>
      </c>
      <c r="G21" s="1">
        <v>124214</v>
      </c>
      <c r="H21" s="1">
        <v>12421456</v>
      </c>
      <c r="I21" s="1">
        <v>124214</v>
      </c>
      <c r="J21" s="1">
        <v>12421456</v>
      </c>
      <c r="K21" s="1">
        <v>124214</v>
      </c>
      <c r="L21" s="1">
        <v>12421456</v>
      </c>
      <c r="M21" s="1">
        <v>124214</v>
      </c>
      <c r="N21" s="1">
        <v>124214</v>
      </c>
      <c r="O21" s="1">
        <v>124214</v>
      </c>
      <c r="P21" s="1">
        <v>124214</v>
      </c>
      <c r="Q21" s="1">
        <v>124214</v>
      </c>
      <c r="R21" s="1">
        <v>124214</v>
      </c>
      <c r="S21" s="1">
        <v>124214</v>
      </c>
      <c r="T21" s="1">
        <v>124214</v>
      </c>
      <c r="U21" s="1">
        <v>124214</v>
      </c>
      <c r="V21" s="1">
        <v>124214</v>
      </c>
      <c r="W21" s="1">
        <v>124214</v>
      </c>
      <c r="X21" s="1">
        <v>124214</v>
      </c>
      <c r="Y21" s="1">
        <v>124214</v>
      </c>
      <c r="Z21" s="1">
        <v>124214</v>
      </c>
    </row>
    <row customFormat="1" r="22" s="1" spans="1:26" x14ac:dyDescent="0.25">
      <c r="A22" s="18" t="s">
        <v>4168</v>
      </c>
      <c r="C22" s="1">
        <v>142142</v>
      </c>
      <c r="E22" s="1">
        <v>12142142</v>
      </c>
      <c r="F22" s="1">
        <v>12142142</v>
      </c>
      <c r="G22" s="1">
        <v>142142</v>
      </c>
      <c r="H22" s="1">
        <v>12142142</v>
      </c>
      <c r="I22" s="1">
        <v>142142</v>
      </c>
      <c r="J22" s="1">
        <v>12142142</v>
      </c>
      <c r="K22" s="1">
        <v>142142</v>
      </c>
      <c r="L22" s="1">
        <v>12142142</v>
      </c>
      <c r="M22" s="1">
        <v>142142</v>
      </c>
      <c r="N22" s="1">
        <v>142142</v>
      </c>
      <c r="O22" s="1">
        <v>142142</v>
      </c>
      <c r="P22" s="1">
        <v>142142</v>
      </c>
      <c r="Q22" s="1">
        <v>142142</v>
      </c>
      <c r="R22" s="1">
        <v>142142</v>
      </c>
      <c r="S22" s="1">
        <v>142142</v>
      </c>
      <c r="T22" s="1">
        <v>142142</v>
      </c>
      <c r="U22" s="1">
        <v>142142</v>
      </c>
      <c r="V22" s="1">
        <v>142142</v>
      </c>
      <c r="W22" s="1">
        <v>142142</v>
      </c>
      <c r="X22" s="1">
        <v>142142</v>
      </c>
      <c r="Y22" s="1">
        <v>142142</v>
      </c>
      <c r="Z22" s="1">
        <v>142142</v>
      </c>
    </row>
    <row customFormat="1" r="23" s="1" spans="1:26" x14ac:dyDescent="0.25">
      <c r="A23" s="1" t="s">
        <v>251</v>
      </c>
    </row>
    <row customFormat="1" r="24" s="1" spans="1:26" x14ac:dyDescent="0.25">
      <c r="A24" s="1" t="s">
        <v>252</v>
      </c>
    </row>
    <row customFormat="1" r="25" s="1" spans="1:26" x14ac:dyDescent="0.25">
      <c r="A25" s="1" t="s">
        <v>253</v>
      </c>
    </row>
    <row customFormat="1" r="26" s="1" spans="1:26" x14ac:dyDescent="0.25">
      <c r="A26" s="1" t="s">
        <v>254</v>
      </c>
    </row>
    <row customFormat="1" r="27" s="1" spans="1:26" x14ac:dyDescent="0.25">
      <c r="A27" s="1" t="s">
        <v>255</v>
      </c>
    </row>
    <row customFormat="1" r="28" s="1" spans="1:26" x14ac:dyDescent="0.25">
      <c r="A28" s="1" t="s">
        <v>256</v>
      </c>
    </row>
    <row customFormat="1" r="29" s="1" spans="1:26" x14ac:dyDescent="0.25">
      <c r="A29" s="1" t="s">
        <v>257</v>
      </c>
    </row>
    <row customFormat="1" r="30" s="1" spans="1:26" x14ac:dyDescent="0.25">
      <c r="A30" s="1" t="s">
        <v>258</v>
      </c>
    </row>
    <row customFormat="1" r="31" s="1" spans="1:26" x14ac:dyDescent="0.25">
      <c r="A31" s="1" t="s">
        <v>259</v>
      </c>
    </row>
    <row customFormat="1" r="32" s="1" spans="1:26" x14ac:dyDescent="0.25">
      <c r="A32" s="18" t="s">
        <v>4169</v>
      </c>
      <c r="C32" s="1" t="s">
        <v>2996</v>
      </c>
      <c r="D32" s="1" t="s">
        <v>2994</v>
      </c>
      <c r="E32" s="1" t="s">
        <v>2994</v>
      </c>
      <c r="F32" s="1" t="s">
        <v>2994</v>
      </c>
      <c r="G32" s="1" t="s">
        <v>2996</v>
      </c>
      <c r="H32" s="1" t="s">
        <v>2994</v>
      </c>
      <c r="I32" s="1" t="s">
        <v>2996</v>
      </c>
      <c r="J32" s="1" t="s">
        <v>2994</v>
      </c>
      <c r="K32" s="1" t="s">
        <v>2996</v>
      </c>
      <c r="L32" s="1" t="s">
        <v>2994</v>
      </c>
      <c r="M32" s="1" t="s">
        <v>2996</v>
      </c>
      <c r="N32" s="1" t="s">
        <v>2996</v>
      </c>
      <c r="O32" s="1" t="s">
        <v>2996</v>
      </c>
      <c r="P32" s="1" t="s">
        <v>2996</v>
      </c>
      <c r="Q32" s="1" t="s">
        <v>2996</v>
      </c>
      <c r="R32" s="1" t="s">
        <v>2996</v>
      </c>
      <c r="S32" s="1" t="s">
        <v>2996</v>
      </c>
      <c r="T32" s="1" t="s">
        <v>2996</v>
      </c>
      <c r="U32" s="1" t="s">
        <v>2996</v>
      </c>
      <c r="V32" s="1" t="s">
        <v>2996</v>
      </c>
      <c r="W32" s="1" t="s">
        <v>2996</v>
      </c>
      <c r="X32" s="1" t="s">
        <v>2996</v>
      </c>
      <c r="Y32" s="1" t="s">
        <v>2996</v>
      </c>
      <c r="Z32" s="1" t="s">
        <v>2996</v>
      </c>
    </row>
  </sheetData>
  <conditionalFormatting sqref="B14:M20 AA14:XFD20">
    <cfRule dxfId="94" priority="15" type="expression">
      <formula>AND(B$13&lt;&gt;"",B$13&lt;&gt;"Copy Address From")</formula>
    </cfRule>
  </conditionalFormatting>
  <conditionalFormatting sqref="A14:A20">
    <cfRule dxfId="93" priority="14" type="expression">
      <formula>AND(A$13&lt;&gt;"",A$13&lt;&gt;"Copy Address From")</formula>
    </cfRule>
  </conditionalFormatting>
  <conditionalFormatting sqref="N14:N20">
    <cfRule dxfId="92" priority="13" type="expression">
      <formula>AND(N$13&lt;&gt;"",N$13&lt;&gt;"Copy Address From")</formula>
    </cfRule>
  </conditionalFormatting>
  <conditionalFormatting sqref="O14:O20">
    <cfRule dxfId="91" priority="12" type="expression">
      <formula>AND(O$13&lt;&gt;"",O$13&lt;&gt;"Copy Address From")</formula>
    </cfRule>
  </conditionalFormatting>
  <conditionalFormatting sqref="P14:P20">
    <cfRule dxfId="90" priority="11" type="expression">
      <formula>AND(P$13&lt;&gt;"",P$13&lt;&gt;"Copy Address From")</formula>
    </cfRule>
  </conditionalFormatting>
  <conditionalFormatting sqref="Q14:Q20">
    <cfRule dxfId="89" priority="10" type="expression">
      <formula>AND(Q$13&lt;&gt;"",Q$13&lt;&gt;"Copy Address From")</formula>
    </cfRule>
  </conditionalFormatting>
  <conditionalFormatting sqref="R14:R20">
    <cfRule dxfId="88" priority="9" type="expression">
      <formula>AND(R$13&lt;&gt;"",R$13&lt;&gt;"Copy Address From")</formula>
    </cfRule>
  </conditionalFormatting>
  <conditionalFormatting sqref="S14:S20">
    <cfRule dxfId="87" priority="8" type="expression">
      <formula>AND(S$13&lt;&gt;"",S$13&lt;&gt;"Copy Address From")</formula>
    </cfRule>
  </conditionalFormatting>
  <conditionalFormatting sqref="T14:T20">
    <cfRule dxfId="86" priority="7" type="expression">
      <formula>AND(T$13&lt;&gt;"",T$13&lt;&gt;"Copy Address From")</formula>
    </cfRule>
  </conditionalFormatting>
  <conditionalFormatting sqref="U14:U20">
    <cfRule dxfId="85" priority="6" type="expression">
      <formula>AND(U$13&lt;&gt;"",U$13&lt;&gt;"Copy Address From")</formula>
    </cfRule>
  </conditionalFormatting>
  <conditionalFormatting sqref="V14:V20">
    <cfRule dxfId="84" priority="5" type="expression">
      <formula>AND(V$13&lt;&gt;"",V$13&lt;&gt;"Copy Address From")</formula>
    </cfRule>
  </conditionalFormatting>
  <conditionalFormatting sqref="W14:W20">
    <cfRule dxfId="83" priority="4" type="expression">
      <formula>AND(W$13&lt;&gt;"",W$13&lt;&gt;"Copy Address From")</formula>
    </cfRule>
  </conditionalFormatting>
  <conditionalFormatting sqref="X14:X20">
    <cfRule dxfId="82" priority="3" type="expression">
      <formula>AND(X$13&lt;&gt;"",X$13&lt;&gt;"Copy Address From")</formula>
    </cfRule>
  </conditionalFormatting>
  <conditionalFormatting sqref="Y14:Y20">
    <cfRule dxfId="81" priority="2" type="expression">
      <formula>AND(Y$13&lt;&gt;"",Y$13&lt;&gt;"Copy Address From")</formula>
    </cfRule>
  </conditionalFormatting>
  <conditionalFormatting sqref="Z14:Z20">
    <cfRule dxfId="80" priority="1" type="expression">
      <formula>AND(Z$13&lt;&gt;"",Z$13&lt;&gt;"Copy Address From")</formula>
    </cfRule>
  </conditionalFormatting>
  <dataValidations count="3">
    <dataValidation allowBlank="1" errorStyle="information" showErrorMessage="1" showInputMessage="1" sqref="B14:Z20" type="custom">
      <formula1>ISBLANK(B$13)</formula1>
    </dataValidation>
    <dataValidation errorStyle="information" showErrorMessage="1" showInputMessage="1" sqref="B12:Z12" type="list">
      <formula1>"Legal, Mailing, Residence, Residence 2"</formula1>
    </dataValidation>
    <dataValidation errorStyle="information" showErrorMessage="1" showInputMessage="1" sqref="B32:Z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1">
        <x14:dataValidation allowBlank="1" errorStyle="information" showErrorMessage="1" showInputMessage="1" type="list">
          <x14:formula1>
            <xm:f>Master!$BE$2:$BE$20</xm:f>
          </x14:formula1>
          <xm:sqref>B13:Z13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V126"/>
  <sheetViews>
    <sheetView topLeftCell="G1" workbookViewId="0" zoomScaleNormal="100">
      <selection activeCell="I10" sqref="I10"/>
    </sheetView>
  </sheetViews>
  <sheetFormatPr defaultRowHeight="15" x14ac:dyDescent="0.25"/>
  <cols>
    <col min="1" max="1" bestFit="true" customWidth="true" width="39.28515625" collapsed="true"/>
    <col min="2" max="2" bestFit="true" customWidth="true" width="24.0" collapsed="true"/>
    <col min="3" max="3" customWidth="true" width="24.0" collapsed="false"/>
    <col min="4" max="11" bestFit="true" customWidth="true" width="24.0" collapsed="true"/>
    <col min="21" max="21" customWidth="true" width="10.42578125" collapsed="false"/>
  </cols>
  <sheetData>
    <row customFormat="1" r="1" s="1" spans="1:21" x14ac:dyDescent="0.25">
      <c r="A1" s="1" t="s">
        <v>12</v>
      </c>
      <c r="B1"/>
      <c r="C1"/>
      <c r="D1" t="s">
        <v>3283</v>
      </c>
      <c r="E1" t="s">
        <v>3283</v>
      </c>
      <c r="F1" t="s">
        <v>3283</v>
      </c>
      <c r="G1" t="s">
        <v>3283</v>
      </c>
      <c r="H1" t="s">
        <v>3283</v>
      </c>
      <c r="I1" t="s">
        <v>3283</v>
      </c>
      <c r="J1" s="1" t="s">
        <v>3283</v>
      </c>
      <c r="K1" s="1" t="s">
        <v>3283</v>
      </c>
      <c r="L1" s="1" t="s">
        <v>3283</v>
      </c>
      <c r="M1" s="1" t="s">
        <v>3283</v>
      </c>
      <c r="N1" s="1" t="s">
        <v>3283</v>
      </c>
      <c r="O1" s="1" t="s">
        <v>3283</v>
      </c>
      <c r="P1" s="1" t="s">
        <v>3283</v>
      </c>
      <c r="Q1" s="1" t="s">
        <v>3283</v>
      </c>
      <c r="R1" s="1" t="s">
        <v>3283</v>
      </c>
      <c r="S1" s="1" t="s">
        <v>3283</v>
      </c>
      <c r="T1" s="1" t="s">
        <v>3283</v>
      </c>
      <c r="U1" s="1" t="s">
        <v>3283</v>
      </c>
    </row>
    <row customFormat="1" r="2" s="1" spans="1:21" x14ac:dyDescent="0.25">
      <c r="A2" s="1" t="s">
        <v>4145</v>
      </c>
      <c r="B2"/>
      <c r="C2"/>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customFormat="1" r="3" s="1" spans="1:21" x14ac:dyDescent="0.25">
      <c r="A3" s="1" t="s">
        <v>4146</v>
      </c>
      <c r="D3" s="1" t="s">
        <v>4264</v>
      </c>
      <c r="E3" s="1" t="s">
        <v>4267</v>
      </c>
      <c r="F3" s="1" t="s">
        <v>4269</v>
      </c>
      <c r="G3" s="1" t="s">
        <v>4274</v>
      </c>
      <c r="H3" s="1" t="s">
        <v>4279</v>
      </c>
    </row>
    <row customFormat="1" r="4" s="1" spans="1:21" x14ac:dyDescent="0.25">
      <c r="A4" s="1" t="s">
        <v>4155</v>
      </c>
      <c r="D4" s="1">
        <f>IF(D12="Employee",COUNTIFS($A$14:$A$26,"*$*",D14:D26,"")+COUNTIFS($A$55:$A$61,"*$*",D55:D61,""),IF(D12="Professional",COUNTIFS($A$28:$A$36,"*$*",D28:D36,"")+COUNTIFS($A$55:$A$61,"*$*",D55:D61,""),IF(D12="Non Professional",COUNTIFS($A$38:$A$40,"*$*",D38:D40,"")+COUNTIFS($A$55:$A$61,"*$*",D55:D61,""),IF(D12="Employee",COUNTIFS($A$42:$A$53,"*$*",D42:D53,"")+COUNTIFS($A$55:$A$61,"*$*",D55:D61,"")))))</f>
        <v>13</v>
      </c>
      <c r="E4" s="1">
        <f>IF(E12="Employee",COUNTIFS($A$14:$A$26,"*$*",E14:E26,"")+COUNTIFS($A$55:$A$61,"*$*",E55:E61,""),IF(E12="Professional",COUNTIFS($A$28:$A$36,"*$*",E28:E36,"")+COUNTIFS($A$55:$A$61,"*$*",E55:E61,""),IF(E12="Non Professional",COUNTIFS($A$38:$A$40,"*$*",E38:E40,"")+COUNTIFS($A$55:$A$61,"*$*",E55:E61,""),IF(E12="Employee",COUNTIFS($A$42:$A$53,"*$*",E42:E53,"")+COUNTIFS($A$55:$A$61,"*$*",E55:E61,"")))))</f>
        <v>0</v>
      </c>
      <c r="F4" s="1">
        <f>IF(F12="Employee",COUNTIFS($A$14:$A$26,"*$*",F14:F26,"")+COUNTIFS($A$55:$A$61,"*$*",F55:F61,""),IF(F12="Professional",COUNTIFS($A$28:$A$36,"*$*",F28:F36,"")+COUNTIFS($A$55:$A$61,"*$*",F55:F61,""),IF(F12="Non Professional",COUNTIFS($A$38:$A$40,"*$*",F38:F40,"")+COUNTIFS($A$55:$A$61,"*$*",F55:F61,""),IF(F12="Employee",COUNTIFS($A$42:$A$53,"*$*",F42:F53,"")+COUNTIFS($A$55:$A$61,"*$*",F55:F61,"")))))</f>
        <v>0</v>
      </c>
      <c r="G4" s="1">
        <f>IF(G12="Employee",COUNTIFS($A$14:$A$26,"*$*",G14:G26,"")+COUNTIFS($A$55:$A$61,"*$*",G55:G61,""),IF(G12="Professional",COUNTIFS($A$28:$A$36,"*$*",G28:G36,"")+COUNTIFS($A$55:$A$61,"*$*",G55:G61,""),IF(G12="Non Professional",COUNTIFS($A$38:$A$40,"*$*",G38:G40,"")+COUNTIFS($A$55:$A$61,"*$*",G55:G61,""),IF(G12="Employee",COUNTIFS($A$42:$A$53,"*$*",G42:G53,"")+COUNTIFS($A$55:$A$61,"*$*",G55:G61,"")))))</f>
        <v>0</v>
      </c>
      <c r="H4" s="1">
        <f>IF(H12="Employee",COUNTIFS($A$14:$A$26,"*$*",H14:H26,"")+COUNTIFS($A$55:$A$61,"*$*",H55:H61,""),IF(H12="Professional",COUNTIFS($A$28:$A$36,"*$*",H28:H36,"")+COUNTIFS($A$55:$A$61,"*$*",H55:H61,""),IF(H12="Non Professional",COUNTIFS($A$38:$A$40,"*$*",H38:H40,"")+COUNTIFS($A$55:$A$61,"*$*",H55:H61,""),IF(H12="Employee",COUNTIFS($A$42:$A$53,"*$*",H42:H53,"")+COUNTIFS($A$55:$A$61,"*$*",H55:H61,"")))))</f>
        <v>0</v>
      </c>
      <c r="I4" s="1">
        <f ref="I4:U4" si="0" t="shared">IF(I12="Employee",COUNTIFS($A$14:$A$26,"*$*",I14:I26,"")+COUNTIFS($A$55:$A$61,"*$*",I55:I61,""),IF(I12="Professional",COUNTIFS($A$28:$A$36,"*$*",I28:I36,"")+COUNTIFS($A$55:$A$61,"*$*",I55:I61,""),IF(I12="Non Professional",COUNTIFS($A$38:$A$40,"*$*",I38:I40,"")+COUNTIFS($A$55:$A$61,"*$*",I55:I61,""),IF(I12="Employee",COUNTIFS($A$42:$A$53,"*$*",I42:I53,"")+COUNTIFS($A$55:$A$61,"*$*",I55:I61,"")))))</f>
        <v>0</v>
      </c>
      <c r="J4" s="1">
        <f si="0" t="shared"/>
        <v>0</v>
      </c>
      <c r="K4" s="1">
        <f si="0" t="shared"/>
        <v>0</v>
      </c>
      <c r="L4" s="1">
        <f si="0" t="shared"/>
        <v>0</v>
      </c>
      <c r="M4" s="1">
        <f si="0" t="shared"/>
        <v>0</v>
      </c>
      <c r="N4" s="1">
        <f si="0" t="shared"/>
        <v>0</v>
      </c>
      <c r="O4" s="1">
        <f si="0" t="shared"/>
        <v>0</v>
      </c>
      <c r="P4" s="1">
        <f si="0" t="shared"/>
        <v>0</v>
      </c>
      <c r="Q4" s="1">
        <f si="0" t="shared"/>
        <v>0</v>
      </c>
      <c r="R4" s="1">
        <f si="0" t="shared"/>
        <v>0</v>
      </c>
      <c r="S4" s="1">
        <f si="0" t="shared"/>
        <v>0</v>
      </c>
      <c r="T4" s="1">
        <f si="0" t="shared"/>
        <v>0</v>
      </c>
      <c r="U4" s="1">
        <f si="0" t="shared"/>
        <v>0</v>
      </c>
    </row>
    <row customFormat="1" r="5" s="1" spans="1:21" x14ac:dyDescent="0.25"/>
    <row customFormat="1" r="6" s="1" spans="1:21" x14ac:dyDescent="0.25"/>
    <row customFormat="1" r="7" s="1" spans="1:21" x14ac:dyDescent="0.25"/>
    <row customFormat="1" r="8" s="1" spans="1:21" x14ac:dyDescent="0.25"/>
    <row customFormat="1" r="9" s="1" spans="1:21" x14ac:dyDescent="0.25"/>
    <row customFormat="1" r="10" s="1" spans="1:21" x14ac:dyDescent="0.25">
      <c r="A10" s="1" t="s">
        <v>3558</v>
      </c>
      <c r="D10" s="1" t="str">
        <f>'1.CustomerDetail'!D$12</f>
        <v>app1</v>
      </c>
      <c r="E10" s="1" t="str">
        <f>'1.CustomerDetail'!E$12</f>
        <v>app1</v>
      </c>
      <c r="F10" s="1" t="str">
        <f>'1.CustomerDetail'!F$12</f>
        <v>app1</v>
      </c>
      <c r="G10" s="1" t="str">
        <f>'1.CustomerDetail'!G$12</f>
        <v>app1</v>
      </c>
      <c r="H10" s="1" t="str">
        <f>'1.CustomerDetail'!H$12</f>
        <v>app1</v>
      </c>
      <c r="I10" s="1" t="str">
        <f>'1.CustomerDetail'!I$12</f>
        <v>app2</v>
      </c>
      <c r="J10" s="1" t="str">
        <f>'1.CustomerDetail'!J$12</f>
        <v>app3</v>
      </c>
      <c r="K10" s="1" t="str">
        <f>'1.CustomerDetail'!K$12</f>
        <v>app4</v>
      </c>
      <c r="L10" s="1" t="str">
        <f>'1.CustomerDetail'!L$12</f>
        <v>app5</v>
      </c>
      <c r="M10" s="1" t="str">
        <f>'1.CustomerDetail'!M$12</f>
        <v>app6</v>
      </c>
      <c r="N10" s="1" t="str">
        <f>'1.CustomerDetail'!N$12</f>
        <v>app7</v>
      </c>
      <c r="O10" s="1" t="str">
        <f>'1.CustomerDetail'!O$12</f>
        <v>app8</v>
      </c>
      <c r="P10" s="1" t="str">
        <f>'1.CustomerDetail'!P$12</f>
        <v>app9</v>
      </c>
      <c r="Q10" s="1" t="str">
        <f>'1.CustomerDetail'!Q$12</f>
        <v>app10</v>
      </c>
      <c r="R10" s="1" t="str">
        <f>'1.CustomerDetail'!R$12</f>
        <v>app17</v>
      </c>
      <c r="S10" s="1" t="str">
        <f>'1.CustomerDetail'!S$12</f>
        <v>app2</v>
      </c>
      <c r="T10" s="1" t="str">
        <f>'1.CustomerDetail'!T$12</f>
        <v>app10</v>
      </c>
      <c r="U10" s="1" t="str">
        <f>'1.CustomerDetail'!U$12</f>
        <v>app22</v>
      </c>
    </row>
    <row customFormat="1" r="11" s="33" spans="1:21" x14ac:dyDescent="0.25">
      <c r="A11" s="34" t="s">
        <v>4214</v>
      </c>
      <c r="B11" s="35"/>
      <c r="C11" s="35"/>
      <c r="D11" s="35"/>
      <c r="E11" s="35"/>
      <c r="F11" s="35"/>
      <c r="G11" s="35"/>
      <c r="H11" s="35"/>
      <c r="I11" s="35"/>
      <c r="J11" s="35"/>
      <c r="K11" s="35"/>
      <c r="L11" s="35"/>
      <c r="M11" s="35"/>
      <c r="N11" s="35"/>
      <c r="O11" s="35"/>
      <c r="P11" s="35"/>
      <c r="Q11" s="36"/>
    </row>
    <row customFormat="1" r="12" s="1" spans="1:21" x14ac:dyDescent="0.25">
      <c r="A12" s="1" t="s">
        <v>4214</v>
      </c>
      <c r="D12" s="1" t="s">
        <v>4212</v>
      </c>
      <c r="E12" s="1" t="s">
        <v>4212</v>
      </c>
      <c r="F12" s="1" t="s">
        <v>4212</v>
      </c>
      <c r="G12" s="1" t="s">
        <v>4212</v>
      </c>
      <c r="H12" s="1" t="s">
        <v>4212</v>
      </c>
      <c r="I12" s="1" t="s">
        <v>4213</v>
      </c>
      <c r="J12" s="1" t="s">
        <v>4213</v>
      </c>
      <c r="K12" s="1" t="s">
        <v>4213</v>
      </c>
      <c r="L12" s="1" t="s">
        <v>4213</v>
      </c>
      <c r="M12" s="1" t="s">
        <v>4213</v>
      </c>
      <c r="N12" s="1" t="s">
        <v>4213</v>
      </c>
      <c r="O12" s="1" t="s">
        <v>4213</v>
      </c>
      <c r="P12" s="1" t="s">
        <v>4213</v>
      </c>
      <c r="Q12" s="1" t="s">
        <v>4213</v>
      </c>
      <c r="R12" s="1" t="s">
        <v>4213</v>
      </c>
      <c r="S12" s="1" t="s">
        <v>4213</v>
      </c>
      <c r="T12" s="1" t="s">
        <v>4213</v>
      </c>
      <c r="U12" s="1" t="s">
        <v>4213</v>
      </c>
    </row>
    <row customFormat="1" r="13" s="33" spans="1:21" x14ac:dyDescent="0.25">
      <c r="A13" s="34" t="s">
        <v>3559</v>
      </c>
      <c r="B13" s="35"/>
      <c r="C13" s="35"/>
      <c r="D13" s="35"/>
      <c r="E13" s="35"/>
      <c r="F13" s="35"/>
      <c r="G13" s="35"/>
      <c r="H13" s="35"/>
      <c r="I13" s="35"/>
      <c r="J13" s="35"/>
      <c r="K13" s="35"/>
      <c r="L13" s="35"/>
      <c r="M13" s="35"/>
      <c r="N13" s="35"/>
      <c r="O13" s="35"/>
      <c r="P13" s="35"/>
      <c r="Q13" s="36"/>
    </row>
    <row customFormat="1" r="14" s="1" spans="1:21" x14ac:dyDescent="0.25">
      <c r="A14" s="19" t="s">
        <v>4203</v>
      </c>
      <c r="B14" s="2"/>
      <c r="C14" s="2"/>
      <c r="D14" s="2" t="e">
        <f>VLOOKUP(D15,Master!$A$1:$B$100,2,FALSE)</f>
        <v>#N/A</v>
      </c>
      <c r="E14" s="2" t="str">
        <f>VLOOKUP(E15,Master!$A$1:$B$100,2,FALSE)</f>
        <v>001</v>
      </c>
      <c r="F14" s="2" t="str">
        <f>VLOOKUP(F15,Master!$A$1:$B$100,2,FALSE)</f>
        <v>001</v>
      </c>
      <c r="G14" s="2" t="str">
        <f>VLOOKUP(G15,Master!$A$1:$B$100,2,FALSE)</f>
        <v>001</v>
      </c>
      <c r="H14" s="2" t="str">
        <f>VLOOKUP(H15,Master!$A$1:$B$100,2,FALSE)</f>
        <v>001</v>
      </c>
      <c r="I14" s="2" t="str">
        <f>VLOOKUP(I15,Master!$A$1:$B$100,2,FALSE)</f>
        <v>001</v>
      </c>
      <c r="J14" s="2" t="str">
        <f>VLOOKUP(J15,Master!$A$1:$B$100,2,FALSE)</f>
        <v>001</v>
      </c>
      <c r="K14" s="2" t="str">
        <f>VLOOKUP(K15,Master!$A$1:$B$100,2,FALSE)</f>
        <v>001</v>
      </c>
      <c r="L14" s="2" t="str">
        <f>VLOOKUP(L15,Master!$A$1:$B$100,2,FALSE)</f>
        <v>001</v>
      </c>
      <c r="M14" s="2" t="str">
        <f>VLOOKUP(M15,Master!$A$1:$B$100,2,FALSE)</f>
        <v>001</v>
      </c>
      <c r="N14" s="2" t="str">
        <f>VLOOKUP(N15,Master!$A$1:$B$100,2,FALSE)</f>
        <v>001</v>
      </c>
      <c r="O14" s="2" t="str">
        <f>VLOOKUP(O15,Master!$A$1:$B$100,2,FALSE)</f>
        <v>001</v>
      </c>
      <c r="P14" s="2" t="str">
        <f>VLOOKUP(P15,Master!$A$1:$B$100,2,FALSE)</f>
        <v>001</v>
      </c>
      <c r="Q14" s="2" t="str">
        <f>VLOOKUP(Q15,Master!$A$1:$B$100,2,FALSE)</f>
        <v>001</v>
      </c>
      <c r="R14" s="2" t="str">
        <f>VLOOKUP(R15,Master!$A$1:$B$100,2,FALSE)</f>
        <v>001</v>
      </c>
      <c r="S14" s="2" t="str">
        <f>VLOOKUP(S15,Master!$A$1:$B$100,2,FALSE)</f>
        <v>001</v>
      </c>
      <c r="T14" s="2" t="str">
        <f>VLOOKUP(T15,Master!$A$1:$B$100,2,FALSE)</f>
        <v>001</v>
      </c>
      <c r="U14" s="2" t="str">
        <f>VLOOKUP(U15,Master!$A$1:$B$100,2,FALSE)</f>
        <v>001</v>
      </c>
    </row>
    <row customFormat="1" r="15" s="1" spans="1:21" x14ac:dyDescent="0.25">
      <c r="A15" s="18" t="s">
        <v>4204</v>
      </c>
      <c r="B15" s="2"/>
      <c r="C15" s="2"/>
      <c r="D15" s="2"/>
      <c r="E15" s="2" t="s">
        <v>61</v>
      </c>
      <c r="F15" s="2" t="s">
        <v>61</v>
      </c>
      <c r="G15" s="2" t="s">
        <v>61</v>
      </c>
      <c r="H15" s="2" t="s">
        <v>61</v>
      </c>
      <c r="I15" s="2" t="s">
        <v>61</v>
      </c>
      <c r="J15" s="2" t="s">
        <v>61</v>
      </c>
      <c r="K15" s="2" t="s">
        <v>61</v>
      </c>
      <c r="L15" s="2" t="s">
        <v>61</v>
      </c>
      <c r="M15" s="2" t="s">
        <v>61</v>
      </c>
      <c r="N15" s="2" t="s">
        <v>61</v>
      </c>
      <c r="O15" s="2" t="s">
        <v>61</v>
      </c>
      <c r="P15" s="2" t="s">
        <v>61</v>
      </c>
      <c r="Q15" s="2" t="s">
        <v>61</v>
      </c>
      <c r="R15" s="2" t="s">
        <v>61</v>
      </c>
      <c r="S15" s="2" t="s">
        <v>61</v>
      </c>
      <c r="T15" s="2" t="s">
        <v>61</v>
      </c>
      <c r="U15" s="2" t="s">
        <v>61</v>
      </c>
    </row>
    <row customFormat="1" r="16" s="1" spans="1:21" x14ac:dyDescent="0.25">
      <c r="A16" s="18" t="s">
        <v>4205</v>
      </c>
      <c r="B16" s="2"/>
      <c r="C16" s="2"/>
      <c r="D16" s="2"/>
      <c r="E16" s="2" t="s">
        <v>261</v>
      </c>
      <c r="F16" s="2" t="s">
        <v>261</v>
      </c>
      <c r="G16" s="2" t="s">
        <v>261</v>
      </c>
      <c r="H16" s="2" t="s">
        <v>261</v>
      </c>
      <c r="I16" s="2" t="s">
        <v>261</v>
      </c>
      <c r="J16" s="2" t="s">
        <v>261</v>
      </c>
      <c r="K16" s="2" t="s">
        <v>261</v>
      </c>
      <c r="L16" s="2" t="s">
        <v>261</v>
      </c>
      <c r="M16" s="2" t="s">
        <v>261</v>
      </c>
      <c r="N16" s="2" t="s">
        <v>261</v>
      </c>
      <c r="O16" s="2" t="s">
        <v>261</v>
      </c>
      <c r="P16" s="2" t="s">
        <v>261</v>
      </c>
      <c r="Q16" s="2" t="s">
        <v>261</v>
      </c>
      <c r="R16" s="2" t="s">
        <v>261</v>
      </c>
      <c r="S16" s="2" t="s">
        <v>261</v>
      </c>
      <c r="T16" s="2" t="s">
        <v>261</v>
      </c>
      <c r="U16" s="2" t="s">
        <v>261</v>
      </c>
    </row>
    <row customFormat="1" r="17" s="1" spans="1:21" x14ac:dyDescent="0.25">
      <c r="A17" s="18" t="s">
        <v>4206</v>
      </c>
      <c r="B17" s="2"/>
      <c r="C17" s="2"/>
      <c r="D17" s="2"/>
      <c r="E17" s="2" t="s">
        <v>32</v>
      </c>
      <c r="F17" s="2" t="s">
        <v>32</v>
      </c>
      <c r="G17" s="2" t="s">
        <v>32</v>
      </c>
      <c r="H17" s="2" t="s">
        <v>32</v>
      </c>
      <c r="I17" s="2" t="s">
        <v>32</v>
      </c>
      <c r="J17" s="2" t="s">
        <v>32</v>
      </c>
      <c r="K17" s="2" t="s">
        <v>32</v>
      </c>
      <c r="L17" s="2" t="s">
        <v>32</v>
      </c>
      <c r="M17" s="2" t="s">
        <v>32</v>
      </c>
      <c r="N17" s="2" t="s">
        <v>32</v>
      </c>
      <c r="O17" s="2" t="s">
        <v>32</v>
      </c>
      <c r="P17" s="2" t="s">
        <v>32</v>
      </c>
      <c r="Q17" s="2" t="s">
        <v>32</v>
      </c>
      <c r="R17" s="2" t="s">
        <v>32</v>
      </c>
      <c r="S17" s="2" t="s">
        <v>32</v>
      </c>
      <c r="T17" s="2" t="s">
        <v>32</v>
      </c>
      <c r="U17" s="2" t="s">
        <v>32</v>
      </c>
    </row>
    <row customFormat="1" r="18" s="1" spans="1:21" x14ac:dyDescent="0.25">
      <c r="A18" s="1" t="s">
        <v>33</v>
      </c>
      <c r="D18" s="1" t="s">
        <v>6</v>
      </c>
      <c r="E18" s="1" t="s">
        <v>6</v>
      </c>
      <c r="F18" s="1" t="s">
        <v>6</v>
      </c>
      <c r="G18" s="1" t="s">
        <v>6</v>
      </c>
      <c r="H18" s="1" t="s">
        <v>6</v>
      </c>
      <c r="I18" s="1" t="s">
        <v>6</v>
      </c>
      <c r="J18" s="1" t="s">
        <v>6</v>
      </c>
      <c r="K18" s="1" t="s">
        <v>6</v>
      </c>
      <c r="L18" s="1" t="s">
        <v>6</v>
      </c>
      <c r="M18" s="1" t="s">
        <v>6</v>
      </c>
      <c r="N18" s="1" t="s">
        <v>6</v>
      </c>
      <c r="O18" s="1" t="s">
        <v>6</v>
      </c>
      <c r="P18" s="1" t="s">
        <v>6</v>
      </c>
      <c r="Q18" s="1" t="s">
        <v>6</v>
      </c>
      <c r="R18" s="1" t="s">
        <v>6</v>
      </c>
      <c r="S18" s="1" t="s">
        <v>6</v>
      </c>
      <c r="T18" s="1" t="s">
        <v>6</v>
      </c>
      <c r="U18" s="1" t="s">
        <v>6</v>
      </c>
    </row>
    <row customFormat="1" r="19" s="1" spans="1:21" x14ac:dyDescent="0.25">
      <c r="A19" s="1" t="s">
        <v>34</v>
      </c>
      <c r="D19" s="1" t="s">
        <v>5</v>
      </c>
      <c r="E19" s="1" t="s">
        <v>5</v>
      </c>
      <c r="F19" s="1" t="s">
        <v>5</v>
      </c>
      <c r="G19" s="1" t="s">
        <v>5</v>
      </c>
      <c r="H19" s="1" t="s">
        <v>5</v>
      </c>
      <c r="I19" s="1" t="s">
        <v>5</v>
      </c>
      <c r="J19" s="1" t="s">
        <v>5</v>
      </c>
      <c r="K19" s="1" t="s">
        <v>5</v>
      </c>
      <c r="L19" s="1" t="s">
        <v>5</v>
      </c>
      <c r="M19" s="1" t="s">
        <v>5</v>
      </c>
      <c r="N19" s="1" t="s">
        <v>5</v>
      </c>
      <c r="O19" s="1" t="s">
        <v>5</v>
      </c>
      <c r="P19" s="1" t="s">
        <v>5</v>
      </c>
      <c r="Q19" s="1" t="s">
        <v>5</v>
      </c>
      <c r="R19" s="1" t="s">
        <v>5</v>
      </c>
      <c r="S19" s="1" t="s">
        <v>5</v>
      </c>
      <c r="T19" s="1" t="s">
        <v>5</v>
      </c>
      <c r="U19" s="1" t="s">
        <v>5</v>
      </c>
    </row>
    <row customFormat="1" r="20" s="1" spans="1:21" x14ac:dyDescent="0.25">
      <c r="A20" s="18" t="s">
        <v>4207</v>
      </c>
      <c r="E20" s="1" t="s">
        <v>35</v>
      </c>
      <c r="F20" s="1" t="s">
        <v>35</v>
      </c>
      <c r="G20" s="1" t="s">
        <v>35</v>
      </c>
      <c r="H20" s="1" t="s">
        <v>35</v>
      </c>
      <c r="I20" s="1" t="s">
        <v>35</v>
      </c>
      <c r="J20" s="1" t="s">
        <v>35</v>
      </c>
      <c r="K20" s="1" t="s">
        <v>35</v>
      </c>
      <c r="L20" s="1" t="s">
        <v>35</v>
      </c>
      <c r="M20" s="1" t="s">
        <v>35</v>
      </c>
      <c r="N20" s="1" t="s">
        <v>35</v>
      </c>
      <c r="O20" s="1" t="s">
        <v>35</v>
      </c>
      <c r="P20" s="1" t="s">
        <v>35</v>
      </c>
      <c r="Q20" s="1" t="s">
        <v>35</v>
      </c>
      <c r="R20" s="1" t="s">
        <v>35</v>
      </c>
      <c r="S20" s="1" t="s">
        <v>35</v>
      </c>
      <c r="T20" s="1" t="s">
        <v>35</v>
      </c>
      <c r="U20" s="1" t="s">
        <v>35</v>
      </c>
    </row>
    <row customFormat="1" r="21" s="1" spans="1:21" x14ac:dyDescent="0.25">
      <c r="A21" s="19" t="s">
        <v>4208</v>
      </c>
      <c r="D21" s="1" t="e">
        <f>VLOOKUP(D22,Master!$AW:$AX,2,FALSE)</f>
        <v>#N/A</v>
      </c>
      <c r="E21" s="1" t="str">
        <f>VLOOKUP(E22,Master!$AW:$AX,2,FALSE)</f>
        <v>1111</v>
      </c>
      <c r="F21" s="1" t="str">
        <f>VLOOKUP(F22,Master!$AW:$AX,2,FALSE)</f>
        <v>1111</v>
      </c>
      <c r="G21" s="1" t="str">
        <f>VLOOKUP(G22,Master!$AW:$AX,2,FALSE)</f>
        <v>1111</v>
      </c>
      <c r="H21" s="1" t="str">
        <f>VLOOKUP(H22,Master!$AW:$AX,2,FALSE)</f>
        <v>1111</v>
      </c>
      <c r="I21" s="1" t="str">
        <f>VLOOKUP(I22,Master!$AW:$AX,2,FALSE)</f>
        <v>1111</v>
      </c>
      <c r="J21" s="1" t="str">
        <f>VLOOKUP(J22,Master!$AW:$AX,2,FALSE)</f>
        <v>1111</v>
      </c>
      <c r="K21" s="1" t="str">
        <f>VLOOKUP(K22,Master!$AW:$AX,2,FALSE)</f>
        <v>1111</v>
      </c>
      <c r="L21" s="1" t="str">
        <f>VLOOKUP(L22,Master!$AW:$AX,2,FALSE)</f>
        <v>1111</v>
      </c>
      <c r="M21" s="1" t="str">
        <f>VLOOKUP(M22,Master!$AW:$AX,2,FALSE)</f>
        <v>1111</v>
      </c>
      <c r="N21" s="1" t="str">
        <f>VLOOKUP(N22,Master!$AW:$AX,2,FALSE)</f>
        <v>1111</v>
      </c>
      <c r="O21" s="1" t="str">
        <f>VLOOKUP(O22,Master!$AW:$AX,2,FALSE)</f>
        <v>1111</v>
      </c>
      <c r="P21" s="1" t="str">
        <f>VLOOKUP(P22,Master!$AW:$AX,2,FALSE)</f>
        <v>1111</v>
      </c>
      <c r="Q21" s="1" t="str">
        <f>VLOOKUP(Q22,Master!$AW:$AX,2,FALSE)</f>
        <v>1111</v>
      </c>
      <c r="R21" s="1" t="str">
        <f>VLOOKUP(R22,Master!$AW:$AX,2,FALSE)</f>
        <v>1111</v>
      </c>
      <c r="S21" s="1" t="str">
        <f>VLOOKUP(S22,Master!$AW:$AX,2,FALSE)</f>
        <v>1111</v>
      </c>
      <c r="T21" s="1" t="str">
        <f>VLOOKUP(T22,Master!$AW:$AX,2,FALSE)</f>
        <v>1111</v>
      </c>
      <c r="U21" s="1" t="str">
        <f>VLOOKUP(U22,Master!$AW:$AX,2,FALSE)</f>
        <v>1111</v>
      </c>
    </row>
    <row customFormat="1" r="22" s="1" spans="1:21" x14ac:dyDescent="0.25">
      <c r="A22" s="18" t="s">
        <v>4209</v>
      </c>
      <c r="E22" s="1" t="s">
        <v>3320</v>
      </c>
      <c r="F22" s="1" t="s">
        <v>3320</v>
      </c>
      <c r="G22" s="1" t="s">
        <v>3320</v>
      </c>
      <c r="H22" s="1" t="s">
        <v>3320</v>
      </c>
      <c r="I22" s="1" t="s">
        <v>3320</v>
      </c>
      <c r="J22" s="1" t="s">
        <v>3320</v>
      </c>
      <c r="K22" s="1" t="s">
        <v>3320</v>
      </c>
      <c r="L22" s="1" t="s">
        <v>3320</v>
      </c>
      <c r="M22" s="1" t="s">
        <v>3320</v>
      </c>
      <c r="N22" s="1" t="s">
        <v>3320</v>
      </c>
      <c r="O22" s="1" t="s">
        <v>3320</v>
      </c>
      <c r="P22" s="1" t="s">
        <v>3320</v>
      </c>
      <c r="Q22" s="1" t="s">
        <v>3320</v>
      </c>
      <c r="R22" s="1" t="s">
        <v>3320</v>
      </c>
      <c r="S22" s="1" t="s">
        <v>3320</v>
      </c>
      <c r="T22" s="1" t="s">
        <v>3320</v>
      </c>
      <c r="U22" s="1" t="s">
        <v>3320</v>
      </c>
    </row>
    <row customFormat="1" r="23" s="1" spans="1:21" x14ac:dyDescent="0.25">
      <c r="A23" s="1" t="s">
        <v>36</v>
      </c>
    </row>
    <row customFormat="1" r="24" s="1" spans="1:21" x14ac:dyDescent="0.25">
      <c r="A24" s="18" t="s">
        <v>4210</v>
      </c>
      <c r="B24" s="22"/>
      <c r="C24" s="22"/>
      <c r="D24" s="22"/>
      <c r="E24" s="22">
        <v>43957</v>
      </c>
      <c r="F24" s="22">
        <v>43957</v>
      </c>
      <c r="G24" s="22">
        <v>43957</v>
      </c>
      <c r="H24" s="22">
        <v>43957</v>
      </c>
      <c r="I24" s="22">
        <v>43957</v>
      </c>
      <c r="J24" s="22">
        <v>43957</v>
      </c>
      <c r="K24" s="22">
        <v>43957</v>
      </c>
      <c r="L24" s="22">
        <v>43957</v>
      </c>
      <c r="M24" s="22">
        <v>43957</v>
      </c>
      <c r="N24" s="22">
        <v>43957</v>
      </c>
      <c r="O24" s="22">
        <v>43957</v>
      </c>
      <c r="P24" s="22">
        <v>43957</v>
      </c>
      <c r="Q24" s="22">
        <v>43957</v>
      </c>
      <c r="R24" s="22">
        <v>43957</v>
      </c>
      <c r="S24" s="22">
        <v>43957</v>
      </c>
      <c r="T24" s="22">
        <v>43957</v>
      </c>
      <c r="U24" s="22">
        <v>43957</v>
      </c>
    </row>
    <row customFormat="1" r="25" s="1" spans="1:21" x14ac:dyDescent="0.25">
      <c r="A25" s="1" t="s">
        <v>241</v>
      </c>
    </row>
    <row customFormat="1" r="26" s="1" spans="1:21" x14ac:dyDescent="0.25">
      <c r="A26" s="1" t="s">
        <v>38</v>
      </c>
    </row>
    <row customFormat="1" r="27" s="33" spans="1:21" x14ac:dyDescent="0.25">
      <c r="A27" s="33" t="s">
        <v>4063</v>
      </c>
    </row>
    <row customFormat="1" r="28" s="1" spans="1:21" x14ac:dyDescent="0.25">
      <c r="A28" s="1" t="s">
        <v>27</v>
      </c>
      <c r="B28" s="2"/>
      <c r="C28" s="2"/>
      <c r="D28" s="2" t="str">
        <f>VLOOKUP(D29,Master!$A$1:$B$100,2,FALSE)</f>
        <v>ARCHT</v>
      </c>
      <c r="E28" s="2" t="str">
        <f>VLOOKUP(E29,Master!$A$1:$B$100,2,FALSE)</f>
        <v>ARCHT</v>
      </c>
      <c r="F28" s="2" t="str">
        <f>VLOOKUP(F29,Master!$A$1:$B$100,2,FALSE)</f>
        <v>ARCHT</v>
      </c>
      <c r="G28" s="2" t="str">
        <f>VLOOKUP(G29,Master!$A$1:$B$100,2,FALSE)</f>
        <v>ARCHT</v>
      </c>
      <c r="H28" s="2" t="str">
        <f>VLOOKUP(H29,Master!$A$1:$B$100,2,FALSE)</f>
        <v>ARCHT</v>
      </c>
      <c r="I28" s="2" t="str">
        <f>VLOOKUP(I29,Master!$A$1:$B$100,2,FALSE)</f>
        <v>ARCHT</v>
      </c>
      <c r="J28" s="2" t="str">
        <f>VLOOKUP(J29,Master!$A$1:$B$100,2,FALSE)</f>
        <v>ARCHT</v>
      </c>
      <c r="K28" s="2" t="str">
        <f>VLOOKUP(K29,Master!$A$1:$B$100,2,FALSE)</f>
        <v>ARCHT</v>
      </c>
      <c r="L28" s="2" t="str">
        <f>VLOOKUP(L29,Master!$A$1:$B$100,2,FALSE)</f>
        <v>ARCHT</v>
      </c>
      <c r="M28" s="2" t="str">
        <f>VLOOKUP(M29,Master!$A$1:$B$100,2,FALSE)</f>
        <v>ARCHT</v>
      </c>
      <c r="N28" s="2" t="str">
        <f>VLOOKUP(N29,Master!$A$1:$B$100,2,FALSE)</f>
        <v>ARCHT</v>
      </c>
      <c r="O28" s="2" t="str">
        <f>VLOOKUP(O29,Master!$A$1:$B$100,2,FALSE)</f>
        <v>ARCHT</v>
      </c>
      <c r="P28" s="2" t="str">
        <f>VLOOKUP(P29,Master!$A$1:$B$100,2,FALSE)</f>
        <v>ARCHT</v>
      </c>
      <c r="Q28" s="2" t="str">
        <f>VLOOKUP(Q29,Master!$A$1:$B$100,2,FALSE)</f>
        <v>ARCHT</v>
      </c>
      <c r="R28" s="2" t="str">
        <f>VLOOKUP(R29,Master!$A$1:$B$100,2,FALSE)</f>
        <v>ARCHT</v>
      </c>
      <c r="S28" s="2" t="str">
        <f>VLOOKUP(S29,Master!$A$1:$B$100,2,FALSE)</f>
        <v>ARCHT</v>
      </c>
      <c r="T28" s="2" t="str">
        <f>VLOOKUP(T29,Master!$A$1:$B$100,2,FALSE)</f>
        <v>ARCHT</v>
      </c>
      <c r="U28" s="2" t="str">
        <f>VLOOKUP(U29,Master!$A$1:$B$100,2,FALSE)</f>
        <v>ARCHT</v>
      </c>
    </row>
    <row customFormat="1" r="29" s="1" spans="1:21" x14ac:dyDescent="0.25">
      <c r="A29" s="1" t="s">
        <v>60</v>
      </c>
      <c r="B29" s="2"/>
      <c r="C29" s="2"/>
      <c r="D29" s="2" t="s">
        <v>205</v>
      </c>
      <c r="E29" s="2" t="s">
        <v>205</v>
      </c>
      <c r="F29" s="2" t="s">
        <v>205</v>
      </c>
      <c r="G29" s="2" t="s">
        <v>205</v>
      </c>
      <c r="H29" s="2" t="s">
        <v>205</v>
      </c>
      <c r="I29" s="2" t="s">
        <v>205</v>
      </c>
      <c r="J29" s="2" t="s">
        <v>205</v>
      </c>
      <c r="K29" s="2" t="s">
        <v>205</v>
      </c>
      <c r="L29" s="2" t="s">
        <v>205</v>
      </c>
      <c r="M29" s="2" t="s">
        <v>205</v>
      </c>
      <c r="N29" s="2" t="s">
        <v>205</v>
      </c>
      <c r="O29" s="2" t="s">
        <v>205</v>
      </c>
      <c r="P29" s="2" t="s">
        <v>205</v>
      </c>
      <c r="Q29" s="2" t="s">
        <v>205</v>
      </c>
      <c r="R29" s="2" t="s">
        <v>205</v>
      </c>
      <c r="S29" s="2" t="s">
        <v>205</v>
      </c>
      <c r="T29" s="2" t="s">
        <v>205</v>
      </c>
      <c r="U29" s="2" t="s">
        <v>205</v>
      </c>
    </row>
    <row customFormat="1" r="30" s="1" spans="1:21" x14ac:dyDescent="0.25">
      <c r="A30" s="1" t="s">
        <v>34</v>
      </c>
      <c r="D30" s="1" t="s">
        <v>5</v>
      </c>
      <c r="E30" s="1" t="s">
        <v>5</v>
      </c>
      <c r="F30" s="1" t="s">
        <v>5</v>
      </c>
      <c r="G30" s="1" t="s">
        <v>5</v>
      </c>
      <c r="H30" s="1" t="s">
        <v>5</v>
      </c>
      <c r="I30" s="1" t="s">
        <v>5</v>
      </c>
      <c r="J30" s="1" t="s">
        <v>5</v>
      </c>
      <c r="K30" s="1" t="s">
        <v>5</v>
      </c>
      <c r="L30" s="1" t="s">
        <v>5</v>
      </c>
      <c r="M30" s="1" t="s">
        <v>5</v>
      </c>
      <c r="N30" s="1" t="s">
        <v>5</v>
      </c>
      <c r="O30" s="1" t="s">
        <v>5</v>
      </c>
      <c r="P30" s="1" t="s">
        <v>5</v>
      </c>
      <c r="Q30" s="1" t="s">
        <v>5</v>
      </c>
      <c r="R30" s="1" t="s">
        <v>5</v>
      </c>
      <c r="S30" s="1" t="s">
        <v>5</v>
      </c>
      <c r="T30" s="1" t="s">
        <v>5</v>
      </c>
      <c r="U30" s="1" t="s">
        <v>5</v>
      </c>
    </row>
    <row customFormat="1" r="31" s="1" spans="1:21" x14ac:dyDescent="0.25">
      <c r="A31" s="1" t="s">
        <v>240</v>
      </c>
      <c r="D31" s="1" t="s">
        <v>4061</v>
      </c>
      <c r="E31" s="1" t="s">
        <v>4061</v>
      </c>
      <c r="F31" s="1" t="s">
        <v>4061</v>
      </c>
      <c r="G31" s="1" t="s">
        <v>4061</v>
      </c>
      <c r="H31" s="1" t="s">
        <v>4061</v>
      </c>
      <c r="I31" s="1" t="s">
        <v>4061</v>
      </c>
      <c r="J31" s="1" t="s">
        <v>4061</v>
      </c>
      <c r="K31" s="1" t="s">
        <v>4061</v>
      </c>
      <c r="L31" s="1" t="s">
        <v>4061</v>
      </c>
      <c r="M31" s="1" t="s">
        <v>4061</v>
      </c>
      <c r="N31" s="1" t="s">
        <v>4061</v>
      </c>
      <c r="O31" s="1" t="s">
        <v>4061</v>
      </c>
      <c r="P31" s="1" t="s">
        <v>4061</v>
      </c>
      <c r="Q31" s="1" t="s">
        <v>4061</v>
      </c>
      <c r="R31" s="1" t="s">
        <v>4061</v>
      </c>
      <c r="S31" s="1" t="s">
        <v>4061</v>
      </c>
      <c r="T31" s="1" t="s">
        <v>4061</v>
      </c>
      <c r="U31" s="1" t="s">
        <v>4061</v>
      </c>
    </row>
    <row customFormat="1" r="32" s="1" spans="1:21" x14ac:dyDescent="0.25">
      <c r="A32" s="1" t="s">
        <v>4064</v>
      </c>
      <c r="D32" s="1" t="str">
        <f>VLOOKUP(D33,Master!$AW:$AX,2,FALSE)</f>
        <v>1380</v>
      </c>
      <c r="E32" s="1" t="str">
        <f>VLOOKUP(E33,Master!$AW:$AX,2,FALSE)</f>
        <v>1380</v>
      </c>
      <c r="F32" s="1" t="str">
        <f>VLOOKUP(F33,Master!$AW:$AX,2,FALSE)</f>
        <v>1380</v>
      </c>
      <c r="G32" s="1" t="str">
        <f>VLOOKUP(G33,Master!$AW:$AX,2,FALSE)</f>
        <v>1380</v>
      </c>
      <c r="H32" s="1" t="str">
        <f>VLOOKUP(H33,Master!$AW:$AX,2,FALSE)</f>
        <v>1380</v>
      </c>
      <c r="I32" s="1" t="str">
        <f>VLOOKUP(I33,Master!$AW:$AX,2,FALSE)</f>
        <v>1380</v>
      </c>
      <c r="J32" s="1" t="str">
        <f>VLOOKUP(J33,Master!$AW:$AX,2,FALSE)</f>
        <v>1380</v>
      </c>
      <c r="K32" s="1" t="str">
        <f>VLOOKUP(K33,Master!$AW:$AX,2,FALSE)</f>
        <v>1380</v>
      </c>
      <c r="L32" s="1" t="str">
        <f>VLOOKUP(L33,Master!$AW:$AX,2,FALSE)</f>
        <v>1380</v>
      </c>
      <c r="M32" s="1" t="str">
        <f>VLOOKUP(M33,Master!$AW:$AX,2,FALSE)</f>
        <v>1380</v>
      </c>
      <c r="N32" s="1" t="str">
        <f>VLOOKUP(N33,Master!$AW:$AX,2,FALSE)</f>
        <v>1380</v>
      </c>
      <c r="O32" s="1" t="str">
        <f>VLOOKUP(O33,Master!$AW:$AX,2,FALSE)</f>
        <v>1380</v>
      </c>
      <c r="P32" s="1" t="str">
        <f>VLOOKUP(P33,Master!$AW:$AX,2,FALSE)</f>
        <v>1380</v>
      </c>
      <c r="Q32" s="1" t="str">
        <f>VLOOKUP(Q33,Master!$AW:$AX,2,FALSE)</f>
        <v>1380</v>
      </c>
      <c r="R32" s="1" t="str">
        <f>VLOOKUP(R33,Master!$AW:$AX,2,FALSE)</f>
        <v>1380</v>
      </c>
      <c r="S32" s="1" t="str">
        <f>VLOOKUP(S33,Master!$AW:$AX,2,FALSE)</f>
        <v>1380</v>
      </c>
      <c r="T32" s="1" t="str">
        <f>VLOOKUP(T33,Master!$AW:$AX,2,FALSE)</f>
        <v>1380</v>
      </c>
      <c r="U32" s="1" t="str">
        <f>VLOOKUP(U33,Master!$AW:$AX,2,FALSE)</f>
        <v>1380</v>
      </c>
    </row>
    <row customFormat="1" r="33" s="1" spans="1:21" x14ac:dyDescent="0.25">
      <c r="A33" s="1" t="s">
        <v>4065</v>
      </c>
      <c r="D33" s="1" t="s">
        <v>4066</v>
      </c>
      <c r="E33" s="1" t="s">
        <v>4066</v>
      </c>
      <c r="F33" s="1" t="s">
        <v>4066</v>
      </c>
      <c r="G33" s="1" t="s">
        <v>4066</v>
      </c>
      <c r="H33" s="1" t="s">
        <v>4066</v>
      </c>
      <c r="I33" s="1" t="s">
        <v>4066</v>
      </c>
      <c r="J33" s="1" t="s">
        <v>4066</v>
      </c>
      <c r="K33" s="1" t="s">
        <v>4066</v>
      </c>
      <c r="L33" s="1" t="s">
        <v>4066</v>
      </c>
      <c r="M33" s="1" t="s">
        <v>4066</v>
      </c>
      <c r="N33" s="1" t="s">
        <v>4066</v>
      </c>
      <c r="O33" s="1" t="s">
        <v>4066</v>
      </c>
      <c r="P33" s="1" t="s">
        <v>4066</v>
      </c>
      <c r="Q33" s="1" t="s">
        <v>4066</v>
      </c>
      <c r="R33" s="1" t="s">
        <v>4066</v>
      </c>
      <c r="S33" s="1" t="s">
        <v>4066</v>
      </c>
      <c r="T33" s="1" t="s">
        <v>4066</v>
      </c>
      <c r="U33" s="1" t="s">
        <v>4066</v>
      </c>
    </row>
    <row customFormat="1" r="34" s="1" spans="1:21" x14ac:dyDescent="0.25">
      <c r="A34" s="1" t="s">
        <v>4067</v>
      </c>
      <c r="D34" s="1">
        <v>1823612693</v>
      </c>
      <c r="E34" s="1">
        <v>1823612693</v>
      </c>
      <c r="F34" s="1">
        <v>1823612693</v>
      </c>
      <c r="G34" s="1">
        <v>1823612693</v>
      </c>
      <c r="H34" s="1">
        <v>1823612693</v>
      </c>
      <c r="I34" s="1">
        <v>1823612693</v>
      </c>
      <c r="J34" s="1">
        <v>1823612693</v>
      </c>
      <c r="K34" s="1">
        <v>1823612693</v>
      </c>
      <c r="L34" s="1">
        <v>1823612693</v>
      </c>
      <c r="M34" s="1">
        <v>1823612693</v>
      </c>
      <c r="N34" s="1">
        <v>1823612693</v>
      </c>
      <c r="O34" s="1">
        <v>1823612693</v>
      </c>
      <c r="P34" s="1">
        <v>1823612693</v>
      </c>
      <c r="Q34" s="1">
        <v>1823612693</v>
      </c>
      <c r="R34" s="1">
        <v>1823612693</v>
      </c>
      <c r="S34" s="1">
        <v>1823612693</v>
      </c>
      <c r="T34" s="1">
        <v>1823612693</v>
      </c>
      <c r="U34" s="1">
        <v>1823612693</v>
      </c>
    </row>
    <row customFormat="1" r="35" s="1" spans="1:21" x14ac:dyDescent="0.25">
      <c r="A35" s="1" t="s">
        <v>4068</v>
      </c>
      <c r="B35" s="23"/>
      <c r="C35" s="23"/>
      <c r="D35" s="23">
        <v>44442</v>
      </c>
      <c r="E35" s="23">
        <v>44442</v>
      </c>
      <c r="F35" s="23">
        <v>44442</v>
      </c>
      <c r="G35" s="23">
        <v>44442</v>
      </c>
      <c r="H35" s="23">
        <v>44442</v>
      </c>
      <c r="I35" s="23">
        <v>44442</v>
      </c>
      <c r="J35" s="23">
        <v>44442</v>
      </c>
      <c r="K35" s="23">
        <v>44442</v>
      </c>
      <c r="L35" s="23">
        <v>44442</v>
      </c>
      <c r="M35" s="23">
        <v>44442</v>
      </c>
      <c r="N35" s="23">
        <v>44442</v>
      </c>
      <c r="O35" s="23">
        <v>44442</v>
      </c>
      <c r="P35" s="23">
        <v>44442</v>
      </c>
      <c r="Q35" s="23">
        <v>44442</v>
      </c>
      <c r="R35" s="23">
        <v>44442</v>
      </c>
      <c r="S35" s="23">
        <v>44442</v>
      </c>
      <c r="T35" s="23">
        <v>44442</v>
      </c>
      <c r="U35" s="23">
        <v>44442</v>
      </c>
    </row>
    <row customFormat="1" r="36" s="1" spans="1:21" x14ac:dyDescent="0.25">
      <c r="A36" s="1" t="s">
        <v>241</v>
      </c>
      <c r="D36" s="1" t="s">
        <v>269</v>
      </c>
      <c r="E36" s="1" t="s">
        <v>269</v>
      </c>
      <c r="F36" s="1" t="s">
        <v>269</v>
      </c>
      <c r="G36" s="1" t="s">
        <v>269</v>
      </c>
      <c r="H36" s="1" t="s">
        <v>269</v>
      </c>
      <c r="I36" s="1" t="s">
        <v>269</v>
      </c>
      <c r="J36" s="1" t="s">
        <v>269</v>
      </c>
      <c r="K36" s="1" t="s">
        <v>269</v>
      </c>
      <c r="L36" s="1" t="s">
        <v>269</v>
      </c>
      <c r="M36" s="1" t="s">
        <v>269</v>
      </c>
      <c r="N36" s="1" t="s">
        <v>269</v>
      </c>
      <c r="O36" s="1" t="s">
        <v>269</v>
      </c>
      <c r="P36" s="1" t="s">
        <v>269</v>
      </c>
      <c r="Q36" s="1" t="s">
        <v>269</v>
      </c>
      <c r="R36" s="1" t="s">
        <v>269</v>
      </c>
      <c r="S36" s="1" t="s">
        <v>269</v>
      </c>
      <c r="T36" s="1" t="s">
        <v>269</v>
      </c>
      <c r="U36" s="1" t="s">
        <v>269</v>
      </c>
    </row>
    <row customFormat="1" r="37" s="33" spans="1:21" x14ac:dyDescent="0.25">
      <c r="A37" s="33" t="s">
        <v>4069</v>
      </c>
    </row>
    <row customFormat="1" r="38" s="1" spans="1:21" x14ac:dyDescent="0.25">
      <c r="A38" s="1" t="s">
        <v>4203</v>
      </c>
      <c r="B38" s="2"/>
      <c r="C38" s="2"/>
      <c r="D38" s="2" t="str">
        <f>VLOOKUP(D39,Master!$A$1:$B$100,2,FALSE)</f>
        <v>SMPLPR</v>
      </c>
      <c r="E38" s="2" t="str">
        <f>VLOOKUP(E39,Master!$A$1:$B$100,2,FALSE)</f>
        <v>SMPLPR</v>
      </c>
      <c r="F38" s="2" t="str">
        <f>VLOOKUP(F39,Master!$A$1:$B$100,2,FALSE)</f>
        <v>SMPLPR</v>
      </c>
      <c r="G38" s="2" t="str">
        <f>VLOOKUP(G39,Master!$A$1:$B$100,2,FALSE)</f>
        <v>SMPLPR</v>
      </c>
      <c r="H38" s="2" t="str">
        <f>VLOOKUP(H39,Master!$A$1:$B$100,2,FALSE)</f>
        <v>SMPLPR</v>
      </c>
      <c r="I38" s="2" t="str">
        <f>VLOOKUP(I39,Master!$A$1:$B$100,2,FALSE)</f>
        <v>SMPLPR</v>
      </c>
      <c r="J38" s="2" t="str">
        <f>VLOOKUP(J39,Master!$A$1:$B$100,2,FALSE)</f>
        <v>SMPLPR</v>
      </c>
      <c r="K38" s="2" t="str">
        <f>VLOOKUP(K39,Master!$A$1:$B$100,2,FALSE)</f>
        <v>SMPLPR</v>
      </c>
      <c r="L38" s="2" t="str">
        <f>VLOOKUP(L39,Master!$A$1:$B$100,2,FALSE)</f>
        <v>SMPLPR</v>
      </c>
      <c r="M38" s="2" t="str">
        <f>VLOOKUP(M39,Master!$A$1:$B$100,2,FALSE)</f>
        <v>SMPLPR</v>
      </c>
      <c r="N38" s="2" t="str">
        <f>VLOOKUP(N39,Master!$A$1:$B$100,2,FALSE)</f>
        <v>SMPLPR</v>
      </c>
      <c r="O38" s="2" t="str">
        <f>VLOOKUP(O39,Master!$A$1:$B$100,2,FALSE)</f>
        <v>SMPLPR</v>
      </c>
      <c r="P38" s="2" t="str">
        <f>VLOOKUP(P39,Master!$A$1:$B$100,2,FALSE)</f>
        <v>SMPLPR</v>
      </c>
      <c r="Q38" s="2" t="str">
        <f>VLOOKUP(Q39,Master!$A$1:$B$100,2,FALSE)</f>
        <v>SMPLPR</v>
      </c>
      <c r="R38" s="2" t="str">
        <f>VLOOKUP(R39,Master!$A$1:$B$100,2,FALSE)</f>
        <v>SMPLPR</v>
      </c>
      <c r="S38" s="2" t="str">
        <f>VLOOKUP(S39,Master!$A$1:$B$100,2,FALSE)</f>
        <v>SMPLPR</v>
      </c>
      <c r="T38" s="2" t="str">
        <f>VLOOKUP(T39,Master!$A$1:$B$100,2,FALSE)</f>
        <v>SMPLPR</v>
      </c>
      <c r="U38" s="2" t="str">
        <f>VLOOKUP(U39,Master!$A$1:$B$100,2,FALSE)</f>
        <v>SMPLPR</v>
      </c>
    </row>
    <row customFormat="1" r="39" s="1" spans="1:21" x14ac:dyDescent="0.25">
      <c r="A39" s="1" t="s">
        <v>4204</v>
      </c>
      <c r="B39" s="2"/>
      <c r="C39" s="2"/>
      <c r="D39" s="2" t="s">
        <v>4070</v>
      </c>
      <c r="E39" s="2" t="s">
        <v>4070</v>
      </c>
      <c r="F39" s="2" t="s">
        <v>4070</v>
      </c>
      <c r="G39" s="2" t="s">
        <v>4070</v>
      </c>
      <c r="H39" s="2" t="s">
        <v>4070</v>
      </c>
      <c r="I39" s="2" t="s">
        <v>4070</v>
      </c>
      <c r="J39" s="2" t="s">
        <v>4070</v>
      </c>
      <c r="K39" s="2" t="s">
        <v>4070</v>
      </c>
      <c r="L39" s="2" t="s">
        <v>4070</v>
      </c>
      <c r="M39" s="2" t="s">
        <v>4070</v>
      </c>
      <c r="N39" s="2" t="s">
        <v>4070</v>
      </c>
      <c r="O39" s="2" t="s">
        <v>4070</v>
      </c>
      <c r="P39" s="2" t="s">
        <v>4070</v>
      </c>
      <c r="Q39" s="2" t="s">
        <v>4070</v>
      </c>
      <c r="R39" s="2" t="s">
        <v>4070</v>
      </c>
      <c r="S39" s="2" t="s">
        <v>4070</v>
      </c>
      <c r="T39" s="2" t="s">
        <v>4070</v>
      </c>
      <c r="U39" s="2" t="s">
        <v>4070</v>
      </c>
    </row>
    <row customFormat="1" r="40" s="1" spans="1:21" x14ac:dyDescent="0.25">
      <c r="A40" s="1" t="s">
        <v>4211</v>
      </c>
      <c r="D40" s="1" t="s">
        <v>4098</v>
      </c>
      <c r="E40" s="1" t="s">
        <v>4098</v>
      </c>
      <c r="F40" s="1" t="s">
        <v>4098</v>
      </c>
      <c r="G40" s="1" t="s">
        <v>4098</v>
      </c>
      <c r="H40" s="1" t="s">
        <v>4098</v>
      </c>
      <c r="I40" s="1" t="s">
        <v>4098</v>
      </c>
      <c r="J40" s="1" t="s">
        <v>4098</v>
      </c>
      <c r="K40" s="1" t="s">
        <v>4098</v>
      </c>
      <c r="L40" s="1" t="s">
        <v>4098</v>
      </c>
      <c r="M40" s="1" t="s">
        <v>4098</v>
      </c>
      <c r="N40" s="1" t="s">
        <v>4098</v>
      </c>
      <c r="O40" s="1" t="s">
        <v>4098</v>
      </c>
      <c r="P40" s="1" t="s">
        <v>4098</v>
      </c>
      <c r="Q40" s="1" t="s">
        <v>4098</v>
      </c>
      <c r="R40" s="1" t="s">
        <v>4098</v>
      </c>
      <c r="S40" s="1" t="s">
        <v>4098</v>
      </c>
      <c r="T40" s="1" t="s">
        <v>4098</v>
      </c>
      <c r="U40" s="1" t="s">
        <v>4098</v>
      </c>
    </row>
    <row customFormat="1" r="41" s="33" spans="1:21" x14ac:dyDescent="0.25">
      <c r="A41" s="33" t="s">
        <v>4071</v>
      </c>
    </row>
    <row customFormat="1" r="42" s="1" spans="1:21" x14ac:dyDescent="0.25">
      <c r="A42" s="1" t="s">
        <v>27</v>
      </c>
      <c r="B42" s="2"/>
      <c r="C42" s="2"/>
      <c r="D42" s="2" t="str">
        <f>VLOOKUP(D43,Master!$A$1:$B$100,2,FALSE)</f>
        <v>PO</v>
      </c>
      <c r="E42" s="2" t="str">
        <f>VLOOKUP(E43,Master!$A$1:$B$100,2,FALSE)</f>
        <v>PO</v>
      </c>
      <c r="F42" s="2" t="str">
        <f>VLOOKUP(F43,Master!$A$1:$B$100,2,FALSE)</f>
        <v>PO</v>
      </c>
      <c r="G42" s="2" t="str">
        <f>VLOOKUP(G43,Master!$A$1:$B$100,2,FALSE)</f>
        <v>PO</v>
      </c>
      <c r="H42" s="2" t="str">
        <f>VLOOKUP(H43,Master!$A$1:$B$100,2,FALSE)</f>
        <v>PO</v>
      </c>
      <c r="I42" s="2" t="str">
        <f>VLOOKUP(I43,Master!$A$1:$B$100,2,FALSE)</f>
        <v>PO</v>
      </c>
      <c r="J42" s="2" t="str">
        <f>VLOOKUP(J43,Master!$A$1:$B$100,2,FALSE)</f>
        <v>PO</v>
      </c>
      <c r="K42" s="2" t="str">
        <f>VLOOKUP(K43,Master!$A$1:$B$100,2,FALSE)</f>
        <v>PO</v>
      </c>
      <c r="L42" s="2" t="str">
        <f>VLOOKUP(L43,Master!$A$1:$B$100,2,FALSE)</f>
        <v>PO</v>
      </c>
      <c r="M42" s="2" t="str">
        <f>VLOOKUP(M43,Master!$A$1:$B$100,2,FALSE)</f>
        <v>PO</v>
      </c>
      <c r="N42" s="2" t="str">
        <f>VLOOKUP(N43,Master!$A$1:$B$100,2,FALSE)</f>
        <v>PO</v>
      </c>
      <c r="O42" s="2" t="str">
        <f>VLOOKUP(O43,Master!$A$1:$B$100,2,FALSE)</f>
        <v>PO</v>
      </c>
      <c r="P42" s="2" t="str">
        <f>VLOOKUP(P43,Master!$A$1:$B$100,2,FALSE)</f>
        <v>PO</v>
      </c>
      <c r="Q42" s="2" t="str">
        <f>VLOOKUP(Q43,Master!$A$1:$B$100,2,FALSE)</f>
        <v>PO</v>
      </c>
      <c r="R42" s="2" t="str">
        <f>VLOOKUP(R43,Master!$A$1:$B$100,2,FALSE)</f>
        <v>PO</v>
      </c>
      <c r="S42" s="2" t="str">
        <f>VLOOKUP(S43,Master!$A$1:$B$100,2,FALSE)</f>
        <v>PO</v>
      </c>
      <c r="T42" s="2" t="str">
        <f>VLOOKUP(T43,Master!$A$1:$B$100,2,FALSE)</f>
        <v>PO</v>
      </c>
      <c r="U42" s="2" t="str">
        <f>VLOOKUP(U43,Master!$A$1:$B$100,2,FALSE)</f>
        <v>PO</v>
      </c>
    </row>
    <row customFormat="1" r="43" s="1" spans="1:21" x14ac:dyDescent="0.25">
      <c r="A43" s="1" t="s">
        <v>60</v>
      </c>
      <c r="B43" s="2"/>
      <c r="C43" s="2"/>
      <c r="D43" s="2" t="s">
        <v>231</v>
      </c>
      <c r="E43" s="2" t="s">
        <v>231</v>
      </c>
      <c r="F43" s="2" t="s">
        <v>231</v>
      </c>
      <c r="G43" s="2" t="s">
        <v>231</v>
      </c>
      <c r="H43" s="2" t="s">
        <v>231</v>
      </c>
      <c r="I43" s="2" t="s">
        <v>231</v>
      </c>
      <c r="J43" s="2" t="s">
        <v>231</v>
      </c>
      <c r="K43" s="2" t="s">
        <v>231</v>
      </c>
      <c r="L43" s="2" t="s">
        <v>231</v>
      </c>
      <c r="M43" s="2" t="s">
        <v>231</v>
      </c>
      <c r="N43" s="2" t="s">
        <v>231</v>
      </c>
      <c r="O43" s="2" t="s">
        <v>231</v>
      </c>
      <c r="P43" s="2" t="s">
        <v>231</v>
      </c>
      <c r="Q43" s="2" t="s">
        <v>231</v>
      </c>
      <c r="R43" s="2" t="s">
        <v>231</v>
      </c>
      <c r="S43" s="2" t="s">
        <v>231</v>
      </c>
      <c r="T43" s="2" t="s">
        <v>231</v>
      </c>
      <c r="U43" s="2" t="s">
        <v>231</v>
      </c>
    </row>
    <row customFormat="1" r="44" s="1" spans="1:21" x14ac:dyDescent="0.25">
      <c r="A44" s="1" t="s">
        <v>29</v>
      </c>
      <c r="B44" s="2"/>
      <c r="C44" s="2"/>
      <c r="D44" s="2" t="s">
        <v>270</v>
      </c>
      <c r="E44" s="2" t="s">
        <v>270</v>
      </c>
      <c r="F44" s="2" t="s">
        <v>270</v>
      </c>
      <c r="G44" s="2" t="s">
        <v>270</v>
      </c>
      <c r="H44" s="2" t="s">
        <v>270</v>
      </c>
      <c r="I44" s="2" t="s">
        <v>270</v>
      </c>
      <c r="J44" s="2" t="s">
        <v>270</v>
      </c>
      <c r="K44" s="2" t="s">
        <v>270</v>
      </c>
      <c r="L44" s="2" t="s">
        <v>270</v>
      </c>
      <c r="M44" s="2" t="s">
        <v>270</v>
      </c>
      <c r="N44" s="2" t="s">
        <v>270</v>
      </c>
      <c r="O44" s="2" t="s">
        <v>270</v>
      </c>
      <c r="P44" s="2" t="s">
        <v>270</v>
      </c>
      <c r="Q44" s="2" t="s">
        <v>270</v>
      </c>
      <c r="R44" s="2" t="s">
        <v>270</v>
      </c>
      <c r="S44" s="2" t="s">
        <v>270</v>
      </c>
      <c r="T44" s="2" t="s">
        <v>270</v>
      </c>
      <c r="U44" s="2" t="s">
        <v>270</v>
      </c>
    </row>
    <row customFormat="1" r="45" s="1" spans="1:21" x14ac:dyDescent="0.25">
      <c r="A45" s="1" t="s">
        <v>34</v>
      </c>
      <c r="D45" s="1" t="s">
        <v>5</v>
      </c>
      <c r="E45" s="1" t="s">
        <v>5</v>
      </c>
      <c r="F45" s="1" t="s">
        <v>5</v>
      </c>
      <c r="G45" s="1" t="s">
        <v>5</v>
      </c>
      <c r="H45" s="1" t="s">
        <v>5</v>
      </c>
      <c r="I45" s="1" t="s">
        <v>5</v>
      </c>
      <c r="J45" s="1" t="s">
        <v>5</v>
      </c>
      <c r="K45" s="1" t="s">
        <v>5</v>
      </c>
      <c r="L45" s="1" t="s">
        <v>5</v>
      </c>
      <c r="M45" s="1" t="s">
        <v>5</v>
      </c>
      <c r="N45" s="1" t="s">
        <v>5</v>
      </c>
      <c r="O45" s="1" t="s">
        <v>5</v>
      </c>
      <c r="P45" s="1" t="s">
        <v>5</v>
      </c>
      <c r="Q45" s="1" t="s">
        <v>5</v>
      </c>
      <c r="R45" s="1" t="s">
        <v>5</v>
      </c>
      <c r="S45" s="1" t="s">
        <v>5</v>
      </c>
      <c r="T45" s="1" t="s">
        <v>5</v>
      </c>
      <c r="U45" s="1" t="s">
        <v>5</v>
      </c>
    </row>
    <row customFormat="1" r="46" s="1" spans="1:21" x14ac:dyDescent="0.25">
      <c r="A46" s="1" t="s">
        <v>240</v>
      </c>
      <c r="D46" s="1" t="s">
        <v>4237</v>
      </c>
      <c r="E46" s="1" t="s">
        <v>4237</v>
      </c>
      <c r="F46" s="1" t="s">
        <v>4237</v>
      </c>
      <c r="G46" s="1" t="s">
        <v>4237</v>
      </c>
      <c r="H46" s="1" t="s">
        <v>4237</v>
      </c>
      <c r="I46" s="1" t="s">
        <v>4237</v>
      </c>
      <c r="J46" s="1" t="s">
        <v>4237</v>
      </c>
      <c r="K46" s="1" t="s">
        <v>4237</v>
      </c>
      <c r="L46" s="1" t="s">
        <v>4237</v>
      </c>
      <c r="M46" s="1" t="s">
        <v>4237</v>
      </c>
      <c r="N46" s="1" t="s">
        <v>4237</v>
      </c>
      <c r="O46" s="1" t="s">
        <v>4237</v>
      </c>
      <c r="P46" s="1" t="s">
        <v>4237</v>
      </c>
      <c r="Q46" s="1" t="s">
        <v>4237</v>
      </c>
      <c r="R46" s="1" t="s">
        <v>4237</v>
      </c>
      <c r="S46" s="1" t="s">
        <v>4237</v>
      </c>
      <c r="T46" s="1" t="s">
        <v>4237</v>
      </c>
      <c r="U46" s="1" t="s">
        <v>4237</v>
      </c>
    </row>
    <row customFormat="1" r="47" s="1" spans="1:21" x14ac:dyDescent="0.25">
      <c r="A47" s="1" t="s">
        <v>4064</v>
      </c>
      <c r="D47" s="1" t="str">
        <f>VLOOKUP(D48,Master!$AW:$AX,2,FALSE)</f>
        <v>1115</v>
      </c>
      <c r="E47" s="1" t="str">
        <f>VLOOKUP(E48,Master!$AW:$AX,2,FALSE)</f>
        <v>1115</v>
      </c>
      <c r="F47" s="1" t="str">
        <f>VLOOKUP(F48,Master!$AW:$AX,2,FALSE)</f>
        <v>1115</v>
      </c>
      <c r="G47" s="1" t="str">
        <f>VLOOKUP(G48,Master!$AW:$AX,2,FALSE)</f>
        <v>1115</v>
      </c>
      <c r="H47" s="1" t="str">
        <f>VLOOKUP(H48,Master!$AW:$AX,2,FALSE)</f>
        <v>1115</v>
      </c>
      <c r="I47" s="1" t="str">
        <f>VLOOKUP(I48,Master!$AW:$AX,2,FALSE)</f>
        <v>1115</v>
      </c>
      <c r="J47" s="1" t="str">
        <f>VLOOKUP(J48,Master!$AW:$AX,2,FALSE)</f>
        <v>1115</v>
      </c>
      <c r="K47" s="1" t="str">
        <f>VLOOKUP(K48,Master!$AW:$AX,2,FALSE)</f>
        <v>1115</v>
      </c>
      <c r="L47" s="1" t="str">
        <f>VLOOKUP(L48,Master!$AW:$AX,2,FALSE)</f>
        <v>1115</v>
      </c>
      <c r="M47" s="1" t="str">
        <f>VLOOKUP(M48,Master!$AW:$AX,2,FALSE)</f>
        <v>1115</v>
      </c>
      <c r="N47" s="1" t="str">
        <f>VLOOKUP(N48,Master!$AW:$AX,2,FALSE)</f>
        <v>1115</v>
      </c>
      <c r="O47" s="1" t="str">
        <f>VLOOKUP(O48,Master!$AW:$AX,2,FALSE)</f>
        <v>1115</v>
      </c>
      <c r="P47" s="1" t="str">
        <f>VLOOKUP(P48,Master!$AW:$AX,2,FALSE)</f>
        <v>1115</v>
      </c>
      <c r="Q47" s="1" t="str">
        <f>VLOOKUP(Q48,Master!$AW:$AX,2,FALSE)</f>
        <v>1115</v>
      </c>
      <c r="R47" s="1" t="str">
        <f>VLOOKUP(R48,Master!$AW:$AX,2,FALSE)</f>
        <v>1115</v>
      </c>
      <c r="S47" s="1" t="str">
        <f>VLOOKUP(S48,Master!$AW:$AX,2,FALSE)</f>
        <v>1115</v>
      </c>
      <c r="T47" s="1" t="str">
        <f>VLOOKUP(T48,Master!$AW:$AX,2,FALSE)</f>
        <v>1115</v>
      </c>
      <c r="U47" s="1" t="str">
        <f>VLOOKUP(U48,Master!$AW:$AX,2,FALSE)</f>
        <v>1115</v>
      </c>
    </row>
    <row customFormat="1" r="48" s="1" spans="1:21" x14ac:dyDescent="0.25">
      <c r="A48" s="1" t="s">
        <v>4065</v>
      </c>
      <c r="D48" s="1" t="s">
        <v>3322</v>
      </c>
      <c r="E48" s="1" t="s">
        <v>3322</v>
      </c>
      <c r="F48" s="1" t="s">
        <v>3322</v>
      </c>
      <c r="G48" s="1" t="s">
        <v>3322</v>
      </c>
      <c r="H48" s="1" t="s">
        <v>3322</v>
      </c>
      <c r="I48" s="1" t="s">
        <v>3322</v>
      </c>
      <c r="J48" s="1" t="s">
        <v>3322</v>
      </c>
      <c r="K48" s="1" t="s">
        <v>3322</v>
      </c>
      <c r="L48" s="1" t="s">
        <v>3322</v>
      </c>
      <c r="M48" s="1" t="s">
        <v>3322</v>
      </c>
      <c r="N48" s="1" t="s">
        <v>3322</v>
      </c>
      <c r="O48" s="1" t="s">
        <v>3322</v>
      </c>
      <c r="P48" s="1" t="s">
        <v>3322</v>
      </c>
      <c r="Q48" s="1" t="s">
        <v>3322</v>
      </c>
      <c r="R48" s="1" t="s">
        <v>3322</v>
      </c>
      <c r="S48" s="1" t="s">
        <v>3322</v>
      </c>
      <c r="T48" s="1" t="s">
        <v>3322</v>
      </c>
      <c r="U48" s="1" t="s">
        <v>3322</v>
      </c>
    </row>
    <row customFormat="1" r="49" s="1" spans="1:21" x14ac:dyDescent="0.25">
      <c r="A49" s="1" t="s">
        <v>4072</v>
      </c>
      <c r="D49" s="1" t="s">
        <v>37</v>
      </c>
      <c r="E49" s="1" t="s">
        <v>37</v>
      </c>
      <c r="F49" s="1" t="s">
        <v>37</v>
      </c>
      <c r="G49" s="1" t="s">
        <v>37</v>
      </c>
      <c r="H49" s="1" t="s">
        <v>37</v>
      </c>
      <c r="I49" s="1" t="s">
        <v>37</v>
      </c>
      <c r="J49" s="1" t="s">
        <v>37</v>
      </c>
      <c r="K49" s="1" t="s">
        <v>37</v>
      </c>
      <c r="L49" s="1" t="s">
        <v>37</v>
      </c>
      <c r="M49" s="1" t="s">
        <v>37</v>
      </c>
      <c r="N49" s="1" t="s">
        <v>37</v>
      </c>
      <c r="O49" s="1" t="s">
        <v>37</v>
      </c>
      <c r="P49" s="1" t="s">
        <v>37</v>
      </c>
      <c r="Q49" s="1" t="s">
        <v>37</v>
      </c>
      <c r="R49" s="1" t="s">
        <v>37</v>
      </c>
      <c r="S49" s="1" t="s">
        <v>37</v>
      </c>
      <c r="T49" s="1" t="s">
        <v>37</v>
      </c>
      <c r="U49" s="1" t="s">
        <v>37</v>
      </c>
    </row>
    <row customFormat="1" r="50" s="1" spans="1:21" x14ac:dyDescent="0.25">
      <c r="A50" s="1" t="s">
        <v>4073</v>
      </c>
      <c r="B50" s="22"/>
      <c r="C50" s="22"/>
      <c r="D50" s="22">
        <v>43957</v>
      </c>
      <c r="E50" s="22">
        <v>43957</v>
      </c>
      <c r="F50" s="22">
        <v>43957</v>
      </c>
      <c r="G50" s="22">
        <v>43957</v>
      </c>
      <c r="H50" s="22">
        <v>43957</v>
      </c>
      <c r="I50" s="22">
        <v>43957</v>
      </c>
      <c r="J50" s="22">
        <v>43957</v>
      </c>
      <c r="K50" s="22">
        <v>43957</v>
      </c>
      <c r="L50" s="22">
        <v>43957</v>
      </c>
      <c r="M50" s="22">
        <v>43957</v>
      </c>
      <c r="N50" s="22">
        <v>43957</v>
      </c>
      <c r="O50" s="22">
        <v>43957</v>
      </c>
      <c r="P50" s="22">
        <v>43957</v>
      </c>
      <c r="Q50" s="22">
        <v>43957</v>
      </c>
      <c r="R50" s="22">
        <v>43957</v>
      </c>
      <c r="S50" s="22">
        <v>43957</v>
      </c>
      <c r="T50" s="22">
        <v>43957</v>
      </c>
      <c r="U50" s="22">
        <v>43957</v>
      </c>
    </row>
    <row customFormat="1" r="51" s="1" spans="1:21" x14ac:dyDescent="0.25">
      <c r="A51" s="1" t="s">
        <v>241</v>
      </c>
      <c r="D51" s="1" t="s">
        <v>31</v>
      </c>
      <c r="E51" s="1" t="s">
        <v>31</v>
      </c>
      <c r="F51" s="1" t="s">
        <v>31</v>
      </c>
      <c r="G51" s="1" t="s">
        <v>31</v>
      </c>
      <c r="H51" s="1" t="s">
        <v>31</v>
      </c>
      <c r="I51" s="1" t="s">
        <v>31</v>
      </c>
      <c r="J51" s="1" t="s">
        <v>31</v>
      </c>
      <c r="K51" s="1" t="s">
        <v>31</v>
      </c>
      <c r="L51" s="1" t="s">
        <v>31</v>
      </c>
      <c r="M51" s="1" t="s">
        <v>31</v>
      </c>
      <c r="N51" s="1" t="s">
        <v>31</v>
      </c>
      <c r="O51" s="1" t="s">
        <v>31</v>
      </c>
      <c r="P51" s="1" t="s">
        <v>31</v>
      </c>
      <c r="Q51" s="1" t="s">
        <v>31</v>
      </c>
      <c r="R51" s="1" t="s">
        <v>31</v>
      </c>
      <c r="S51" s="1" t="s">
        <v>31</v>
      </c>
      <c r="T51" s="1" t="s">
        <v>31</v>
      </c>
      <c r="U51" s="1" t="s">
        <v>31</v>
      </c>
    </row>
    <row customFormat="1" r="52" s="1" spans="1:21" x14ac:dyDescent="0.25">
      <c r="A52" s="1" t="s">
        <v>38</v>
      </c>
      <c r="D52" s="1">
        <v>100</v>
      </c>
      <c r="E52" s="1">
        <v>100</v>
      </c>
      <c r="F52" s="1">
        <v>100</v>
      </c>
      <c r="G52" s="1">
        <v>100</v>
      </c>
      <c r="H52" s="1">
        <v>100</v>
      </c>
      <c r="I52" s="1">
        <v>100</v>
      </c>
      <c r="J52" s="1">
        <v>100</v>
      </c>
      <c r="K52" s="1">
        <v>100</v>
      </c>
      <c r="L52" s="1">
        <v>100</v>
      </c>
      <c r="M52" s="1">
        <v>100</v>
      </c>
      <c r="N52" s="1">
        <v>100</v>
      </c>
      <c r="O52" s="1">
        <v>100</v>
      </c>
      <c r="P52" s="1">
        <v>100</v>
      </c>
      <c r="Q52" s="1">
        <v>100</v>
      </c>
      <c r="R52" s="1">
        <v>100</v>
      </c>
      <c r="S52" s="1">
        <v>100</v>
      </c>
      <c r="T52" s="1">
        <v>100</v>
      </c>
      <c r="U52" s="1">
        <v>100</v>
      </c>
    </row>
    <row customFormat="1" r="53" s="1" spans="1:21" x14ac:dyDescent="0.25">
      <c r="A53" s="1" t="s">
        <v>4074</v>
      </c>
      <c r="D53" s="1" t="s">
        <v>4075</v>
      </c>
      <c r="E53" s="1" t="s">
        <v>4075</v>
      </c>
      <c r="F53" s="1" t="s">
        <v>4075</v>
      </c>
      <c r="G53" s="1" t="s">
        <v>4075</v>
      </c>
      <c r="H53" s="1" t="s">
        <v>4075</v>
      </c>
      <c r="I53" s="1" t="s">
        <v>4075</v>
      </c>
      <c r="J53" s="1" t="s">
        <v>4075</v>
      </c>
      <c r="K53" s="1" t="s">
        <v>4075</v>
      </c>
      <c r="L53" s="1" t="s">
        <v>4075</v>
      </c>
      <c r="M53" s="1" t="s">
        <v>4075</v>
      </c>
      <c r="N53" s="1" t="s">
        <v>4075</v>
      </c>
      <c r="O53" s="1" t="s">
        <v>4075</v>
      </c>
      <c r="P53" s="1" t="s">
        <v>4075</v>
      </c>
      <c r="Q53" s="1" t="s">
        <v>4075</v>
      </c>
      <c r="R53" s="1" t="s">
        <v>4075</v>
      </c>
      <c r="S53" s="1" t="s">
        <v>4075</v>
      </c>
      <c r="T53" s="1" t="s">
        <v>4075</v>
      </c>
      <c r="U53" s="1" t="s">
        <v>4075</v>
      </c>
    </row>
    <row customFormat="1" r="54" s="33" spans="1:21" x14ac:dyDescent="0.25">
      <c r="A54" s="34" t="s">
        <v>3560</v>
      </c>
      <c r="B54" s="35"/>
      <c r="C54" s="35"/>
      <c r="D54" s="35"/>
      <c r="E54" s="35"/>
      <c r="F54" s="35"/>
      <c r="G54" s="35"/>
      <c r="H54" s="35"/>
      <c r="I54" s="35"/>
      <c r="J54" s="35"/>
      <c r="K54" s="35"/>
      <c r="L54" s="35"/>
      <c r="M54" s="35"/>
      <c r="N54" s="35"/>
      <c r="O54" s="35"/>
      <c r="P54" s="35"/>
      <c r="Q54" s="35"/>
      <c r="R54" s="35"/>
      <c r="S54" s="35"/>
      <c r="T54" s="35"/>
      <c r="U54" s="35"/>
    </row>
    <row customFormat="1" r="55" s="1" spans="1:21" x14ac:dyDescent="0.25">
      <c r="A55" s="18" t="s">
        <v>4160</v>
      </c>
      <c r="E55" s="1" t="s">
        <v>4105</v>
      </c>
      <c r="F55" s="1" t="s">
        <v>4105</v>
      </c>
      <c r="G55" s="1" t="s">
        <v>4105</v>
      </c>
      <c r="H55" s="1" t="s">
        <v>4105</v>
      </c>
      <c r="I55" s="1" t="s">
        <v>4105</v>
      </c>
      <c r="J55" s="1" t="s">
        <v>4105</v>
      </c>
      <c r="K55" s="1" t="s">
        <v>4105</v>
      </c>
      <c r="L55" s="1" t="s">
        <v>4105</v>
      </c>
      <c r="M55" s="1" t="s">
        <v>4105</v>
      </c>
      <c r="N55" s="1" t="s">
        <v>4105</v>
      </c>
      <c r="O55" s="1" t="s">
        <v>4105</v>
      </c>
      <c r="P55" s="1" t="s">
        <v>4105</v>
      </c>
      <c r="Q55" s="1" t="s">
        <v>4105</v>
      </c>
      <c r="R55" s="1" t="s">
        <v>4105</v>
      </c>
      <c r="S55" s="1" t="s">
        <v>4105</v>
      </c>
      <c r="T55" s="1" t="s">
        <v>4105</v>
      </c>
      <c r="U55" s="1" t="s">
        <v>4105</v>
      </c>
    </row>
    <row customFormat="1" r="56" s="1" spans="1:21" x14ac:dyDescent="0.25">
      <c r="A56" s="18" t="s">
        <v>4161</v>
      </c>
      <c r="B56" s="2"/>
      <c r="C56" s="2"/>
      <c r="D56" s="2"/>
      <c r="E56" s="2" t="s">
        <v>55</v>
      </c>
      <c r="F56" s="2" t="s">
        <v>55</v>
      </c>
      <c r="G56" s="2" t="s">
        <v>55</v>
      </c>
      <c r="H56" s="2" t="s">
        <v>55</v>
      </c>
      <c r="I56" s="2" t="s">
        <v>55</v>
      </c>
      <c r="J56" s="2" t="s">
        <v>55</v>
      </c>
      <c r="K56" s="2" t="s">
        <v>55</v>
      </c>
      <c r="L56" s="2" t="s">
        <v>55</v>
      </c>
      <c r="M56" s="2" t="s">
        <v>55</v>
      </c>
      <c r="N56" s="2" t="s">
        <v>55</v>
      </c>
      <c r="O56" s="2" t="s">
        <v>55</v>
      </c>
      <c r="P56" s="2" t="s">
        <v>55</v>
      </c>
      <c r="Q56" s="2" t="s">
        <v>55</v>
      </c>
      <c r="R56" s="2" t="s">
        <v>55</v>
      </c>
      <c r="S56" s="2" t="s">
        <v>55</v>
      </c>
      <c r="T56" s="2" t="s">
        <v>55</v>
      </c>
      <c r="U56" s="2" t="s">
        <v>55</v>
      </c>
    </row>
    <row customFormat="1" r="57" s="1" spans="1:21" x14ac:dyDescent="0.25">
      <c r="A57" s="18" t="s">
        <v>4162</v>
      </c>
      <c r="B57" s="2"/>
      <c r="C57" s="2"/>
      <c r="D57" s="2"/>
      <c r="E57" s="2" t="s">
        <v>56</v>
      </c>
      <c r="F57" s="2" t="s">
        <v>56</v>
      </c>
      <c r="G57" s="2" t="s">
        <v>56</v>
      </c>
      <c r="H57" s="2" t="s">
        <v>56</v>
      </c>
      <c r="I57" s="2" t="s">
        <v>56</v>
      </c>
      <c r="J57" s="2" t="s">
        <v>56</v>
      </c>
      <c r="K57" s="2" t="s">
        <v>56</v>
      </c>
      <c r="L57" s="2" t="s">
        <v>56</v>
      </c>
      <c r="M57" s="2" t="s">
        <v>56</v>
      </c>
      <c r="N57" s="2" t="s">
        <v>56</v>
      </c>
      <c r="O57" s="2" t="s">
        <v>56</v>
      </c>
      <c r="P57" s="2" t="s">
        <v>56</v>
      </c>
      <c r="Q57" s="2" t="s">
        <v>56</v>
      </c>
      <c r="R57" s="2" t="s">
        <v>56</v>
      </c>
      <c r="S57" s="2" t="s">
        <v>56</v>
      </c>
      <c r="T57" s="2" t="s">
        <v>56</v>
      </c>
      <c r="U57" s="2" t="s">
        <v>56</v>
      </c>
    </row>
    <row customFormat="1" r="58" s="1" spans="1:21" x14ac:dyDescent="0.25">
      <c r="A58" s="18" t="s">
        <v>4163</v>
      </c>
      <c r="E58" s="1">
        <v>25584</v>
      </c>
      <c r="F58" s="1">
        <v>25584</v>
      </c>
      <c r="G58" s="1">
        <v>25584</v>
      </c>
      <c r="H58" s="1">
        <v>25584</v>
      </c>
      <c r="I58" s="1">
        <v>25584</v>
      </c>
      <c r="J58" s="1">
        <v>25584</v>
      </c>
      <c r="K58" s="1">
        <v>25584</v>
      </c>
      <c r="L58" s="1">
        <v>25584</v>
      </c>
      <c r="M58" s="1">
        <v>25584</v>
      </c>
      <c r="N58" s="1">
        <v>25584</v>
      </c>
      <c r="O58" s="1">
        <v>25584</v>
      </c>
      <c r="P58" s="1">
        <v>25584</v>
      </c>
      <c r="Q58" s="1">
        <v>25584</v>
      </c>
      <c r="R58" s="1">
        <v>25584</v>
      </c>
      <c r="S58" s="1">
        <v>25584</v>
      </c>
      <c r="T58" s="1">
        <v>25584</v>
      </c>
      <c r="U58" s="1">
        <v>25584</v>
      </c>
    </row>
    <row customFormat="1" r="59" s="1" spans="1:21" x14ac:dyDescent="0.25">
      <c r="A59" s="18" t="s">
        <v>4165</v>
      </c>
      <c r="E59" s="1" t="s">
        <v>4101</v>
      </c>
      <c r="F59" s="1" t="s">
        <v>4101</v>
      </c>
      <c r="G59" s="1" t="s">
        <v>4101</v>
      </c>
      <c r="H59" s="1" t="s">
        <v>4101</v>
      </c>
      <c r="I59" s="1" t="s">
        <v>4101</v>
      </c>
      <c r="J59" s="1" t="s">
        <v>4101</v>
      </c>
      <c r="K59" s="1" t="s">
        <v>4101</v>
      </c>
      <c r="L59" s="1" t="s">
        <v>4101</v>
      </c>
      <c r="M59" s="1" t="s">
        <v>4101</v>
      </c>
      <c r="N59" s="1" t="s">
        <v>4101</v>
      </c>
      <c r="O59" s="1" t="s">
        <v>4101</v>
      </c>
      <c r="P59" s="1" t="s">
        <v>4101</v>
      </c>
      <c r="Q59" s="1" t="s">
        <v>4101</v>
      </c>
      <c r="R59" s="1" t="s">
        <v>4101</v>
      </c>
      <c r="S59" s="1" t="s">
        <v>4101</v>
      </c>
      <c r="T59" s="1" t="s">
        <v>4101</v>
      </c>
      <c r="U59" s="1" t="s">
        <v>4101</v>
      </c>
    </row>
    <row customFormat="1" r="60" s="1" spans="1:21" x14ac:dyDescent="0.25">
      <c r="A60" s="18" t="s">
        <v>4164</v>
      </c>
      <c r="E60" s="1" t="s">
        <v>4100</v>
      </c>
      <c r="F60" s="1" t="s">
        <v>4100</v>
      </c>
      <c r="G60" s="1" t="s">
        <v>4100</v>
      </c>
      <c r="H60" s="1" t="s">
        <v>4100</v>
      </c>
      <c r="I60" s="1" t="s">
        <v>4100</v>
      </c>
      <c r="J60" s="1" t="s">
        <v>4100</v>
      </c>
      <c r="K60" s="1" t="s">
        <v>4100</v>
      </c>
      <c r="L60" s="1" t="s">
        <v>4100</v>
      </c>
      <c r="M60" s="1" t="s">
        <v>4100</v>
      </c>
      <c r="N60" s="1" t="s">
        <v>4100</v>
      </c>
      <c r="O60" s="1" t="s">
        <v>4100</v>
      </c>
      <c r="P60" s="1" t="s">
        <v>4100</v>
      </c>
      <c r="Q60" s="1" t="s">
        <v>4100</v>
      </c>
      <c r="R60" s="1" t="s">
        <v>4100</v>
      </c>
      <c r="S60" s="1" t="s">
        <v>4100</v>
      </c>
      <c r="T60" s="1" t="s">
        <v>4100</v>
      </c>
      <c r="U60" s="1" t="s">
        <v>4100</v>
      </c>
    </row>
    <row customFormat="1" r="61" s="1" spans="1:21" x14ac:dyDescent="0.25">
      <c r="A61" s="18" t="s">
        <v>4166</v>
      </c>
      <c r="E61" s="1" t="s">
        <v>4102</v>
      </c>
      <c r="F61" s="1" t="s">
        <v>4102</v>
      </c>
      <c r="G61" s="1" t="s">
        <v>4102</v>
      </c>
      <c r="H61" s="1" t="s">
        <v>4102</v>
      </c>
      <c r="I61" s="1" t="s">
        <v>4102</v>
      </c>
      <c r="J61" s="1" t="s">
        <v>4102</v>
      </c>
      <c r="K61" s="1" t="s">
        <v>4102</v>
      </c>
      <c r="L61" s="1" t="s">
        <v>4102</v>
      </c>
      <c r="M61" s="1" t="s">
        <v>4102</v>
      </c>
      <c r="N61" s="1" t="s">
        <v>4102</v>
      </c>
      <c r="O61" s="1" t="s">
        <v>4102</v>
      </c>
      <c r="P61" s="1" t="s">
        <v>4102</v>
      </c>
      <c r="Q61" s="1" t="s">
        <v>4102</v>
      </c>
      <c r="R61" s="1" t="s">
        <v>4102</v>
      </c>
      <c r="S61" s="1" t="s">
        <v>4102</v>
      </c>
      <c r="T61" s="1" t="s">
        <v>4102</v>
      </c>
      <c r="U61" s="1" t="s">
        <v>4102</v>
      </c>
    </row>
    <row customFormat="1" r="62" s="1" spans="1:21" x14ac:dyDescent="0.25">
      <c r="A62" s="1" t="s">
        <v>24</v>
      </c>
    </row>
    <row customFormat="1" r="63" s="1" spans="1:21" x14ac:dyDescent="0.25">
      <c r="A63" s="1" t="s">
        <v>249</v>
      </c>
    </row>
    <row customFormat="1" r="64" s="1" spans="1:21" x14ac:dyDescent="0.25">
      <c r="A64" s="1" t="s">
        <v>250</v>
      </c>
    </row>
    <row customFormat="1" r="65" s="1" spans="1:21" x14ac:dyDescent="0.25">
      <c r="A65" s="1" t="s">
        <v>251</v>
      </c>
    </row>
    <row customFormat="1" r="66" s="1" spans="1:21" x14ac:dyDescent="0.25">
      <c r="A66" s="1" t="s">
        <v>252</v>
      </c>
    </row>
    <row customFormat="1" r="67" s="1" spans="1:21" x14ac:dyDescent="0.25">
      <c r="A67" s="1" t="s">
        <v>253</v>
      </c>
    </row>
    <row customFormat="1" r="68" s="1" spans="1:21" x14ac:dyDescent="0.25">
      <c r="A68" s="1" t="s">
        <v>254</v>
      </c>
    </row>
    <row customFormat="1" r="69" s="1" spans="1:21" x14ac:dyDescent="0.25">
      <c r="A69" s="1" t="s">
        <v>255</v>
      </c>
    </row>
    <row customFormat="1" r="70" s="1" spans="1:21" x14ac:dyDescent="0.25">
      <c r="A70" s="1" t="s">
        <v>256</v>
      </c>
    </row>
    <row customFormat="1" r="71" s="1" spans="1:21" x14ac:dyDescent="0.25">
      <c r="A71" s="1" t="s">
        <v>257</v>
      </c>
    </row>
    <row customFormat="1" r="72" s="1" spans="1:21" x14ac:dyDescent="0.25">
      <c r="A72" s="1" t="s">
        <v>258</v>
      </c>
    </row>
    <row customFormat="1" r="73" s="1" spans="1:21" x14ac:dyDescent="0.25">
      <c r="A73" s="1" t="s">
        <v>259</v>
      </c>
    </row>
    <row customFormat="1" r="74" s="1" spans="1:21" x14ac:dyDescent="0.25">
      <c r="A74" s="1" t="s">
        <v>25</v>
      </c>
      <c r="D74" s="1" t="s">
        <v>26</v>
      </c>
      <c r="E74" s="1" t="s">
        <v>26</v>
      </c>
      <c r="F74" s="1" t="s">
        <v>26</v>
      </c>
      <c r="G74" s="1" t="s">
        <v>26</v>
      </c>
      <c r="H74" s="1" t="s">
        <v>26</v>
      </c>
      <c r="I74" s="1" t="s">
        <v>26</v>
      </c>
      <c r="J74" s="1" t="s">
        <v>26</v>
      </c>
      <c r="K74" s="1" t="s">
        <v>26</v>
      </c>
      <c r="L74" s="1" t="s">
        <v>26</v>
      </c>
      <c r="M74" s="1" t="s">
        <v>26</v>
      </c>
      <c r="N74" s="1" t="s">
        <v>26</v>
      </c>
      <c r="O74" s="1" t="s">
        <v>26</v>
      </c>
      <c r="P74" s="1" t="s">
        <v>26</v>
      </c>
      <c r="Q74" s="1" t="s">
        <v>26</v>
      </c>
      <c r="R74" s="1" t="s">
        <v>26</v>
      </c>
      <c r="S74" s="1" t="s">
        <v>26</v>
      </c>
      <c r="T74" s="1" t="s">
        <v>26</v>
      </c>
      <c r="U74" s="1" t="s">
        <v>26</v>
      </c>
    </row>
    <row customFormat="1" r="75" s="33" spans="1:21" x14ac:dyDescent="0.25">
      <c r="A75" s="34" t="s">
        <v>3561</v>
      </c>
      <c r="B75" s="35"/>
      <c r="C75" s="35"/>
      <c r="D75" s="35"/>
      <c r="E75" s="35"/>
      <c r="F75" s="35"/>
      <c r="G75" s="35"/>
      <c r="H75" s="35"/>
      <c r="I75" s="35"/>
      <c r="J75" s="35"/>
      <c r="K75" s="35"/>
      <c r="L75" s="35"/>
      <c r="M75" s="35"/>
      <c r="N75" s="35"/>
      <c r="O75" s="35"/>
      <c r="P75" s="35"/>
      <c r="Q75" s="35"/>
      <c r="R75" s="35"/>
      <c r="S75" s="35"/>
      <c r="T75" s="35"/>
      <c r="U75" s="35"/>
    </row>
    <row customFormat="1" r="76" s="1" spans="1:21" x14ac:dyDescent="0.25">
      <c r="A76" s="1" t="s">
        <v>242</v>
      </c>
      <c r="D76" s="1" t="s">
        <v>4238</v>
      </c>
      <c r="E76" s="1" t="s">
        <v>4238</v>
      </c>
      <c r="F76" s="1" t="s">
        <v>4238</v>
      </c>
      <c r="G76" s="1" t="s">
        <v>4238</v>
      </c>
      <c r="H76" s="1" t="s">
        <v>4238</v>
      </c>
      <c r="I76" s="1" t="s">
        <v>4238</v>
      </c>
      <c r="J76" s="1" t="s">
        <v>4238</v>
      </c>
      <c r="K76" s="1" t="s">
        <v>4238</v>
      </c>
      <c r="L76" s="1" t="s">
        <v>4238</v>
      </c>
      <c r="M76" s="1" t="s">
        <v>4238</v>
      </c>
      <c r="N76" s="1" t="s">
        <v>4238</v>
      </c>
      <c r="O76" s="1" t="s">
        <v>4238</v>
      </c>
      <c r="P76" s="1" t="s">
        <v>4238</v>
      </c>
      <c r="Q76" s="1" t="s">
        <v>4238</v>
      </c>
      <c r="R76" s="1" t="s">
        <v>4238</v>
      </c>
      <c r="S76" s="1" t="s">
        <v>4238</v>
      </c>
      <c r="T76" s="1" t="s">
        <v>4238</v>
      </c>
      <c r="U76" s="1" t="s">
        <v>4238</v>
      </c>
    </row>
    <row customFormat="1" r="77" s="1" spans="1:21" x14ac:dyDescent="0.25">
      <c r="A77" s="1" t="s">
        <v>243</v>
      </c>
      <c r="B77" s="22"/>
      <c r="C77" s="22"/>
      <c r="D77" s="22" t="s">
        <v>4239</v>
      </c>
      <c r="E77" s="22" t="s">
        <v>4239</v>
      </c>
      <c r="F77" s="22" t="s">
        <v>4239</v>
      </c>
      <c r="G77" s="22" t="s">
        <v>4239</v>
      </c>
      <c r="H77" s="22" t="s">
        <v>4239</v>
      </c>
      <c r="I77" s="22" t="s">
        <v>4239</v>
      </c>
      <c r="J77" s="22" t="s">
        <v>4239</v>
      </c>
      <c r="K77" s="22" t="s">
        <v>4239</v>
      </c>
      <c r="L77" s="22" t="s">
        <v>4239</v>
      </c>
      <c r="M77" s="22" t="s">
        <v>4239</v>
      </c>
      <c r="N77" s="22" t="s">
        <v>4239</v>
      </c>
      <c r="O77" s="22" t="s">
        <v>4239</v>
      </c>
      <c r="P77" s="22" t="s">
        <v>4239</v>
      </c>
      <c r="Q77" s="22" t="s">
        <v>4239</v>
      </c>
      <c r="R77" s="22" t="s">
        <v>4239</v>
      </c>
      <c r="S77" s="22" t="s">
        <v>4239</v>
      </c>
      <c r="T77" s="22" t="s">
        <v>4239</v>
      </c>
      <c r="U77" s="22" t="s">
        <v>4239</v>
      </c>
    </row>
    <row customFormat="1" r="78" s="33" spans="1:21" x14ac:dyDescent="0.25">
      <c r="A78" s="34" t="s">
        <v>3562</v>
      </c>
      <c r="B78" s="35"/>
      <c r="C78" s="35"/>
      <c r="D78" s="35"/>
      <c r="E78" s="35"/>
      <c r="F78" s="35"/>
      <c r="G78" s="35"/>
      <c r="H78" s="35"/>
      <c r="I78" s="35"/>
      <c r="J78" s="35"/>
      <c r="K78" s="35"/>
      <c r="L78" s="35"/>
      <c r="M78" s="35"/>
      <c r="N78" s="35"/>
      <c r="O78" s="35"/>
      <c r="P78" s="35"/>
      <c r="Q78" s="35"/>
      <c r="R78" s="35"/>
      <c r="S78" s="35"/>
      <c r="T78" s="35"/>
      <c r="U78" s="35"/>
    </row>
    <row customFormat="1" r="79" s="1" spans="1:21" x14ac:dyDescent="0.25">
      <c r="A79" s="1" t="s">
        <v>303</v>
      </c>
      <c r="D79" s="1" t="s">
        <v>4105</v>
      </c>
      <c r="E79" s="1" t="s">
        <v>4105</v>
      </c>
      <c r="F79" s="1" t="s">
        <v>4105</v>
      </c>
      <c r="G79" s="1" t="s">
        <v>4105</v>
      </c>
      <c r="H79" s="1" t="s">
        <v>4105</v>
      </c>
      <c r="I79" s="1" t="s">
        <v>4105</v>
      </c>
      <c r="J79" s="1" t="s">
        <v>4105</v>
      </c>
      <c r="K79" s="1" t="s">
        <v>4105</v>
      </c>
      <c r="L79" s="1" t="s">
        <v>4105</v>
      </c>
      <c r="M79" s="1" t="s">
        <v>4105</v>
      </c>
      <c r="N79" s="1" t="s">
        <v>4105</v>
      </c>
      <c r="O79" s="1" t="s">
        <v>4105</v>
      </c>
      <c r="P79" s="1" t="s">
        <v>4105</v>
      </c>
      <c r="Q79" s="1" t="s">
        <v>4105</v>
      </c>
      <c r="R79" s="1" t="s">
        <v>4105</v>
      </c>
      <c r="S79" s="1" t="s">
        <v>4105</v>
      </c>
      <c r="T79" s="1" t="s">
        <v>4105</v>
      </c>
      <c r="U79" s="1" t="s">
        <v>4105</v>
      </c>
    </row>
    <row customFormat="1" r="80" s="1" spans="1:21" x14ac:dyDescent="0.25">
      <c r="A80" s="1" t="s">
        <v>304</v>
      </c>
      <c r="D80" s="1">
        <v>12</v>
      </c>
      <c r="E80" s="1">
        <v>12</v>
      </c>
      <c r="F80" s="1">
        <v>12</v>
      </c>
      <c r="G80" s="1">
        <v>12</v>
      </c>
      <c r="H80" s="1">
        <v>12</v>
      </c>
      <c r="I80" s="1">
        <v>12</v>
      </c>
      <c r="J80" s="1">
        <v>12</v>
      </c>
      <c r="K80" s="1">
        <v>12</v>
      </c>
      <c r="L80" s="1">
        <v>12</v>
      </c>
      <c r="M80" s="1">
        <v>12</v>
      </c>
      <c r="N80" s="1">
        <v>12</v>
      </c>
      <c r="O80" s="1">
        <v>12</v>
      </c>
      <c r="P80" s="1">
        <v>12</v>
      </c>
      <c r="Q80" s="1">
        <v>12</v>
      </c>
      <c r="R80" s="1">
        <v>12</v>
      </c>
      <c r="S80" s="1">
        <v>12</v>
      </c>
      <c r="T80" s="1">
        <v>12</v>
      </c>
      <c r="U80" s="1">
        <v>12</v>
      </c>
    </row>
    <row customFormat="1" r="81" s="1" spans="1:21" x14ac:dyDescent="0.25">
      <c r="A81" s="1" t="s">
        <v>305</v>
      </c>
      <c r="D81" s="1">
        <v>23</v>
      </c>
      <c r="E81" s="1">
        <v>23</v>
      </c>
      <c r="F81" s="1">
        <v>23</v>
      </c>
      <c r="G81" s="1">
        <v>23</v>
      </c>
      <c r="H81" s="1">
        <v>23</v>
      </c>
      <c r="I81" s="1">
        <v>23</v>
      </c>
      <c r="J81" s="1">
        <v>23</v>
      </c>
      <c r="K81" s="1">
        <v>23</v>
      </c>
      <c r="L81" s="1">
        <v>23</v>
      </c>
      <c r="M81" s="1">
        <v>23</v>
      </c>
      <c r="N81" s="1">
        <v>23</v>
      </c>
      <c r="O81" s="1">
        <v>23</v>
      </c>
      <c r="P81" s="1">
        <v>23</v>
      </c>
      <c r="Q81" s="1">
        <v>23</v>
      </c>
      <c r="R81" s="1">
        <v>23</v>
      </c>
      <c r="S81" s="1">
        <v>23</v>
      </c>
      <c r="T81" s="1">
        <v>23</v>
      </c>
      <c r="U81" s="1">
        <v>23</v>
      </c>
    </row>
    <row customFormat="1" r="82" s="1" spans="1:21" x14ac:dyDescent="0.25">
      <c r="A82" s="1" t="s">
        <v>306</v>
      </c>
      <c r="D82" s="1">
        <v>11530</v>
      </c>
      <c r="E82" s="1">
        <v>11530</v>
      </c>
      <c r="F82" s="1">
        <v>11530</v>
      </c>
      <c r="G82" s="1">
        <v>11530</v>
      </c>
      <c r="H82" s="1">
        <v>11530</v>
      </c>
      <c r="I82" s="1">
        <v>11530</v>
      </c>
      <c r="J82" s="1">
        <v>11530</v>
      </c>
      <c r="K82" s="1">
        <v>11530</v>
      </c>
      <c r="L82" s="1">
        <v>11530</v>
      </c>
      <c r="M82" s="1">
        <v>11530</v>
      </c>
      <c r="N82" s="1">
        <v>11530</v>
      </c>
      <c r="O82" s="1">
        <v>11530</v>
      </c>
      <c r="P82" s="1">
        <v>11530</v>
      </c>
      <c r="Q82" s="1">
        <v>11530</v>
      </c>
      <c r="R82" s="1">
        <v>11530</v>
      </c>
      <c r="S82" s="1">
        <v>11530</v>
      </c>
      <c r="T82" s="1">
        <v>11530</v>
      </c>
      <c r="U82" s="1">
        <v>11530</v>
      </c>
    </row>
    <row customFormat="1" r="83" s="1" spans="1:21" x14ac:dyDescent="0.25">
      <c r="A83" s="1" t="s">
        <v>307</v>
      </c>
      <c r="D83" s="1" t="s">
        <v>4143</v>
      </c>
      <c r="E83" s="1" t="s">
        <v>4143</v>
      </c>
      <c r="F83" s="1" t="s">
        <v>4143</v>
      </c>
      <c r="G83" s="1" t="s">
        <v>4143</v>
      </c>
      <c r="H83" s="1" t="s">
        <v>4143</v>
      </c>
      <c r="I83" s="1" t="s">
        <v>4143</v>
      </c>
      <c r="J83" s="1" t="s">
        <v>4143</v>
      </c>
      <c r="K83" s="1" t="s">
        <v>4143</v>
      </c>
      <c r="L83" s="1" t="s">
        <v>4143</v>
      </c>
      <c r="M83" s="1" t="s">
        <v>4143</v>
      </c>
      <c r="N83" s="1" t="s">
        <v>4143</v>
      </c>
      <c r="O83" s="1" t="s">
        <v>4143</v>
      </c>
      <c r="P83" s="1" t="s">
        <v>4143</v>
      </c>
      <c r="Q83" s="1" t="s">
        <v>4143</v>
      </c>
      <c r="R83" s="1" t="s">
        <v>4143</v>
      </c>
      <c r="S83" s="1" t="s">
        <v>4143</v>
      </c>
      <c r="T83" s="1" t="s">
        <v>4143</v>
      </c>
      <c r="U83" s="1" t="s">
        <v>4143</v>
      </c>
    </row>
    <row customFormat="1" r="84" s="1" spans="1:21" x14ac:dyDescent="0.25">
      <c r="A84" s="1" t="s">
        <v>308</v>
      </c>
      <c r="D84" s="1" t="s">
        <v>4143</v>
      </c>
      <c r="E84" s="1" t="s">
        <v>4143</v>
      </c>
      <c r="F84" s="1" t="s">
        <v>4143</v>
      </c>
      <c r="G84" s="1" t="s">
        <v>4143</v>
      </c>
      <c r="H84" s="1" t="s">
        <v>4143</v>
      </c>
      <c r="I84" s="1" t="s">
        <v>4143</v>
      </c>
      <c r="J84" s="1" t="s">
        <v>4143</v>
      </c>
      <c r="K84" s="1" t="s">
        <v>4143</v>
      </c>
      <c r="L84" s="1" t="s">
        <v>4143</v>
      </c>
      <c r="M84" s="1" t="s">
        <v>4143</v>
      </c>
      <c r="N84" s="1" t="s">
        <v>4143</v>
      </c>
      <c r="O84" s="1" t="s">
        <v>4143</v>
      </c>
      <c r="P84" s="1" t="s">
        <v>4143</v>
      </c>
      <c r="Q84" s="1" t="s">
        <v>4143</v>
      </c>
      <c r="R84" s="1" t="s">
        <v>4143</v>
      </c>
      <c r="S84" s="1" t="s">
        <v>4143</v>
      </c>
      <c r="T84" s="1" t="s">
        <v>4143</v>
      </c>
      <c r="U84" s="1" t="s">
        <v>4143</v>
      </c>
    </row>
    <row customFormat="1" r="85" s="1" spans="1:21" x14ac:dyDescent="0.25">
      <c r="A85" s="1" t="s">
        <v>309</v>
      </c>
      <c r="D85" s="1" t="s">
        <v>4144</v>
      </c>
      <c r="E85" s="1" t="s">
        <v>4144</v>
      </c>
      <c r="F85" s="1" t="s">
        <v>4144</v>
      </c>
      <c r="G85" s="1" t="s">
        <v>4144</v>
      </c>
      <c r="H85" s="1" t="s">
        <v>4144</v>
      </c>
      <c r="I85" s="1" t="s">
        <v>4144</v>
      </c>
      <c r="J85" s="1" t="s">
        <v>4144</v>
      </c>
      <c r="K85" s="1" t="s">
        <v>4144</v>
      </c>
      <c r="L85" s="1" t="s">
        <v>4144</v>
      </c>
      <c r="M85" s="1" t="s">
        <v>4144</v>
      </c>
      <c r="N85" s="1" t="s">
        <v>4144</v>
      </c>
      <c r="O85" s="1" t="s">
        <v>4144</v>
      </c>
      <c r="P85" s="1" t="s">
        <v>4144</v>
      </c>
      <c r="Q85" s="1" t="s">
        <v>4144</v>
      </c>
      <c r="R85" s="1" t="s">
        <v>4144</v>
      </c>
      <c r="S85" s="1" t="s">
        <v>4144</v>
      </c>
      <c r="T85" s="1" t="s">
        <v>4144</v>
      </c>
      <c r="U85" s="1" t="s">
        <v>4144</v>
      </c>
    </row>
    <row customFormat="1" r="86" s="1" spans="1:21" x14ac:dyDescent="0.25">
      <c r="A86" s="1" t="s">
        <v>310</v>
      </c>
    </row>
    <row customFormat="1" r="87" s="1" spans="1:21" x14ac:dyDescent="0.25">
      <c r="A87" s="1" t="s">
        <v>311</v>
      </c>
      <c r="D87" s="1">
        <v>223</v>
      </c>
      <c r="E87" s="1">
        <v>223</v>
      </c>
      <c r="F87" s="1">
        <v>223</v>
      </c>
      <c r="G87" s="1">
        <v>223</v>
      </c>
      <c r="H87" s="1">
        <v>223</v>
      </c>
      <c r="I87" s="1">
        <v>223</v>
      </c>
      <c r="J87" s="1">
        <v>223</v>
      </c>
      <c r="K87" s="1">
        <v>223</v>
      </c>
      <c r="L87" s="1">
        <v>223</v>
      </c>
      <c r="M87" s="1">
        <v>223</v>
      </c>
      <c r="N87" s="1">
        <v>223</v>
      </c>
      <c r="O87" s="1">
        <v>223</v>
      </c>
      <c r="P87" s="1">
        <v>223</v>
      </c>
      <c r="Q87" s="1">
        <v>223</v>
      </c>
      <c r="R87" s="1">
        <v>223</v>
      </c>
      <c r="S87" s="1">
        <v>223</v>
      </c>
      <c r="T87" s="1">
        <v>223</v>
      </c>
      <c r="U87" s="1">
        <v>223</v>
      </c>
    </row>
    <row customFormat="1" r="88" s="1" spans="1:21" x14ac:dyDescent="0.25">
      <c r="A88" s="1" t="s">
        <v>312</v>
      </c>
      <c r="D88" s="1">
        <v>12737</v>
      </c>
      <c r="E88" s="1">
        <v>12737</v>
      </c>
      <c r="F88" s="1">
        <v>12737</v>
      </c>
      <c r="G88" s="1">
        <v>12737</v>
      </c>
      <c r="H88" s="1">
        <v>12737</v>
      </c>
      <c r="I88" s="1">
        <v>12737</v>
      </c>
      <c r="J88" s="1">
        <v>12737</v>
      </c>
      <c r="K88" s="1">
        <v>12737</v>
      </c>
      <c r="L88" s="1">
        <v>12737</v>
      </c>
      <c r="M88" s="1">
        <v>12737</v>
      </c>
      <c r="N88" s="1">
        <v>12737</v>
      </c>
      <c r="O88" s="1">
        <v>12737</v>
      </c>
      <c r="P88" s="1">
        <v>12737</v>
      </c>
      <c r="Q88" s="1">
        <v>12737</v>
      </c>
      <c r="R88" s="1">
        <v>12737</v>
      </c>
      <c r="S88" s="1">
        <v>12737</v>
      </c>
      <c r="T88" s="1">
        <v>12737</v>
      </c>
      <c r="U88" s="1">
        <v>12737</v>
      </c>
    </row>
    <row customFormat="1" r="89" s="1" spans="1:21" x14ac:dyDescent="0.25">
      <c r="A89" s="1" t="s">
        <v>313</v>
      </c>
    </row>
    <row customFormat="1" r="90" s="1" spans="1:21" x14ac:dyDescent="0.25">
      <c r="A90" s="1" t="s">
        <v>314</v>
      </c>
    </row>
    <row customFormat="1" r="91" s="1" spans="1:21" x14ac:dyDescent="0.25">
      <c r="A91" s="1" t="s">
        <v>315</v>
      </c>
    </row>
    <row customFormat="1" r="92" s="1" spans="1:21" x14ac:dyDescent="0.25">
      <c r="A92" s="1" t="s">
        <v>316</v>
      </c>
    </row>
    <row customFormat="1" r="93" s="1" spans="1:21" x14ac:dyDescent="0.25">
      <c r="A93" s="1" t="s">
        <v>317</v>
      </c>
    </row>
    <row customFormat="1" r="94" s="1" spans="1:21" x14ac:dyDescent="0.25">
      <c r="A94" s="1" t="s">
        <v>318</v>
      </c>
    </row>
    <row customFormat="1" r="95" s="1" spans="1:21" x14ac:dyDescent="0.25">
      <c r="A95" s="1" t="s">
        <v>319</v>
      </c>
    </row>
    <row customFormat="1" r="96" s="1" spans="1:21" x14ac:dyDescent="0.25">
      <c r="A96" s="1" t="s">
        <v>320</v>
      </c>
    </row>
    <row customFormat="1" r="97" s="1" spans="1:21" x14ac:dyDescent="0.25">
      <c r="A97" s="1" t="s">
        <v>321</v>
      </c>
    </row>
    <row customFormat="1" r="98" s="1" spans="1:21" x14ac:dyDescent="0.25">
      <c r="A98" s="1" t="s">
        <v>322</v>
      </c>
      <c r="D98" s="1" t="s">
        <v>2991</v>
      </c>
      <c r="E98" s="1" t="s">
        <v>2991</v>
      </c>
      <c r="F98" s="1" t="s">
        <v>2991</v>
      </c>
      <c r="G98" s="1" t="s">
        <v>2991</v>
      </c>
      <c r="H98" s="1" t="s">
        <v>2991</v>
      </c>
      <c r="I98" s="1" t="s">
        <v>2991</v>
      </c>
      <c r="J98" s="1" t="s">
        <v>2991</v>
      </c>
      <c r="K98" s="1" t="s">
        <v>2991</v>
      </c>
      <c r="L98" s="1" t="s">
        <v>2991</v>
      </c>
      <c r="M98" s="1" t="s">
        <v>2991</v>
      </c>
      <c r="N98" s="1" t="s">
        <v>2991</v>
      </c>
      <c r="O98" s="1" t="s">
        <v>2991</v>
      </c>
      <c r="P98" s="1" t="s">
        <v>2991</v>
      </c>
      <c r="Q98" s="1" t="s">
        <v>2991</v>
      </c>
      <c r="R98" s="1" t="s">
        <v>2991</v>
      </c>
      <c r="S98" s="1" t="s">
        <v>2991</v>
      </c>
      <c r="T98" s="1" t="s">
        <v>2991</v>
      </c>
      <c r="U98" s="1" t="s">
        <v>2991</v>
      </c>
    </row>
    <row customFormat="1" r="99" s="33" spans="1:21" x14ac:dyDescent="0.25">
      <c r="A99" s="34" t="s">
        <v>3563</v>
      </c>
      <c r="B99" s="35"/>
      <c r="C99" s="35"/>
      <c r="D99" s="35"/>
      <c r="E99" s="35"/>
      <c r="F99" s="35"/>
      <c r="G99" s="35"/>
      <c r="H99" s="35"/>
      <c r="I99" s="35"/>
      <c r="J99" s="35"/>
      <c r="K99" s="35"/>
      <c r="L99" s="35"/>
      <c r="M99" s="35"/>
      <c r="N99" s="35"/>
      <c r="O99" s="35"/>
      <c r="P99" s="35"/>
      <c r="Q99" s="35"/>
      <c r="R99" s="35"/>
      <c r="S99" s="35"/>
      <c r="T99" s="35"/>
      <c r="U99" s="35"/>
    </row>
    <row customFormat="1" r="100" s="1" spans="1:21" x14ac:dyDescent="0.25">
      <c r="A100" s="1" t="s">
        <v>244</v>
      </c>
      <c r="D100" s="1" t="s">
        <v>4240</v>
      </c>
      <c r="E100" s="1" t="s">
        <v>4240</v>
      </c>
      <c r="F100" s="1" t="s">
        <v>4240</v>
      </c>
      <c r="G100" s="1" t="s">
        <v>4240</v>
      </c>
      <c r="H100" s="1" t="s">
        <v>4240</v>
      </c>
      <c r="I100" s="1" t="s">
        <v>4240</v>
      </c>
      <c r="J100" s="1" t="s">
        <v>4240</v>
      </c>
      <c r="K100" s="1" t="s">
        <v>4240</v>
      </c>
      <c r="L100" s="1" t="s">
        <v>4240</v>
      </c>
      <c r="M100" s="1" t="s">
        <v>4240</v>
      </c>
      <c r="N100" s="1" t="s">
        <v>4240</v>
      </c>
      <c r="O100" s="1" t="s">
        <v>4240</v>
      </c>
      <c r="P100" s="1" t="s">
        <v>4240</v>
      </c>
      <c r="Q100" s="1" t="s">
        <v>4240</v>
      </c>
      <c r="R100" s="1" t="s">
        <v>4240</v>
      </c>
      <c r="S100" s="1" t="s">
        <v>4240</v>
      </c>
      <c r="T100" s="1" t="s">
        <v>4240</v>
      </c>
      <c r="U100" s="1" t="s">
        <v>4240</v>
      </c>
    </row>
    <row customFormat="1" r="101" s="1" spans="1:21" x14ac:dyDescent="0.25">
      <c r="A101" s="1" t="s">
        <v>245</v>
      </c>
      <c r="D101" s="1" t="s">
        <v>4241</v>
      </c>
      <c r="E101" s="1" t="s">
        <v>4241</v>
      </c>
      <c r="F101" s="1" t="s">
        <v>4241</v>
      </c>
      <c r="G101" s="1" t="s">
        <v>4241</v>
      </c>
      <c r="H101" s="1" t="s">
        <v>4241</v>
      </c>
      <c r="I101" s="1" t="s">
        <v>4241</v>
      </c>
      <c r="J101" s="1" t="s">
        <v>4241</v>
      </c>
      <c r="K101" s="1" t="s">
        <v>4241</v>
      </c>
      <c r="L101" s="1" t="s">
        <v>4241</v>
      </c>
      <c r="M101" s="1" t="s">
        <v>4241</v>
      </c>
      <c r="N101" s="1" t="s">
        <v>4241</v>
      </c>
      <c r="O101" s="1" t="s">
        <v>4241</v>
      </c>
      <c r="P101" s="1" t="s">
        <v>4241</v>
      </c>
      <c r="Q101" s="1" t="s">
        <v>4241</v>
      </c>
      <c r="R101" s="1" t="s">
        <v>4241</v>
      </c>
      <c r="S101" s="1" t="s">
        <v>4241</v>
      </c>
      <c r="T101" s="1" t="s">
        <v>4241</v>
      </c>
      <c r="U101" s="1" t="s">
        <v>4241</v>
      </c>
    </row>
    <row customFormat="1" r="102" s="1" spans="1:21" x14ac:dyDescent="0.25">
      <c r="A102" s="1" t="s">
        <v>282</v>
      </c>
      <c r="D102" s="1" t="s">
        <v>4242</v>
      </c>
      <c r="E102" s="1" t="s">
        <v>4242</v>
      </c>
      <c r="F102" s="1" t="s">
        <v>4242</v>
      </c>
      <c r="G102" s="1" t="s">
        <v>4242</v>
      </c>
      <c r="H102" s="1" t="s">
        <v>4242</v>
      </c>
      <c r="I102" s="1" t="s">
        <v>4242</v>
      </c>
      <c r="J102" s="1" t="s">
        <v>4242</v>
      </c>
      <c r="K102" s="1" t="s">
        <v>4242</v>
      </c>
      <c r="L102" s="1" t="s">
        <v>4242</v>
      </c>
      <c r="M102" s="1" t="s">
        <v>4242</v>
      </c>
      <c r="N102" s="1" t="s">
        <v>4242</v>
      </c>
      <c r="O102" s="1" t="s">
        <v>4242</v>
      </c>
      <c r="P102" s="1" t="s">
        <v>4242</v>
      </c>
      <c r="Q102" s="1" t="s">
        <v>4242</v>
      </c>
      <c r="R102" s="1" t="s">
        <v>4242</v>
      </c>
      <c r="S102" s="1" t="s">
        <v>4242</v>
      </c>
      <c r="T102" s="1" t="s">
        <v>4242</v>
      </c>
      <c r="U102" s="1" t="s">
        <v>4242</v>
      </c>
    </row>
    <row customFormat="1" r="103" s="1" spans="1:21" x14ac:dyDescent="0.25">
      <c r="A103" s="1" t="s">
        <v>246</v>
      </c>
      <c r="D103" s="1" t="s">
        <v>4243</v>
      </c>
      <c r="E103" s="1" t="s">
        <v>4243</v>
      </c>
      <c r="F103" s="1" t="s">
        <v>4243</v>
      </c>
      <c r="G103" s="1" t="s">
        <v>4243</v>
      </c>
      <c r="H103" s="1" t="s">
        <v>4243</v>
      </c>
      <c r="I103" s="1" t="s">
        <v>4243</v>
      </c>
      <c r="J103" s="1" t="s">
        <v>4243</v>
      </c>
      <c r="K103" s="1" t="s">
        <v>4243</v>
      </c>
      <c r="L103" s="1" t="s">
        <v>4243</v>
      </c>
      <c r="M103" s="1" t="s">
        <v>4243</v>
      </c>
      <c r="N103" s="1" t="s">
        <v>4243</v>
      </c>
      <c r="O103" s="1" t="s">
        <v>4243</v>
      </c>
      <c r="P103" s="1" t="s">
        <v>4243</v>
      </c>
      <c r="Q103" s="1" t="s">
        <v>4243</v>
      </c>
      <c r="R103" s="1" t="s">
        <v>4243</v>
      </c>
      <c r="S103" s="1" t="s">
        <v>4243</v>
      </c>
      <c r="T103" s="1" t="s">
        <v>4243</v>
      </c>
      <c r="U103" s="1" t="s">
        <v>4243</v>
      </c>
    </row>
    <row customFormat="1" r="104" s="1" spans="1:21" x14ac:dyDescent="0.25">
      <c r="A104" s="1" t="s">
        <v>247</v>
      </c>
      <c r="B104" s="22"/>
      <c r="C104" s="22"/>
      <c r="D104" s="22" t="s">
        <v>4244</v>
      </c>
      <c r="E104" s="22" t="s">
        <v>4244</v>
      </c>
      <c r="F104" s="22" t="s">
        <v>4244</v>
      </c>
      <c r="G104" s="22" t="s">
        <v>4244</v>
      </c>
      <c r="H104" s="22" t="s">
        <v>4244</v>
      </c>
      <c r="I104" s="22" t="s">
        <v>4244</v>
      </c>
      <c r="J104" s="22" t="s">
        <v>4244</v>
      </c>
      <c r="K104" s="22" t="s">
        <v>4244</v>
      </c>
      <c r="L104" s="22" t="s">
        <v>4244</v>
      </c>
      <c r="M104" s="22" t="s">
        <v>4244</v>
      </c>
      <c r="N104" s="22" t="s">
        <v>4244</v>
      </c>
      <c r="O104" s="22" t="s">
        <v>4244</v>
      </c>
      <c r="P104" s="22" t="s">
        <v>4244</v>
      </c>
      <c r="Q104" s="22" t="s">
        <v>4244</v>
      </c>
      <c r="R104" s="22" t="s">
        <v>4244</v>
      </c>
      <c r="S104" s="22" t="s">
        <v>4244</v>
      </c>
      <c r="T104" s="22" t="s">
        <v>4244</v>
      </c>
      <c r="U104" s="22" t="s">
        <v>4244</v>
      </c>
    </row>
    <row customFormat="1" r="105" s="33" spans="1:21" x14ac:dyDescent="0.25">
      <c r="A105" s="34" t="s">
        <v>3564</v>
      </c>
      <c r="B105" s="35"/>
      <c r="C105" s="35"/>
      <c r="D105" s="35"/>
      <c r="E105" s="35"/>
      <c r="F105" s="35"/>
      <c r="G105" s="35"/>
      <c r="H105" s="35"/>
      <c r="I105" s="35"/>
      <c r="J105" s="35"/>
      <c r="K105" s="35"/>
      <c r="L105" s="35"/>
      <c r="M105" s="35"/>
      <c r="N105" s="35"/>
      <c r="O105" s="35"/>
      <c r="P105" s="35"/>
      <c r="Q105" s="35"/>
      <c r="R105" s="35"/>
      <c r="S105" s="35"/>
      <c r="T105" s="35"/>
      <c r="U105" s="35"/>
    </row>
    <row customFormat="1" r="106" s="1" spans="1:21" x14ac:dyDescent="0.25">
      <c r="A106" s="1" t="s">
        <v>283</v>
      </c>
      <c r="D106" s="1" t="s">
        <v>4105</v>
      </c>
      <c r="E106" s="1" t="s">
        <v>4105</v>
      </c>
      <c r="F106" s="1" t="s">
        <v>4105</v>
      </c>
      <c r="G106" s="1" t="s">
        <v>4105</v>
      </c>
      <c r="H106" s="1" t="s">
        <v>4105</v>
      </c>
      <c r="I106" s="1" t="s">
        <v>4105</v>
      </c>
      <c r="J106" s="1" t="s">
        <v>4105</v>
      </c>
      <c r="K106" s="1" t="s">
        <v>4105</v>
      </c>
      <c r="L106" s="1" t="s">
        <v>4105</v>
      </c>
      <c r="M106" s="1" t="s">
        <v>4105</v>
      </c>
      <c r="N106" s="1" t="s">
        <v>4105</v>
      </c>
      <c r="O106" s="1" t="s">
        <v>4105</v>
      </c>
      <c r="P106" s="1" t="s">
        <v>4105</v>
      </c>
      <c r="Q106" s="1" t="s">
        <v>4105</v>
      </c>
      <c r="R106" s="1" t="s">
        <v>4105</v>
      </c>
      <c r="S106" s="1" t="s">
        <v>4105</v>
      </c>
      <c r="T106" s="1" t="s">
        <v>4105</v>
      </c>
      <c r="U106" s="1" t="s">
        <v>4105</v>
      </c>
    </row>
    <row customFormat="1" r="107" s="1" spans="1:21" x14ac:dyDescent="0.25">
      <c r="A107" s="1" t="s">
        <v>284</v>
      </c>
      <c r="D107" s="1">
        <v>1</v>
      </c>
      <c r="E107" s="1">
        <v>1</v>
      </c>
      <c r="F107" s="1">
        <v>1</v>
      </c>
      <c r="G107" s="1">
        <v>1</v>
      </c>
      <c r="H107" s="1">
        <v>1</v>
      </c>
      <c r="I107" s="1">
        <v>1</v>
      </c>
      <c r="J107" s="1">
        <v>1</v>
      </c>
      <c r="K107" s="1">
        <v>1</v>
      </c>
      <c r="L107" s="1">
        <v>1</v>
      </c>
      <c r="M107" s="1">
        <v>1</v>
      </c>
      <c r="N107" s="1">
        <v>1</v>
      </c>
      <c r="O107" s="1">
        <v>1</v>
      </c>
      <c r="P107" s="1">
        <v>1</v>
      </c>
      <c r="Q107" s="1">
        <v>1</v>
      </c>
      <c r="R107" s="1">
        <v>1</v>
      </c>
      <c r="S107" s="1">
        <v>1</v>
      </c>
      <c r="T107" s="1">
        <v>1</v>
      </c>
      <c r="U107" s="1">
        <v>1</v>
      </c>
    </row>
    <row customFormat="1" r="108" s="1" spans="1:21" x14ac:dyDescent="0.25">
      <c r="A108" s="1" t="s">
        <v>285</v>
      </c>
      <c r="D108" s="1">
        <v>1</v>
      </c>
      <c r="E108" s="1">
        <v>1</v>
      </c>
      <c r="F108" s="1">
        <v>1</v>
      </c>
      <c r="G108" s="1">
        <v>1</v>
      </c>
      <c r="H108" s="1">
        <v>1</v>
      </c>
      <c r="I108" s="1">
        <v>1</v>
      </c>
      <c r="J108" s="1">
        <v>1</v>
      </c>
      <c r="K108" s="1">
        <v>1</v>
      </c>
      <c r="L108" s="1">
        <v>1</v>
      </c>
      <c r="M108" s="1">
        <v>1</v>
      </c>
      <c r="N108" s="1">
        <v>1</v>
      </c>
      <c r="O108" s="1">
        <v>1</v>
      </c>
      <c r="P108" s="1">
        <v>1</v>
      </c>
      <c r="Q108" s="1">
        <v>1</v>
      </c>
      <c r="R108" s="1">
        <v>1</v>
      </c>
      <c r="S108" s="1">
        <v>1</v>
      </c>
      <c r="T108" s="1">
        <v>1</v>
      </c>
      <c r="U108" s="1">
        <v>1</v>
      </c>
    </row>
    <row customFormat="1" r="109" s="1" spans="1:21" x14ac:dyDescent="0.25">
      <c r="A109" s="1" t="s">
        <v>286</v>
      </c>
      <c r="D109" s="1">
        <v>11530</v>
      </c>
      <c r="E109" s="1">
        <v>11530</v>
      </c>
      <c r="F109" s="1">
        <v>11530</v>
      </c>
      <c r="G109" s="1">
        <v>11530</v>
      </c>
      <c r="H109" s="1">
        <v>11530</v>
      </c>
      <c r="I109" s="1">
        <v>11530</v>
      </c>
      <c r="J109" s="1">
        <v>11530</v>
      </c>
      <c r="K109" s="1">
        <v>11530</v>
      </c>
      <c r="L109" s="1">
        <v>11530</v>
      </c>
      <c r="M109" s="1">
        <v>11530</v>
      </c>
      <c r="N109" s="1">
        <v>11530</v>
      </c>
      <c r="O109" s="1">
        <v>11530</v>
      </c>
      <c r="P109" s="1">
        <v>11530</v>
      </c>
      <c r="Q109" s="1">
        <v>11530</v>
      </c>
      <c r="R109" s="1">
        <v>11530</v>
      </c>
      <c r="S109" s="1">
        <v>11530</v>
      </c>
      <c r="T109" s="1">
        <v>11530</v>
      </c>
      <c r="U109" s="1">
        <v>11530</v>
      </c>
    </row>
    <row customFormat="1" r="110" s="1" spans="1:21" x14ac:dyDescent="0.25">
      <c r="A110" s="1" t="s">
        <v>287</v>
      </c>
      <c r="D110" s="1" t="s">
        <v>4143</v>
      </c>
      <c r="E110" s="1" t="s">
        <v>4143</v>
      </c>
      <c r="F110" s="1" t="s">
        <v>4143</v>
      </c>
      <c r="G110" s="1" t="s">
        <v>4143</v>
      </c>
      <c r="H110" s="1" t="s">
        <v>4143</v>
      </c>
      <c r="I110" s="1" t="s">
        <v>4143</v>
      </c>
      <c r="J110" s="1" t="s">
        <v>4143</v>
      </c>
      <c r="K110" s="1" t="s">
        <v>4143</v>
      </c>
      <c r="L110" s="1" t="s">
        <v>4143</v>
      </c>
      <c r="M110" s="1" t="s">
        <v>4143</v>
      </c>
      <c r="N110" s="1" t="s">
        <v>4143</v>
      </c>
      <c r="O110" s="1" t="s">
        <v>4143</v>
      </c>
      <c r="P110" s="1" t="s">
        <v>4143</v>
      </c>
      <c r="Q110" s="1" t="s">
        <v>4143</v>
      </c>
      <c r="R110" s="1" t="s">
        <v>4143</v>
      </c>
      <c r="S110" s="1" t="s">
        <v>4143</v>
      </c>
      <c r="T110" s="1" t="s">
        <v>4143</v>
      </c>
      <c r="U110" s="1" t="s">
        <v>4143</v>
      </c>
    </row>
    <row customFormat="1" r="111" s="1" spans="1:21" x14ac:dyDescent="0.25">
      <c r="A111" s="1" t="s">
        <v>288</v>
      </c>
      <c r="D111" s="1" t="s">
        <v>4143</v>
      </c>
      <c r="E111" s="1" t="s">
        <v>4143</v>
      </c>
      <c r="F111" s="1" t="s">
        <v>4143</v>
      </c>
      <c r="G111" s="1" t="s">
        <v>4143</v>
      </c>
      <c r="H111" s="1" t="s">
        <v>4143</v>
      </c>
      <c r="I111" s="1" t="s">
        <v>4143</v>
      </c>
      <c r="J111" s="1" t="s">
        <v>4143</v>
      </c>
      <c r="K111" s="1" t="s">
        <v>4143</v>
      </c>
      <c r="L111" s="1" t="s">
        <v>4143</v>
      </c>
      <c r="M111" s="1" t="s">
        <v>4143</v>
      </c>
      <c r="N111" s="1" t="s">
        <v>4143</v>
      </c>
      <c r="O111" s="1" t="s">
        <v>4143</v>
      </c>
      <c r="P111" s="1" t="s">
        <v>4143</v>
      </c>
      <c r="Q111" s="1" t="s">
        <v>4143</v>
      </c>
      <c r="R111" s="1" t="s">
        <v>4143</v>
      </c>
      <c r="S111" s="1" t="s">
        <v>4143</v>
      </c>
      <c r="T111" s="1" t="s">
        <v>4143</v>
      </c>
      <c r="U111" s="1" t="s">
        <v>4143</v>
      </c>
    </row>
    <row customFormat="1" r="112" s="1" spans="1:21" x14ac:dyDescent="0.25">
      <c r="A112" s="1" t="s">
        <v>289</v>
      </c>
      <c r="D112" s="1" t="s">
        <v>4144</v>
      </c>
      <c r="E112" s="1" t="s">
        <v>4144</v>
      </c>
      <c r="F112" s="1" t="s">
        <v>4144</v>
      </c>
      <c r="G112" s="1" t="s">
        <v>4144</v>
      </c>
      <c r="H112" s="1" t="s">
        <v>4144</v>
      </c>
      <c r="I112" s="1" t="s">
        <v>4144</v>
      </c>
      <c r="J112" s="1" t="s">
        <v>4144</v>
      </c>
      <c r="K112" s="1" t="s">
        <v>4144</v>
      </c>
      <c r="L112" s="1" t="s">
        <v>4144</v>
      </c>
      <c r="M112" s="1" t="s">
        <v>4144</v>
      </c>
      <c r="N112" s="1" t="s">
        <v>4144</v>
      </c>
      <c r="O112" s="1" t="s">
        <v>4144</v>
      </c>
      <c r="P112" s="1" t="s">
        <v>4144</v>
      </c>
      <c r="Q112" s="1" t="s">
        <v>4144</v>
      </c>
      <c r="R112" s="1" t="s">
        <v>4144</v>
      </c>
      <c r="S112" s="1" t="s">
        <v>4144</v>
      </c>
      <c r="T112" s="1" t="s">
        <v>4144</v>
      </c>
      <c r="U112" s="1" t="s">
        <v>4144</v>
      </c>
    </row>
    <row customFormat="1" r="113" s="1" spans="1:21" x14ac:dyDescent="0.25">
      <c r="A113" s="1" t="s">
        <v>290</v>
      </c>
      <c r="D113" s="1" t="s">
        <v>4245</v>
      </c>
      <c r="E113" s="1" t="s">
        <v>4245</v>
      </c>
      <c r="F113" s="1" t="s">
        <v>4245</v>
      </c>
      <c r="G113" s="1" t="s">
        <v>4245</v>
      </c>
      <c r="H113" s="1" t="s">
        <v>4245</v>
      </c>
      <c r="I113" s="1" t="s">
        <v>4245</v>
      </c>
      <c r="J113" s="1" t="s">
        <v>4245</v>
      </c>
      <c r="K113" s="1" t="s">
        <v>4245</v>
      </c>
      <c r="L113" s="1" t="s">
        <v>4245</v>
      </c>
      <c r="M113" s="1" t="s">
        <v>4245</v>
      </c>
      <c r="N113" s="1" t="s">
        <v>4245</v>
      </c>
      <c r="O113" s="1" t="s">
        <v>4245</v>
      </c>
      <c r="P113" s="1" t="s">
        <v>4245</v>
      </c>
      <c r="Q113" s="1" t="s">
        <v>4245</v>
      </c>
      <c r="R113" s="1" t="s">
        <v>4245</v>
      </c>
      <c r="S113" s="1" t="s">
        <v>4245</v>
      </c>
      <c r="T113" s="1" t="s">
        <v>4245</v>
      </c>
      <c r="U113" s="1" t="s">
        <v>4245</v>
      </c>
    </row>
    <row customFormat="1" r="114" s="1" spans="1:21" x14ac:dyDescent="0.25">
      <c r="A114" s="1" t="s">
        <v>291</v>
      </c>
      <c r="D114" s="1">
        <v>123</v>
      </c>
      <c r="E114" s="1">
        <v>123</v>
      </c>
      <c r="F114" s="1">
        <v>123</v>
      </c>
      <c r="G114" s="1">
        <v>123</v>
      </c>
      <c r="H114" s="1">
        <v>123</v>
      </c>
      <c r="I114" s="1">
        <v>123</v>
      </c>
      <c r="J114" s="1">
        <v>123</v>
      </c>
      <c r="K114" s="1">
        <v>123</v>
      </c>
      <c r="L114" s="1">
        <v>123</v>
      </c>
      <c r="M114" s="1">
        <v>123</v>
      </c>
      <c r="N114" s="1">
        <v>123</v>
      </c>
      <c r="O114" s="1">
        <v>123</v>
      </c>
      <c r="P114" s="1">
        <v>123</v>
      </c>
      <c r="Q114" s="1">
        <v>123</v>
      </c>
      <c r="R114" s="1">
        <v>123</v>
      </c>
      <c r="S114" s="1">
        <v>123</v>
      </c>
      <c r="T114" s="1">
        <v>123</v>
      </c>
      <c r="U114" s="1">
        <v>123</v>
      </c>
    </row>
    <row customFormat="1" r="115" s="1" spans="1:21" x14ac:dyDescent="0.25">
      <c r="A115" s="1" t="s">
        <v>292</v>
      </c>
      <c r="D115" s="1">
        <v>123123</v>
      </c>
      <c r="E115" s="1">
        <v>123123</v>
      </c>
      <c r="F115" s="1">
        <v>123123</v>
      </c>
      <c r="G115" s="1">
        <v>123123</v>
      </c>
      <c r="H115" s="1">
        <v>123123</v>
      </c>
      <c r="I115" s="1">
        <v>123123</v>
      </c>
      <c r="J115" s="1">
        <v>123123</v>
      </c>
      <c r="K115" s="1">
        <v>123123</v>
      </c>
      <c r="L115" s="1">
        <v>123123</v>
      </c>
      <c r="M115" s="1">
        <v>123123</v>
      </c>
      <c r="N115" s="1">
        <v>123123</v>
      </c>
      <c r="O115" s="1">
        <v>123123</v>
      </c>
      <c r="P115" s="1">
        <v>123123</v>
      </c>
      <c r="Q115" s="1">
        <v>123123</v>
      </c>
      <c r="R115" s="1">
        <v>123123</v>
      </c>
      <c r="S115" s="1">
        <v>123123</v>
      </c>
      <c r="T115" s="1">
        <v>123123</v>
      </c>
      <c r="U115" s="1">
        <v>123123</v>
      </c>
    </row>
    <row customFormat="1" r="116" s="1" spans="1:21" x14ac:dyDescent="0.25">
      <c r="A116" s="1" t="s">
        <v>293</v>
      </c>
    </row>
    <row customFormat="1" r="117" s="1" spans="1:21" x14ac:dyDescent="0.25">
      <c r="A117" s="1" t="s">
        <v>294</v>
      </c>
    </row>
    <row customFormat="1" r="118" s="1" spans="1:21" x14ac:dyDescent="0.25">
      <c r="A118" s="1" t="s">
        <v>295</v>
      </c>
    </row>
    <row customFormat="1" r="119" s="1" spans="1:21" x14ac:dyDescent="0.25">
      <c r="A119" s="1" t="s">
        <v>296</v>
      </c>
    </row>
    <row customFormat="1" r="120" s="1" spans="1:21" x14ac:dyDescent="0.25">
      <c r="A120" s="1" t="s">
        <v>297</v>
      </c>
    </row>
    <row customFormat="1" r="121" s="1" spans="1:21" x14ac:dyDescent="0.25">
      <c r="A121" s="1" t="s">
        <v>298</v>
      </c>
    </row>
    <row customFormat="1" r="122" s="1" spans="1:21" x14ac:dyDescent="0.25">
      <c r="A122" s="1" t="s">
        <v>299</v>
      </c>
    </row>
    <row customFormat="1" r="123" s="1" spans="1:21" x14ac:dyDescent="0.25">
      <c r="A123" s="1" t="s">
        <v>300</v>
      </c>
    </row>
    <row customFormat="1" r="124" s="1" spans="1:21" x14ac:dyDescent="0.25">
      <c r="A124" s="1" t="s">
        <v>301</v>
      </c>
    </row>
    <row customFormat="1" r="125" s="1" spans="1:21" x14ac:dyDescent="0.25">
      <c r="A125" s="1" t="s">
        <v>302</v>
      </c>
      <c r="D125" s="1" t="s">
        <v>2996</v>
      </c>
      <c r="E125" s="1" t="s">
        <v>2996</v>
      </c>
      <c r="F125" s="1" t="s">
        <v>2996</v>
      </c>
      <c r="G125" s="1" t="s">
        <v>2996</v>
      </c>
      <c r="H125" s="1" t="s">
        <v>2996</v>
      </c>
      <c r="I125" s="1" t="s">
        <v>2996</v>
      </c>
      <c r="J125" s="1" t="s">
        <v>2996</v>
      </c>
      <c r="K125" s="1" t="s">
        <v>2996</v>
      </c>
      <c r="L125" s="1" t="s">
        <v>2996</v>
      </c>
      <c r="M125" s="1" t="s">
        <v>2996</v>
      </c>
      <c r="N125" s="1" t="s">
        <v>2996</v>
      </c>
      <c r="O125" s="1" t="s">
        <v>2996</v>
      </c>
      <c r="P125" s="1" t="s">
        <v>2996</v>
      </c>
      <c r="Q125" s="1" t="s">
        <v>2996</v>
      </c>
      <c r="R125" s="1" t="s">
        <v>2996</v>
      </c>
      <c r="S125" s="1" t="s">
        <v>2996</v>
      </c>
      <c r="T125" s="1" t="s">
        <v>2996</v>
      </c>
      <c r="U125" s="1" t="s">
        <v>2996</v>
      </c>
    </row>
    <row customFormat="1" r="126" s="1" spans="1:21" x14ac:dyDescent="0.25">
      <c r="A126" s="1" t="s">
        <v>4255</v>
      </c>
      <c r="D126" s="1" t="s">
        <v>5</v>
      </c>
      <c r="E126" s="1" t="s">
        <v>5</v>
      </c>
      <c r="F126" s="1" t="s">
        <v>5</v>
      </c>
      <c r="G126" s="1" t="s">
        <v>5</v>
      </c>
      <c r="H126" s="1" t="s">
        <v>5</v>
      </c>
      <c r="I126" s="1" t="s">
        <v>5</v>
      </c>
      <c r="J126" s="1" t="s">
        <v>5</v>
      </c>
      <c r="K126" s="1" t="s">
        <v>5</v>
      </c>
      <c r="L126" s="1" t="s">
        <v>5</v>
      </c>
      <c r="M126" s="1" t="s">
        <v>5</v>
      </c>
      <c r="N126" s="1" t="s">
        <v>5</v>
      </c>
      <c r="O126" s="1" t="s">
        <v>5</v>
      </c>
      <c r="P126" s="1" t="s">
        <v>5</v>
      </c>
      <c r="Q126" s="1" t="s">
        <v>5</v>
      </c>
      <c r="R126" s="1" t="s">
        <v>5</v>
      </c>
      <c r="S126" s="1" t="s">
        <v>5</v>
      </c>
      <c r="T126" s="1" t="s">
        <v>5</v>
      </c>
      <c r="U126" s="1" t="s">
        <v>5</v>
      </c>
    </row>
  </sheetData>
  <dataValidations count="10">
    <dataValidation allowBlank="1" errorStyle="information" showErrorMessage="1" showInputMessage="1" sqref="B26:U26" type="whole">
      <formula1>0</formula1>
      <formula2>9.99999999999999E+22</formula2>
    </dataValidation>
    <dataValidation allowBlank="1" errorStyle="information" showErrorMessage="1" showInputMessage="1" sqref="B98:U98 B125:U125 B74:U74" type="list">
      <formula1>"Dinas, Family, KPR, Rented, Self - Owned"</formula1>
    </dataValidation>
    <dataValidation allowBlank="1" errorStyle="information" showErrorMessage="1" showInputMessage="1" sqref="B20:U21 B23:U25 B28:U28 B31:U32 B34:U36 B38:U38 B40:U40 B42:U42 B46:U47 B49:U51 B55:U61 B100:U104 B79:U85 B106:U124 B14:U14"/>
    <dataValidation allowBlank="1" errorStyle="information" showErrorMessage="1" showInputMessage="1" sqref="B29:U29 B39:U39 B43:U43 B15:U15" type="list">
      <formula1>ListJobProfession</formula1>
    </dataValidation>
    <dataValidation allowBlank="1" errorStyle="information" showErrorMessage="1" showInputMessage="1" sqref="B44:U44 B16:U16" type="list">
      <formula1>ListJobPosition</formula1>
    </dataValidation>
    <dataValidation allowBlank="1" errorStyle="information" showErrorMessage="1" showInputMessage="1" sqref="B17:U17" type="list">
      <formula1>"Contract, Permanent"</formula1>
    </dataValidation>
    <dataValidation allowBlank="1" errorStyle="information" showErrorMessage="1" showInputMessage="1" sqref="B30:U30 B45:U45 B18:U19" type="list">
      <formula1>"Yes, No"</formula1>
    </dataValidation>
    <dataValidation allowBlank="1" errorStyle="information" showErrorMessage="1" showInputMessage="1" sqref="B33:U33 B48:U48 B22:U22" type="list">
      <formula1>ListIndustryType</formula1>
    </dataValidation>
    <dataValidation allowBlank="1" errorStyle="information" showErrorMessage="1" showInputMessage="1" sqref="B52:U52" type="whole">
      <formula1>0</formula1>
      <formula2>999999999999999000000</formula2>
    </dataValidation>
    <dataValidation allowBlank="1" errorStyle="information" showErrorMessage="1" showInputMessage="1" sqref="B53:U53" type="list">
      <formula1>"Domestic Investment, Foreign Investment"</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V42"/>
  <sheetViews>
    <sheetView tabSelected="1" topLeftCell="I1" workbookViewId="0">
      <selection activeCell="S10" sqref="S10"/>
    </sheetView>
  </sheetViews>
  <sheetFormatPr defaultRowHeight="15" x14ac:dyDescent="0.25"/>
  <cols>
    <col min="1" max="1" bestFit="true" customWidth="true" width="32.7109375" collapsed="true"/>
    <col min="3" max="4" customWidth="true" width="34.140625" collapsed="false"/>
    <col min="5" max="8" bestFit="true" customWidth="true" width="34.140625" collapsed="true"/>
    <col min="9" max="9" bestFit="true" customWidth="true" width="35.42578125" collapsed="true"/>
    <col min="10" max="10" bestFit="true" customWidth="true" width="27.85546875" collapsed="true"/>
    <col min="11" max="11" bestFit="true" customWidth="true" width="30.5703125" collapsed="true"/>
  </cols>
  <sheetData>
    <row customFormat="1" r="1" s="1" spans="1:21" x14ac:dyDescent="0.25">
      <c r="A1" s="1" t="s">
        <v>12</v>
      </c>
      <c r="C1"/>
      <c r="D1"/>
      <c r="E1" t="s">
        <v>3283</v>
      </c>
      <c r="F1" t="s">
        <v>3283</v>
      </c>
      <c r="G1" t="s">
        <v>3283</v>
      </c>
      <c r="H1" t="s">
        <v>3283</v>
      </c>
      <c r="I1" t="s">
        <v>3283</v>
      </c>
      <c r="J1" s="1" t="s">
        <v>3283</v>
      </c>
      <c r="K1" s="1" t="s">
        <v>3283</v>
      </c>
      <c r="L1" s="1" t="s">
        <v>3283</v>
      </c>
      <c r="M1" s="1" t="s">
        <v>3283</v>
      </c>
      <c r="N1" s="1" t="s">
        <v>3283</v>
      </c>
      <c r="O1" s="1" t="s">
        <v>3283</v>
      </c>
      <c r="P1" s="1" t="s">
        <v>3283</v>
      </c>
      <c r="Q1" s="1" t="s">
        <v>3283</v>
      </c>
      <c r="R1" s="1" t="s">
        <v>3283</v>
      </c>
      <c r="S1" s="1" t="s">
        <v>3283</v>
      </c>
      <c r="T1" s="1" t="s">
        <v>3283</v>
      </c>
      <c r="U1" s="1" t="s">
        <v>3283</v>
      </c>
    </row>
    <row customFormat="1" r="2" s="1" spans="1:21" x14ac:dyDescent="0.25">
      <c r="A2" s="1" t="s">
        <v>4145</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customFormat="1" r="3" s="1" spans="1:21" x14ac:dyDescent="0.25">
      <c r="A3" s="1" t="s">
        <v>4146</v>
      </c>
      <c r="E3" s="1" t="s">
        <v>4270</v>
      </c>
      <c r="F3" s="1" t="s">
        <v>4271</v>
      </c>
      <c r="G3" s="1" t="s">
        <v>4274</v>
      </c>
      <c r="H3" s="1" t="s">
        <v>4279</v>
      </c>
    </row>
    <row customFormat="1" r="4" s="1" spans="1:21" x14ac:dyDescent="0.25">
      <c r="A4" s="1" t="s">
        <v>4155</v>
      </c>
      <c r="E4" s="1">
        <f>IF(E12="Input Data",COUNTIFS($A$15:$A$42,"*$*",E15:E42,""),COUNTIFS($A$13:$A$14,"*$*",E13:E14,""))</f>
        <v>1</v>
      </c>
      <c r="F4" s="1">
        <f>IF(F12="Input Data",COUNTIFS($A$15:$A$42,"*$*",F15:F42,""),COUNTIFS($A$13:$A$14,"*$*",F13:F14,""))</f>
        <v>0</v>
      </c>
      <c r="G4" s="1">
        <f>IF(G12="Input Data",COUNTIFS($A$15:$A$42,"*$*",G15:G42,""),COUNTIFS($A$13:$A$14,"*$*",G13:G14,""))</f>
        <v>0</v>
      </c>
      <c r="H4" s="1">
        <f>IF(H12="Input Data",COUNTIFS($A$15:$A$42,"*$*",H15:H42,""),COUNTIFS($A$13:$A$14,"*$*",H13:H14,""))</f>
        <v>0</v>
      </c>
      <c r="I4" s="1">
        <f>IF(I12="Input Data",COUNTIFS($A$15:$A$42,"*$*",I15:I42,""),COUNTIFS($A$13:$A$14,"*$*",I13:I14,""))</f>
        <v>0</v>
      </c>
      <c r="J4" s="1">
        <f ref="J4:U4" si="0" t="shared">IF(J12="Input Data",COUNTIFS($A$15:$A$42,"*$*",J15:J42,""),COUNTIFS($A$13:$A$14,"*$*",J13:J14,""))</f>
        <v>0</v>
      </c>
      <c r="K4" s="1">
        <f si="0" t="shared"/>
        <v>0</v>
      </c>
      <c r="L4" s="1">
        <f si="0" t="shared"/>
        <v>0</v>
      </c>
      <c r="M4" s="1">
        <f si="0" t="shared"/>
        <v>0</v>
      </c>
      <c r="N4" s="1">
        <f si="0" t="shared"/>
        <v>0</v>
      </c>
      <c r="O4" s="1">
        <f si="0" t="shared"/>
        <v>0</v>
      </c>
      <c r="P4" s="1">
        <f si="0" t="shared"/>
        <v>0</v>
      </c>
      <c r="Q4" s="1">
        <f si="0" t="shared"/>
        <v>0</v>
      </c>
      <c r="R4" s="1">
        <f si="0" t="shared"/>
        <v>0</v>
      </c>
      <c r="S4" s="1">
        <f si="0" t="shared"/>
        <v>0</v>
      </c>
      <c r="T4" s="1">
        <f si="0" t="shared"/>
        <v>0</v>
      </c>
      <c r="U4" s="1">
        <f si="0" t="shared"/>
        <v>0</v>
      </c>
    </row>
    <row customFormat="1" r="5" s="1" spans="1:21" x14ac:dyDescent="0.25"/>
    <row customFormat="1" r="6" s="1" spans="1:21" x14ac:dyDescent="0.25"/>
    <row customFormat="1" r="7" s="1" spans="1:21" x14ac:dyDescent="0.25"/>
    <row customFormat="1" r="8" s="1" spans="1:21" x14ac:dyDescent="0.25"/>
    <row customFormat="1" r="9" s="1" spans="1:21" x14ac:dyDescent="0.25"/>
    <row customFormat="1" r="10" s="1" spans="1:21" x14ac:dyDescent="0.25">
      <c r="A10" s="1" t="s">
        <v>3558</v>
      </c>
      <c r="E10" s="1" t="str">
        <f>'1.CustomerDetail'!E$12</f>
        <v>app1</v>
      </c>
      <c r="F10" s="1" t="str">
        <f>'1.CustomerDetail'!F$12</f>
        <v>app1</v>
      </c>
      <c r="G10" s="1" t="str">
        <f>'1.CustomerDetail'!G$12</f>
        <v>app1</v>
      </c>
      <c r="H10" s="1" t="str">
        <f>'1.CustomerDetail'!H$12</f>
        <v>app1</v>
      </c>
      <c r="I10" s="1" t="str">
        <f>'1.CustomerDetail'!I$12</f>
        <v>app2</v>
      </c>
      <c r="J10" s="1" t="str">
        <f>'1.CustomerDetail'!J$12</f>
        <v>app3</v>
      </c>
      <c r="K10" s="1" t="str">
        <f>'1.CustomerDetail'!K$12</f>
        <v>app4</v>
      </c>
      <c r="L10" s="1" t="str">
        <f>'1.CustomerDetail'!L$12</f>
        <v>app5</v>
      </c>
      <c r="M10" s="1" t="str">
        <f>'1.CustomerDetail'!M$12</f>
        <v>app6</v>
      </c>
      <c r="N10" s="1" t="str">
        <f>'1.CustomerDetail'!N$12</f>
        <v>app7</v>
      </c>
      <c r="O10" s="1" t="str">
        <f>'1.CustomerDetail'!O$12</f>
        <v>app8</v>
      </c>
      <c r="P10" s="1" t="str">
        <f>'1.CustomerDetail'!P$12</f>
        <v>app9</v>
      </c>
      <c r="Q10" s="1" t="str">
        <f>'1.CustomerDetail'!Q$12</f>
        <v>app10</v>
      </c>
      <c r="R10" s="1" t="str">
        <f>'1.CustomerDetail'!R$12</f>
        <v>app17</v>
      </c>
      <c r="S10" s="1" t="str">
        <f>'1.CustomerDetail'!S$12</f>
        <v>app2</v>
      </c>
      <c r="T10" s="1" t="str">
        <f>'1.CustomerDetail'!T$12</f>
        <v>app10</v>
      </c>
      <c r="U10" s="1" t="str">
        <f>'1.CustomerDetail'!U$12</f>
        <v>app22</v>
      </c>
    </row>
    <row customFormat="1" r="11" s="30" spans="1:21" x14ac:dyDescent="0.25">
      <c r="C11" s="31"/>
      <c r="D11" s="31"/>
      <c r="E11" s="31"/>
      <c r="F11" s="31"/>
      <c r="G11" s="31"/>
      <c r="H11" s="31"/>
      <c r="I11" s="31"/>
      <c r="J11" s="31"/>
      <c r="K11" s="31"/>
    </row>
    <row customFormat="1" r="12" s="1" spans="1:21" x14ac:dyDescent="0.25">
      <c r="A12" s="1" t="s">
        <v>4108</v>
      </c>
      <c r="C12" s="27"/>
      <c r="D12" s="27"/>
      <c r="E12" s="27" t="s">
        <v>4109</v>
      </c>
      <c r="F12" s="27" t="s">
        <v>4109</v>
      </c>
      <c r="G12" s="27" t="s">
        <v>4109</v>
      </c>
      <c r="H12" s="27" t="s">
        <v>4109</v>
      </c>
      <c r="I12" s="27" t="s">
        <v>4109</v>
      </c>
      <c r="J12" s="27" t="s">
        <v>4109</v>
      </c>
      <c r="K12" s="27" t="s">
        <v>4109</v>
      </c>
      <c r="L12" s="27" t="s">
        <v>4109</v>
      </c>
      <c r="M12" s="27" t="s">
        <v>4109</v>
      </c>
      <c r="N12" s="27" t="s">
        <v>4109</v>
      </c>
      <c r="O12" s="27" t="s">
        <v>4109</v>
      </c>
      <c r="P12" s="27" t="s">
        <v>4109</v>
      </c>
      <c r="Q12" s="27" t="s">
        <v>4109</v>
      </c>
      <c r="R12" s="27" t="s">
        <v>4109</v>
      </c>
      <c r="S12" s="27" t="s">
        <v>4109</v>
      </c>
      <c r="T12" s="27" t="s">
        <v>4109</v>
      </c>
      <c r="U12" s="27" t="s">
        <v>4109</v>
      </c>
    </row>
    <row customFormat="1" r="13" s="1" spans="1:21" x14ac:dyDescent="0.25">
      <c r="A13" s="18" t="s">
        <v>4170</v>
      </c>
      <c r="C13" s="3"/>
      <c r="D13" s="3"/>
      <c r="E13" s="3"/>
      <c r="F13" s="3"/>
      <c r="G13" s="3"/>
      <c r="H13" s="3"/>
      <c r="I13" s="3"/>
      <c r="J13" s="3"/>
      <c r="K13" s="3"/>
      <c r="L13" s="3"/>
      <c r="M13" s="3"/>
      <c r="N13" s="3"/>
      <c r="O13" s="3"/>
      <c r="P13" s="3"/>
      <c r="Q13" s="3"/>
      <c r="R13" s="3"/>
      <c r="S13" s="3"/>
      <c r="T13" s="3"/>
      <c r="U13" s="3"/>
    </row>
    <row customFormat="1" r="14" s="1" spans="1:21" x14ac:dyDescent="0.25">
      <c r="A14" s="18" t="s">
        <v>4171</v>
      </c>
      <c r="F14" s="1" t="s">
        <v>4107</v>
      </c>
      <c r="G14" s="1" t="s">
        <v>4107</v>
      </c>
      <c r="H14" s="1" t="s">
        <v>4107</v>
      </c>
      <c r="I14" s="1" t="s">
        <v>4107</v>
      </c>
      <c r="J14" s="1" t="s">
        <v>4107</v>
      </c>
      <c r="K14" s="1" t="s">
        <v>4107</v>
      </c>
      <c r="L14" s="1" t="s">
        <v>4107</v>
      </c>
      <c r="M14" s="1" t="s">
        <v>4107</v>
      </c>
      <c r="N14" s="1" t="s">
        <v>4107</v>
      </c>
      <c r="O14" s="1" t="s">
        <v>4107</v>
      </c>
      <c r="P14" s="1" t="s">
        <v>4107</v>
      </c>
      <c r="Q14" s="1" t="s">
        <v>4107</v>
      </c>
      <c r="R14" s="1" t="s">
        <v>4107</v>
      </c>
      <c r="S14" s="1" t="s">
        <v>4107</v>
      </c>
      <c r="T14" s="1" t="s">
        <v>4107</v>
      </c>
      <c r="U14" s="1" t="s">
        <v>4107</v>
      </c>
    </row>
    <row customFormat="1" r="15" s="1" spans="1:21" x14ac:dyDescent="0.25">
      <c r="A15" s="18" t="s">
        <v>4172</v>
      </c>
      <c r="F15" s="1" t="s">
        <v>4235</v>
      </c>
      <c r="G15" s="1" t="s">
        <v>4235</v>
      </c>
      <c r="H15" s="1" t="s">
        <v>4235</v>
      </c>
      <c r="I15" s="1" t="s">
        <v>4235</v>
      </c>
      <c r="J15" s="1" t="s">
        <v>4235</v>
      </c>
      <c r="K15" s="1" t="s">
        <v>4235</v>
      </c>
      <c r="L15" s="1" t="s">
        <v>4235</v>
      </c>
      <c r="M15" s="1" t="s">
        <v>4235</v>
      </c>
      <c r="N15" s="1" t="s">
        <v>4235</v>
      </c>
      <c r="O15" s="1" t="s">
        <v>4235</v>
      </c>
      <c r="P15" s="1" t="s">
        <v>4235</v>
      </c>
      <c r="Q15" s="1" t="s">
        <v>4235</v>
      </c>
      <c r="R15" s="1" t="s">
        <v>4235</v>
      </c>
      <c r="S15" s="1" t="s">
        <v>4235</v>
      </c>
      <c r="T15" s="1" t="s">
        <v>4235</v>
      </c>
      <c r="U15" s="1" t="s">
        <v>4235</v>
      </c>
    </row>
    <row customFormat="1" r="16" s="1" spans="1:21" x14ac:dyDescent="0.25">
      <c r="A16" s="1" t="s">
        <v>4110</v>
      </c>
      <c r="E16" s="1" t="s">
        <v>4124</v>
      </c>
      <c r="F16" s="1" t="s">
        <v>4124</v>
      </c>
      <c r="G16" s="1" t="s">
        <v>4124</v>
      </c>
      <c r="H16" s="1" t="s">
        <v>4124</v>
      </c>
      <c r="I16" s="1" t="s">
        <v>4124</v>
      </c>
      <c r="J16" s="1" t="s">
        <v>4124</v>
      </c>
      <c r="K16" s="1" t="s">
        <v>4124</v>
      </c>
      <c r="L16" s="1" t="s">
        <v>4124</v>
      </c>
      <c r="M16" s="1" t="s">
        <v>4124</v>
      </c>
      <c r="N16" s="1" t="s">
        <v>4124</v>
      </c>
      <c r="O16" s="1" t="s">
        <v>4124</v>
      </c>
      <c r="P16" s="1" t="s">
        <v>4124</v>
      </c>
      <c r="Q16" s="1" t="s">
        <v>4124</v>
      </c>
      <c r="R16" s="1" t="s">
        <v>4124</v>
      </c>
      <c r="S16" s="1" t="s">
        <v>4124</v>
      </c>
      <c r="T16" s="1" t="s">
        <v>4124</v>
      </c>
      <c r="U16" s="1" t="s">
        <v>4124</v>
      </c>
    </row>
    <row customFormat="1" r="17" s="1" spans="1:21" x14ac:dyDescent="0.25">
      <c r="A17" s="18" t="s">
        <v>4111</v>
      </c>
      <c r="C17" s="2"/>
      <c r="D17" s="2"/>
      <c r="E17" s="2"/>
      <c r="F17" s="2" t="s">
        <v>4137</v>
      </c>
      <c r="G17" s="2" t="s">
        <v>4137</v>
      </c>
      <c r="H17" s="2" t="s">
        <v>4137</v>
      </c>
      <c r="I17" s="2" t="s">
        <v>4137</v>
      </c>
      <c r="J17" s="2" t="s">
        <v>4137</v>
      </c>
      <c r="K17" s="2" t="s">
        <v>4137</v>
      </c>
      <c r="L17" s="2" t="s">
        <v>4137</v>
      </c>
      <c r="M17" s="2" t="s">
        <v>4137</v>
      </c>
      <c r="N17" s="2" t="s">
        <v>4137</v>
      </c>
      <c r="O17" s="2" t="s">
        <v>4137</v>
      </c>
      <c r="P17" s="2" t="s">
        <v>4137</v>
      </c>
      <c r="Q17" s="2" t="s">
        <v>4137</v>
      </c>
      <c r="R17" s="2" t="s">
        <v>4137</v>
      </c>
      <c r="S17" s="2" t="s">
        <v>4137</v>
      </c>
      <c r="T17" s="2" t="s">
        <v>4137</v>
      </c>
      <c r="U17" s="2" t="s">
        <v>4137</v>
      </c>
    </row>
    <row customFormat="1" r="18" s="1" spans="1:21" x14ac:dyDescent="0.25">
      <c r="A18" s="1" t="s">
        <v>4112</v>
      </c>
    </row>
    <row customFormat="1" r="19" s="1" spans="1:21" x14ac:dyDescent="0.25">
      <c r="A19" s="28" t="s">
        <v>41</v>
      </c>
      <c r="C19" s="2"/>
      <c r="D19" s="2"/>
      <c r="E19" s="2"/>
      <c r="F19" s="2" t="s">
        <v>333</v>
      </c>
      <c r="G19" s="2" t="s">
        <v>333</v>
      </c>
      <c r="H19" s="2" t="s">
        <v>333</v>
      </c>
      <c r="I19" s="2" t="s">
        <v>333</v>
      </c>
      <c r="J19" s="2" t="s">
        <v>333</v>
      </c>
      <c r="K19" s="2" t="s">
        <v>333</v>
      </c>
      <c r="L19" s="2" t="s">
        <v>333</v>
      </c>
      <c r="M19" s="2" t="s">
        <v>333</v>
      </c>
      <c r="N19" s="2" t="s">
        <v>333</v>
      </c>
      <c r="O19" s="2" t="s">
        <v>333</v>
      </c>
      <c r="P19" s="2" t="s">
        <v>333</v>
      </c>
      <c r="Q19" s="2" t="s">
        <v>333</v>
      </c>
      <c r="R19" s="2" t="s">
        <v>333</v>
      </c>
      <c r="S19" s="2" t="s">
        <v>333</v>
      </c>
      <c r="T19" s="2" t="s">
        <v>333</v>
      </c>
      <c r="U19" s="2" t="s">
        <v>333</v>
      </c>
    </row>
    <row customFormat="1" r="20" s="1" spans="1:21" x14ac:dyDescent="0.25">
      <c r="A20" s="1" t="s">
        <v>4114</v>
      </c>
      <c r="C20" s="29"/>
      <c r="D20" s="29"/>
      <c r="E20" s="29" t="s">
        <v>4138</v>
      </c>
      <c r="F20" s="29" t="s">
        <v>4138</v>
      </c>
      <c r="G20" s="29" t="s">
        <v>4138</v>
      </c>
      <c r="H20" s="29" t="s">
        <v>4138</v>
      </c>
      <c r="I20" s="29" t="s">
        <v>4138</v>
      </c>
      <c r="J20" s="29" t="s">
        <v>4138</v>
      </c>
      <c r="K20" s="29" t="s">
        <v>4138</v>
      </c>
      <c r="L20" s="29" t="s">
        <v>4138</v>
      </c>
      <c r="M20" s="29" t="s">
        <v>4138</v>
      </c>
      <c r="N20" s="29" t="s">
        <v>4138</v>
      </c>
      <c r="O20" s="29" t="s">
        <v>4138</v>
      </c>
      <c r="P20" s="29" t="s">
        <v>4138</v>
      </c>
      <c r="Q20" s="29" t="s">
        <v>4138</v>
      </c>
      <c r="R20" s="29" t="s">
        <v>4138</v>
      </c>
      <c r="S20" s="29" t="s">
        <v>4138</v>
      </c>
      <c r="T20" s="29" t="s">
        <v>4138</v>
      </c>
      <c r="U20" s="29" t="s">
        <v>4138</v>
      </c>
    </row>
    <row customFormat="1" r="21" s="1" spans="1:21" x14ac:dyDescent="0.25">
      <c r="A21" s="18" t="s">
        <v>4115</v>
      </c>
      <c r="F21" s="1" t="s">
        <v>4135</v>
      </c>
      <c r="G21" s="1" t="s">
        <v>4135</v>
      </c>
      <c r="H21" s="1" t="s">
        <v>4135</v>
      </c>
      <c r="I21" s="1" t="s">
        <v>4135</v>
      </c>
      <c r="J21" s="1" t="s">
        <v>4135</v>
      </c>
      <c r="K21" s="1" t="s">
        <v>4135</v>
      </c>
      <c r="L21" s="1" t="s">
        <v>4135</v>
      </c>
      <c r="M21" s="1" t="s">
        <v>4135</v>
      </c>
      <c r="N21" s="1" t="s">
        <v>4135</v>
      </c>
      <c r="O21" s="1" t="s">
        <v>4135</v>
      </c>
      <c r="P21" s="1" t="s">
        <v>4135</v>
      </c>
      <c r="Q21" s="1" t="s">
        <v>4135</v>
      </c>
      <c r="R21" s="1" t="s">
        <v>4135</v>
      </c>
      <c r="S21" s="1" t="s">
        <v>4135</v>
      </c>
      <c r="T21" s="1" t="s">
        <v>4135</v>
      </c>
      <c r="U21" s="1" t="s">
        <v>4135</v>
      </c>
    </row>
    <row customFormat="1" r="22" s="1" spans="1:21" x14ac:dyDescent="0.25">
      <c r="A22" s="1" t="s">
        <v>4116</v>
      </c>
      <c r="E22" s="1" t="s">
        <v>4139</v>
      </c>
      <c r="F22" s="1" t="s">
        <v>4139</v>
      </c>
      <c r="G22" s="1" t="s">
        <v>4139</v>
      </c>
      <c r="H22" s="1" t="s">
        <v>4139</v>
      </c>
      <c r="I22" s="1" t="s">
        <v>4139</v>
      </c>
      <c r="J22" s="1" t="s">
        <v>4139</v>
      </c>
      <c r="K22" s="1" t="s">
        <v>4139</v>
      </c>
      <c r="L22" s="1" t="s">
        <v>4139</v>
      </c>
      <c r="M22" s="1" t="s">
        <v>4139</v>
      </c>
      <c r="N22" s="1" t="s">
        <v>4139</v>
      </c>
      <c r="O22" s="1" t="s">
        <v>4139</v>
      </c>
      <c r="P22" s="1" t="s">
        <v>4139</v>
      </c>
      <c r="Q22" s="1" t="s">
        <v>4139</v>
      </c>
      <c r="R22" s="1" t="s">
        <v>4139</v>
      </c>
      <c r="S22" s="1" t="s">
        <v>4139</v>
      </c>
      <c r="T22" s="1" t="s">
        <v>4139</v>
      </c>
      <c r="U22" s="1" t="s">
        <v>4139</v>
      </c>
    </row>
    <row customFormat="1" r="23" s="1" spans="1:21" x14ac:dyDescent="0.25">
      <c r="A23" s="1" t="s">
        <v>4117</v>
      </c>
      <c r="C23" s="2"/>
      <c r="D23" s="2"/>
      <c r="E23" s="2" t="s">
        <v>4141</v>
      </c>
      <c r="F23" s="2" t="s">
        <v>4141</v>
      </c>
      <c r="G23" s="2" t="s">
        <v>4141</v>
      </c>
      <c r="H23" s="2" t="s">
        <v>4141</v>
      </c>
      <c r="I23" s="2" t="s">
        <v>4141</v>
      </c>
      <c r="J23" s="2" t="s">
        <v>4141</v>
      </c>
      <c r="K23" s="2" t="s">
        <v>4141</v>
      </c>
      <c r="L23" s="2" t="s">
        <v>4141</v>
      </c>
      <c r="M23" s="2" t="s">
        <v>4141</v>
      </c>
      <c r="N23" s="2" t="s">
        <v>4141</v>
      </c>
      <c r="O23" s="2" t="s">
        <v>4141</v>
      </c>
      <c r="P23" s="2" t="s">
        <v>4141</v>
      </c>
      <c r="Q23" s="2" t="s">
        <v>4141</v>
      </c>
      <c r="R23" s="2" t="s">
        <v>4141</v>
      </c>
      <c r="S23" s="2" t="s">
        <v>4141</v>
      </c>
      <c r="T23" s="2" t="s">
        <v>4141</v>
      </c>
      <c r="U23" s="2" t="s">
        <v>4141</v>
      </c>
    </row>
    <row customFormat="1" r="24" s="1" spans="1:21" x14ac:dyDescent="0.25">
      <c r="A24" s="18" t="s">
        <v>4113</v>
      </c>
      <c r="C24" s="2"/>
      <c r="D24" s="2"/>
      <c r="E24" s="2"/>
      <c r="F24" s="2" t="s">
        <v>4140</v>
      </c>
      <c r="G24" s="2" t="s">
        <v>4140</v>
      </c>
      <c r="H24" s="2" t="s">
        <v>4140</v>
      </c>
      <c r="I24" s="2" t="s">
        <v>4140</v>
      </c>
      <c r="J24" s="2" t="s">
        <v>4140</v>
      </c>
      <c r="K24" s="2" t="s">
        <v>4140</v>
      </c>
      <c r="L24" s="2" t="s">
        <v>4140</v>
      </c>
      <c r="M24" s="2" t="s">
        <v>4140</v>
      </c>
      <c r="N24" s="2" t="s">
        <v>4140</v>
      </c>
      <c r="O24" s="2" t="s">
        <v>4140</v>
      </c>
      <c r="P24" s="2" t="s">
        <v>4140</v>
      </c>
      <c r="Q24" s="2" t="s">
        <v>4140</v>
      </c>
      <c r="R24" s="2" t="s">
        <v>4140</v>
      </c>
      <c r="S24" s="2" t="s">
        <v>4140</v>
      </c>
      <c r="T24" s="2" t="s">
        <v>4140</v>
      </c>
      <c r="U24" s="2" t="s">
        <v>4140</v>
      </c>
    </row>
    <row customFormat="1" r="25" s="1" spans="1:21" x14ac:dyDescent="0.25">
      <c r="A25" s="1" t="s">
        <v>4118</v>
      </c>
    </row>
    <row customFormat="1" r="26" s="1" spans="1:21" x14ac:dyDescent="0.25">
      <c r="A26" s="1" t="s">
        <v>14</v>
      </c>
      <c r="E26" s="1" t="s">
        <v>43</v>
      </c>
    </row>
    <row customFormat="1" r="27" s="1" spans="1:21" x14ac:dyDescent="0.25">
      <c r="A27" s="1" t="s">
        <v>15</v>
      </c>
      <c r="E27" s="1" t="s">
        <v>4142</v>
      </c>
      <c r="F27" s="1" t="s">
        <v>4142</v>
      </c>
      <c r="G27" s="1" t="s">
        <v>4142</v>
      </c>
      <c r="H27" s="1" t="s">
        <v>4142</v>
      </c>
      <c r="I27" s="1" t="s">
        <v>4142</v>
      </c>
      <c r="J27" s="1" t="s">
        <v>4142</v>
      </c>
      <c r="K27" s="1" t="s">
        <v>4142</v>
      </c>
      <c r="L27" s="1" t="s">
        <v>4142</v>
      </c>
      <c r="M27" s="1" t="s">
        <v>4142</v>
      </c>
      <c r="N27" s="1" t="s">
        <v>4142</v>
      </c>
      <c r="O27" s="1" t="s">
        <v>4142</v>
      </c>
      <c r="P27" s="1" t="s">
        <v>4142</v>
      </c>
      <c r="Q27" s="1" t="s">
        <v>4142</v>
      </c>
      <c r="R27" s="1" t="s">
        <v>4142</v>
      </c>
      <c r="S27" s="1" t="s">
        <v>4142</v>
      </c>
      <c r="T27" s="1" t="s">
        <v>4142</v>
      </c>
      <c r="U27" s="1" t="s">
        <v>4142</v>
      </c>
    </row>
    <row customFormat="1" r="28" s="1" spans="1:21" x14ac:dyDescent="0.25">
      <c r="A28" s="1" t="s">
        <v>17</v>
      </c>
      <c r="E28" s="1">
        <v>23</v>
      </c>
      <c r="F28" s="1">
        <v>23</v>
      </c>
      <c r="G28" s="1">
        <v>23</v>
      </c>
      <c r="H28" s="1">
        <v>23</v>
      </c>
      <c r="I28" s="1">
        <v>23</v>
      </c>
      <c r="J28" s="1">
        <v>23</v>
      </c>
      <c r="K28" s="1">
        <v>23</v>
      </c>
      <c r="L28" s="1">
        <v>23</v>
      </c>
      <c r="M28" s="1">
        <v>23</v>
      </c>
      <c r="N28" s="1">
        <v>23</v>
      </c>
      <c r="O28" s="1">
        <v>23</v>
      </c>
      <c r="P28" s="1">
        <v>23</v>
      </c>
      <c r="Q28" s="1">
        <v>23</v>
      </c>
      <c r="R28" s="1">
        <v>23</v>
      </c>
      <c r="S28" s="1">
        <v>23</v>
      </c>
      <c r="T28" s="1">
        <v>23</v>
      </c>
      <c r="U28" s="1">
        <v>23</v>
      </c>
    </row>
    <row customFormat="1" r="29" s="1" spans="1:21" x14ac:dyDescent="0.25">
      <c r="A29" s="1" t="s">
        <v>18</v>
      </c>
      <c r="E29" s="1">
        <v>22</v>
      </c>
      <c r="F29" s="1">
        <v>22</v>
      </c>
      <c r="G29" s="1">
        <v>22</v>
      </c>
      <c r="H29" s="1">
        <v>22</v>
      </c>
      <c r="I29" s="1">
        <v>22</v>
      </c>
      <c r="J29" s="1">
        <v>22</v>
      </c>
      <c r="K29" s="1">
        <v>22</v>
      </c>
      <c r="L29" s="1">
        <v>22</v>
      </c>
      <c r="M29" s="1">
        <v>22</v>
      </c>
      <c r="N29" s="1">
        <v>22</v>
      </c>
      <c r="O29" s="1">
        <v>22</v>
      </c>
      <c r="P29" s="1">
        <v>22</v>
      </c>
      <c r="Q29" s="1">
        <v>22</v>
      </c>
      <c r="R29" s="1">
        <v>22</v>
      </c>
      <c r="S29" s="1">
        <v>22</v>
      </c>
      <c r="T29" s="1">
        <v>22</v>
      </c>
      <c r="U29" s="1">
        <v>22</v>
      </c>
    </row>
    <row customFormat="1" r="30" s="1" spans="1:21" x14ac:dyDescent="0.25">
      <c r="A30" s="1" t="s">
        <v>19</v>
      </c>
      <c r="E30" s="1">
        <v>11530</v>
      </c>
      <c r="F30" s="1">
        <v>11530</v>
      </c>
      <c r="G30" s="1">
        <v>11530</v>
      </c>
      <c r="H30" s="1">
        <v>11530</v>
      </c>
      <c r="I30" s="1">
        <v>11530</v>
      </c>
      <c r="J30" s="1">
        <v>11530</v>
      </c>
      <c r="K30" s="1">
        <v>11530</v>
      </c>
      <c r="L30" s="1">
        <v>11530</v>
      </c>
      <c r="M30" s="1">
        <v>11530</v>
      </c>
      <c r="N30" s="1">
        <v>11530</v>
      </c>
      <c r="O30" s="1">
        <v>11530</v>
      </c>
      <c r="P30" s="1">
        <v>11530</v>
      </c>
      <c r="Q30" s="1">
        <v>11530</v>
      </c>
      <c r="R30" s="1">
        <v>11530</v>
      </c>
      <c r="S30" s="1">
        <v>11530</v>
      </c>
      <c r="T30" s="1">
        <v>11530</v>
      </c>
      <c r="U30" s="1">
        <v>11530</v>
      </c>
    </row>
    <row customFormat="1" r="31" s="1" spans="1:21" x14ac:dyDescent="0.25">
      <c r="A31" s="1" t="s">
        <v>22</v>
      </c>
      <c r="E31" s="1" t="s">
        <v>4143</v>
      </c>
      <c r="F31" s="1" t="s">
        <v>4143</v>
      </c>
      <c r="G31" s="1" t="s">
        <v>4143</v>
      </c>
      <c r="H31" s="1" t="s">
        <v>4143</v>
      </c>
      <c r="I31" s="1" t="s">
        <v>4143</v>
      </c>
      <c r="J31" s="1" t="s">
        <v>4143</v>
      </c>
      <c r="K31" s="1" t="s">
        <v>4143</v>
      </c>
      <c r="L31" s="1" t="s">
        <v>4143</v>
      </c>
      <c r="M31" s="1" t="s">
        <v>4143</v>
      </c>
      <c r="N31" s="1" t="s">
        <v>4143</v>
      </c>
      <c r="O31" s="1" t="s">
        <v>4143</v>
      </c>
      <c r="P31" s="1" t="s">
        <v>4143</v>
      </c>
      <c r="Q31" s="1" t="s">
        <v>4143</v>
      </c>
      <c r="R31" s="1" t="s">
        <v>4143</v>
      </c>
      <c r="S31" s="1" t="s">
        <v>4143</v>
      </c>
      <c r="T31" s="1" t="s">
        <v>4143</v>
      </c>
      <c r="U31" s="1" t="s">
        <v>4143</v>
      </c>
    </row>
    <row customFormat="1" r="32" s="1" spans="1:21" x14ac:dyDescent="0.25">
      <c r="A32" s="1" t="s">
        <v>20</v>
      </c>
      <c r="E32" s="1" t="s">
        <v>4143</v>
      </c>
      <c r="F32" s="1" t="s">
        <v>4143</v>
      </c>
      <c r="G32" s="1" t="s">
        <v>4143</v>
      </c>
      <c r="H32" s="1" t="s">
        <v>4143</v>
      </c>
      <c r="I32" s="1" t="s">
        <v>4143</v>
      </c>
      <c r="J32" s="1" t="s">
        <v>4143</v>
      </c>
      <c r="K32" s="1" t="s">
        <v>4143</v>
      </c>
      <c r="L32" s="1" t="s">
        <v>4143</v>
      </c>
      <c r="M32" s="1" t="s">
        <v>4143</v>
      </c>
      <c r="N32" s="1" t="s">
        <v>4143</v>
      </c>
      <c r="O32" s="1" t="s">
        <v>4143</v>
      </c>
      <c r="P32" s="1" t="s">
        <v>4143</v>
      </c>
      <c r="Q32" s="1" t="s">
        <v>4143</v>
      </c>
      <c r="R32" s="1" t="s">
        <v>4143</v>
      </c>
      <c r="S32" s="1" t="s">
        <v>4143</v>
      </c>
      <c r="T32" s="1" t="s">
        <v>4143</v>
      </c>
      <c r="U32" s="1" t="s">
        <v>4143</v>
      </c>
    </row>
    <row customFormat="1" r="33" s="1" spans="1:21" x14ac:dyDescent="0.25">
      <c r="A33" s="1" t="s">
        <v>23</v>
      </c>
      <c r="E33" s="1" t="s">
        <v>4144</v>
      </c>
      <c r="F33" s="1" t="s">
        <v>4144</v>
      </c>
      <c r="G33" s="1" t="s">
        <v>4144</v>
      </c>
      <c r="H33" s="1" t="s">
        <v>4144</v>
      </c>
      <c r="I33" s="1" t="s">
        <v>4144</v>
      </c>
      <c r="J33" s="1" t="s">
        <v>4144</v>
      </c>
      <c r="K33" s="1" t="s">
        <v>4144</v>
      </c>
      <c r="L33" s="1" t="s">
        <v>4144</v>
      </c>
      <c r="M33" s="1" t="s">
        <v>4144</v>
      </c>
      <c r="N33" s="1" t="s">
        <v>4144</v>
      </c>
      <c r="O33" s="1" t="s">
        <v>4144</v>
      </c>
      <c r="P33" s="1" t="s">
        <v>4144</v>
      </c>
      <c r="Q33" s="1" t="s">
        <v>4144</v>
      </c>
      <c r="R33" s="1" t="s">
        <v>4144</v>
      </c>
      <c r="S33" s="1" t="s">
        <v>4144</v>
      </c>
      <c r="T33" s="1" t="s">
        <v>4144</v>
      </c>
      <c r="U33" s="1" t="s">
        <v>4144</v>
      </c>
    </row>
    <row customFormat="1" r="34" s="1" spans="1:21" x14ac:dyDescent="0.25">
      <c r="A34" s="1" t="s">
        <v>249</v>
      </c>
    </row>
    <row customFormat="1" r="35" s="1" spans="1:21" x14ac:dyDescent="0.25">
      <c r="A35" s="1" t="s">
        <v>250</v>
      </c>
    </row>
    <row customFormat="1" r="36" s="1" spans="1:21" x14ac:dyDescent="0.25">
      <c r="A36" s="1" t="s">
        <v>251</v>
      </c>
    </row>
    <row customFormat="1" r="37" s="1" spans="1:21" x14ac:dyDescent="0.25">
      <c r="A37" s="1" t="s">
        <v>252</v>
      </c>
    </row>
    <row customFormat="1" r="38" s="1" spans="1:21" x14ac:dyDescent="0.25">
      <c r="A38" s="1" t="s">
        <v>253</v>
      </c>
    </row>
    <row customFormat="1" r="39" s="1" spans="1:21" x14ac:dyDescent="0.25">
      <c r="A39" s="1" t="s">
        <v>254</v>
      </c>
    </row>
    <row customFormat="1" r="40" s="1" spans="1:21" x14ac:dyDescent="0.25">
      <c r="A40" s="1" t="s">
        <v>255</v>
      </c>
    </row>
    <row customFormat="1" r="41" s="1" spans="1:21" x14ac:dyDescent="0.25">
      <c r="A41" s="1" t="s">
        <v>256</v>
      </c>
    </row>
    <row customFormat="1" r="42" s="1" spans="1:21" x14ac:dyDescent="0.25">
      <c r="A42" s="1" t="s">
        <v>257</v>
      </c>
    </row>
  </sheetData>
  <conditionalFormatting sqref="C27:H39">
    <cfRule dxfId="79" priority="4" type="expression">
      <formula>AND(C$13&lt;&gt;"",C$13&lt;&gt;"Copy Address From")</formula>
    </cfRule>
  </conditionalFormatting>
  <conditionalFormatting sqref="C16:H16">
    <cfRule dxfId="78" priority="3" type="expression">
      <formula>C$13="LookUp"</formula>
    </cfRule>
  </conditionalFormatting>
  <conditionalFormatting sqref="I27:U39">
    <cfRule dxfId="77" priority="2" type="expression">
      <formula>AND(I$13&lt;&gt;"",I$13&lt;&gt;"Copy Address From")</formula>
    </cfRule>
  </conditionalFormatting>
  <conditionalFormatting sqref="I16:U16">
    <cfRule dxfId="76" priority="1" type="expression">
      <formula>I$13="LookUp"</formula>
    </cfRule>
  </conditionalFormatting>
  <dataValidations count="8">
    <dataValidation allowBlank="1" errorStyle="information" showErrorMessage="1" showInputMessage="1" sqref="C27:U27" type="custom">
      <formula1>ISBLANK(C$26)</formula1>
    </dataValidation>
    <dataValidation allowBlank="1" errorStyle="information" showErrorMessage="1" showInputMessage="1" sqref="C19:U19" type="list">
      <formula1>ListCusRel</formula1>
    </dataValidation>
    <dataValidation allowBlank="1" showErrorMessage="1" showInputMessage="1" sqref="C34:U39" type="custom">
      <formula1>ISBLANK(C$13)</formula1>
    </dataValidation>
    <dataValidation allowBlank="1" errorStyle="information" showErrorMessage="1" showInputMessage="1" sqref="C12:U12" type="list">
      <formula1>"Input Data, LookUp"</formula1>
    </dataValidation>
    <dataValidation errorStyle="information" showErrorMessage="1" showInputMessage="1" sqref="C16:U16" type="list">
      <formula1>ListIdType</formula1>
    </dataValidation>
    <dataValidation allowBlank="1" errorStyle="information" showErrorMessage="1" showInputMessage="1" sqref="C17:U18 C20:U24"/>
    <dataValidation allowBlank="1" errorStyle="information" showErrorMessage="1" showInputMessage="1" sqref="C26:U26" type="list">
      <formula1>"Job, Legal, Residence"</formula1>
    </dataValidation>
    <dataValidation allowBlank="1" errorStyle="information" showErrorMessage="1" showInputMessage="1" sqref="C28:U33" type="custom">
      <formula1>ISBLANK(C$13)</formula1>
    </dataValidation>
  </dataValidations>
  <hyperlinks>
    <hyperlink r:id="rId1" ref="E20"/>
    <hyperlink r:id="rId2" ref="F20"/>
    <hyperlink r:id="rId3" ref="G20"/>
    <hyperlink r:id="rId4" ref="H20"/>
    <hyperlink r:id="rId5" ref="I20"/>
    <hyperlink r:id="rId6" ref="J20"/>
    <hyperlink r:id="rId7" ref="K20"/>
    <hyperlink r:id="rId8" ref="L20"/>
    <hyperlink r:id="rId9" ref="M20"/>
    <hyperlink r:id="rId10" ref="N20"/>
    <hyperlink r:id="rId11" ref="O20"/>
    <hyperlink r:id="rId12" ref="P20"/>
    <hyperlink r:id="rId13" ref="Q20"/>
    <hyperlink r:id="rId14" ref="R20"/>
    <hyperlink r:id="rId15" ref="S20"/>
    <hyperlink r:id="rId16" ref="T20"/>
    <hyperlink r:id="rId17" ref="U20"/>
  </hyperlinks>
  <pageMargins bottom="0.75" footer="0.3" header="0.3" left="0.7" right="0.7" top="0.75"/>
  <pageSetup orientation="portrait" paperSize="9" r:id="rId18"/>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S36"/>
  <sheetViews>
    <sheetView topLeftCell="C1" workbookViewId="0">
      <selection activeCell="C9" sqref="C9"/>
    </sheetView>
  </sheetViews>
  <sheetFormatPr defaultRowHeight="15" x14ac:dyDescent="0.25"/>
  <cols>
    <col min="1" max="1" bestFit="true" customWidth="true" width="22.0" collapsed="true"/>
    <col min="2" max="6" bestFit="true" customWidth="true" width="19.85546875" collapsed="true"/>
    <col min="7" max="8" bestFit="true" customWidth="true" width="14.85546875" collapsed="true"/>
    <col min="17" max="17" customWidth="true" width="14.28515625" collapsed="false"/>
    <col min="18" max="18" customWidth="true" width="12.5703125" collapsed="false"/>
  </cols>
  <sheetData>
    <row customFormat="1" r="1" s="1" spans="1:18" x14ac:dyDescent="0.25">
      <c r="A1" s="1" t="s">
        <v>12</v>
      </c>
      <c r="B1" s="1" t="s">
        <v>3283</v>
      </c>
      <c r="C1" s="1" t="s">
        <v>3283</v>
      </c>
      <c r="D1" s="1" t="s">
        <v>3283</v>
      </c>
      <c r="E1" s="1" t="s">
        <v>3283</v>
      </c>
      <c r="F1" s="1" t="s">
        <v>3283</v>
      </c>
      <c r="G1" s="1" t="s">
        <v>3283</v>
      </c>
      <c r="H1" s="1" t="s">
        <v>3283</v>
      </c>
      <c r="I1" s="1" t="s">
        <v>3283</v>
      </c>
      <c r="J1" s="1" t="s">
        <v>3283</v>
      </c>
      <c r="K1" s="1" t="s">
        <v>3283</v>
      </c>
      <c r="L1" s="1" t="s">
        <v>3283</v>
      </c>
      <c r="M1" s="1" t="s">
        <v>3283</v>
      </c>
      <c r="N1" s="1" t="s">
        <v>3283</v>
      </c>
      <c r="O1" s="1" t="s">
        <v>3283</v>
      </c>
      <c r="P1" s="1" t="s">
        <v>3283</v>
      </c>
      <c r="Q1" s="1" t="s">
        <v>3283</v>
      </c>
      <c r="R1" s="1" t="s">
        <v>3283</v>
      </c>
    </row>
    <row customFormat="1" r="2" s="1" spans="1:18"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row>
    <row customFormat="1" r="3" s="1" spans="1:18" x14ac:dyDescent="0.25">
      <c r="A3" s="1" t="s">
        <v>4146</v>
      </c>
      <c r="B3" s="1" t="s">
        <v>4273</v>
      </c>
      <c r="C3" s="1" t="s">
        <v>4276</v>
      </c>
      <c r="D3" s="1" t="s">
        <v>4276</v>
      </c>
      <c r="E3" s="1" t="s">
        <v>4293</v>
      </c>
    </row>
    <row customFormat="1" r="4" s="1" spans="1:18" x14ac:dyDescent="0.25">
      <c r="A4" s="1" t="s">
        <v>4155</v>
      </c>
      <c r="B4" s="1">
        <f>IF(LEN(B12) &gt;0,COUNTIFS($A$12:$A$21,"*$*",B12:B21,""),0)+IF(LEN(B24)&gt;0,COUNTIFS($A$23:$A$30,"*$*",B23:B30,""),0)</f>
        <v>0</v>
      </c>
      <c r="C4" s="1">
        <f>IF(LEN(C12) &gt;0,COUNTIFS($A$12:$A$21,"*$*",C12:C21,""),0)+IF(LEN(C24)&gt;0,COUNTIFS($A$23:$A$30,"*$*",C23:C30,""),0)</f>
        <v>0</v>
      </c>
      <c r="D4" s="1">
        <f>IF(LEN(D12) &gt;0,COUNTIFS($A$12:$A$21,"*$*",D12:D21,""),0)+IF(LEN(D24)&gt;0,COUNTIFS($A$23:$A$30,"*$*",D23:D30,""),0)</f>
        <v>0</v>
      </c>
      <c r="E4" s="1">
        <f>IF(LEN(E12) &gt;0,COUNTIFS($A$12:$A$21,"*$*",E12:E21,""),0)+IF(LEN(E24)&gt;0,COUNTIFS($A$23:$A$30,"*$*",E23:E30,""),0)</f>
        <v>0</v>
      </c>
      <c r="F4" s="1">
        <f>IF(LEN(F12) &gt;0,COUNTIFS($A$12:$A$19,"*$*",F12:F19,""),0)+IF(LEN(F24)&gt;0,COUNTIFS($A$23:$A$30,"*$*",F23:F30,""),0)</f>
        <v>0</v>
      </c>
      <c r="G4" s="1">
        <f>IF(LEN(G12) &gt;0,COUNTIFS($A$12:$A$19,"*$*",G12:G19,""),0)+IF(LEN(G24)&gt;0,COUNTIFS($A$23:$A$30,"*$*",G23:G30,""),0)</f>
        <v>0</v>
      </c>
      <c r="H4" s="1">
        <f ref="H4:R4" si="0" t="shared">IF(LEN(H12) &gt;0,COUNTIFS($A$12:$A$19,"*$*",H12:H19,""),0)+IF(LEN(H24)&gt;0,COUNTIFS($A$23:$A$30,"*$*",H23:H30,""),0)</f>
        <v>0</v>
      </c>
      <c r="I4" s="1">
        <f si="0" t="shared"/>
        <v>0</v>
      </c>
      <c r="J4" s="1">
        <f si="0" t="shared"/>
        <v>0</v>
      </c>
      <c r="K4" s="1">
        <f si="0" t="shared"/>
        <v>0</v>
      </c>
      <c r="L4" s="1">
        <f si="0" t="shared"/>
        <v>0</v>
      </c>
      <c r="M4" s="1">
        <f si="0" t="shared"/>
        <v>0</v>
      </c>
      <c r="N4" s="1">
        <f si="0" t="shared"/>
        <v>0</v>
      </c>
      <c r="O4" s="1">
        <f si="0" t="shared"/>
        <v>0</v>
      </c>
      <c r="P4" s="1">
        <f si="0" t="shared"/>
        <v>0</v>
      </c>
      <c r="Q4" s="1">
        <f si="0" t="shared"/>
        <v>0</v>
      </c>
      <c r="R4" s="1">
        <f si="0" t="shared"/>
        <v>0</v>
      </c>
    </row>
    <row customFormat="1" r="5" s="1" spans="1:18" x14ac:dyDescent="0.25"/>
    <row customFormat="1" r="6" s="1" spans="1:18" x14ac:dyDescent="0.25"/>
    <row customFormat="1" r="7" s="1" spans="1:18" x14ac:dyDescent="0.25">
      <c r="F7"/>
      <c r="G7"/>
    </row>
    <row customFormat="1" r="8" s="30" spans="1:18" x14ac:dyDescent="0.25"/>
    <row customFormat="1" r="9" s="1" spans="1:18" x14ac:dyDescent="0.25">
      <c r="A9" s="1" t="s">
        <v>3558</v>
      </c>
      <c r="B9" s="1" t="str">
        <f>'1.CustomerDetail'!F12</f>
        <v>app1</v>
      </c>
      <c r="C9" s="1" t="str">
        <f>'1.CustomerDetail'!G12</f>
        <v>app1</v>
      </c>
      <c r="D9" s="1" t="str">
        <f>'1.CustomerDetail'!G12</f>
        <v>app1</v>
      </c>
      <c r="E9" s="1" t="str">
        <f>'1.CustomerDetail'!H12</f>
        <v>app1</v>
      </c>
      <c r="F9" s="1" t="str">
        <f>'1.CustomerDetail'!I12</f>
        <v>app2</v>
      </c>
      <c r="G9" s="1" t="str">
        <f>'1.CustomerDetail'!J12</f>
        <v>app3</v>
      </c>
      <c r="H9" s="1" t="str">
        <f>'1.CustomerDetail'!K12</f>
        <v>app4</v>
      </c>
      <c r="I9" s="1" t="str">
        <f>'1.CustomerDetail'!L12</f>
        <v>app5</v>
      </c>
      <c r="J9" s="1" t="str">
        <f>'1.CustomerDetail'!M12</f>
        <v>app6</v>
      </c>
      <c r="K9" s="1" t="str">
        <f>'1.CustomerDetail'!N12</f>
        <v>app7</v>
      </c>
      <c r="L9" s="1" t="str">
        <f>'1.CustomerDetail'!O12</f>
        <v>app8</v>
      </c>
      <c r="M9" s="1" t="str">
        <f>'1.CustomerDetail'!P12</f>
        <v>app9</v>
      </c>
      <c r="N9" s="1" t="str">
        <f>'1.CustomerDetail'!Q12</f>
        <v>app10</v>
      </c>
      <c r="O9" s="1" t="str">
        <f>'1.CustomerDetail'!R12</f>
        <v>app17</v>
      </c>
      <c r="P9" s="1" t="str">
        <f>'1.CustomerDetail'!S12</f>
        <v>app2</v>
      </c>
      <c r="Q9" s="1" t="str">
        <f>'1.CustomerDetail'!T12</f>
        <v>app10</v>
      </c>
      <c r="R9" s="1" t="str">
        <f>'1.CustomerDetail'!U12</f>
        <v>app22</v>
      </c>
    </row>
    <row customFormat="1" r="10" s="1" spans="1:18" x14ac:dyDescent="0.25">
      <c r="A10" s="1" t="s">
        <v>4215</v>
      </c>
      <c r="B10" s="1" t="str">
        <f>'1.CustomerDetail'!$F$13</f>
        <v>FT TIO</v>
      </c>
      <c r="C10" s="1" t="str">
        <f>'1.CustomerDetail'!$G$13</f>
        <v>FT TIO</v>
      </c>
      <c r="D10" s="1" t="str">
        <f>'1.CustomerDetail'!$G$13</f>
        <v>FT TIO</v>
      </c>
      <c r="E10" s="1" t="str">
        <f>'1.CustomerDetail'!$H$13</f>
        <v>FT TIO</v>
      </c>
      <c r="F10" s="1" t="str">
        <f>'1.CustomerDetail'!I$13</f>
        <v>FT TI</v>
      </c>
      <c r="G10" s="1" t="str">
        <f>'1.CustomerDetail'!J$13</f>
        <v>FT TIO</v>
      </c>
      <c r="H10" s="1" t="str">
        <f>'1.CustomerDetail'!K$13</f>
        <v>FT TI</v>
      </c>
      <c r="I10" s="1" t="str">
        <f>'1.CustomerDetail'!L$13</f>
        <v>FT TIO</v>
      </c>
      <c r="J10" s="1" t="str">
        <f>'1.CustomerDetail'!M$13</f>
        <v>FT MER</v>
      </c>
      <c r="K10" s="1" t="str">
        <f>'1.CustomerDetail'!N$13</f>
        <v>FT SUR</v>
      </c>
      <c r="L10" s="1" t="str">
        <f>'1.CustomerDetail'!O$13</f>
        <v>FT TIO</v>
      </c>
      <c r="M10" s="1" t="str">
        <f>'1.CustomerDetail'!P$13</f>
        <v>FT TIO</v>
      </c>
      <c r="N10" s="1" t="str">
        <f>'1.CustomerDetail'!Q$13</f>
        <v>FT TIO</v>
      </c>
      <c r="O10" s="1" t="str">
        <f>'1.CustomerDetail'!R$13</f>
        <v>FT SURYA</v>
      </c>
      <c r="P10" s="1" t="str">
        <f>'1.CustomerDetail'!S$13</f>
        <v>FT TI</v>
      </c>
      <c r="Q10" s="1" t="str">
        <f>'1.CustomerDetail'!T$13</f>
        <v>FT TIO</v>
      </c>
      <c r="R10" s="1" t="str">
        <f>'1.CustomerDetail'!U$13</f>
        <v>FT TIO</v>
      </c>
    </row>
    <row customFormat="1" r="11" s="33" spans="1:18" x14ac:dyDescent="0.25">
      <c r="A11" s="34" t="s">
        <v>3565</v>
      </c>
      <c r="B11" s="35"/>
      <c r="C11" s="35"/>
      <c r="D11" s="35"/>
      <c r="E11" s="35"/>
      <c r="F11" s="35"/>
      <c r="G11" s="35"/>
      <c r="H11" s="35"/>
      <c r="I11" s="35"/>
      <c r="J11" s="35"/>
      <c r="K11" s="35"/>
      <c r="L11" s="35"/>
      <c r="M11" s="35"/>
      <c r="N11" s="36"/>
    </row>
    <row customFormat="1" r="12" s="1" spans="1:18" x14ac:dyDescent="0.25">
      <c r="A12" s="18" t="s">
        <v>4173</v>
      </c>
      <c r="B12" s="24"/>
      <c r="C12" s="24">
        <v>5000000000</v>
      </c>
      <c r="D12" s="24">
        <v>5000000000</v>
      </c>
      <c r="E12" s="24">
        <v>3000000000</v>
      </c>
      <c r="F12" s="24">
        <v>3000000000</v>
      </c>
      <c r="G12" s="24">
        <v>3000000000</v>
      </c>
      <c r="H12" s="24">
        <v>3000000000</v>
      </c>
      <c r="I12" s="24">
        <v>3000000000</v>
      </c>
      <c r="J12" s="24">
        <v>3000000000</v>
      </c>
      <c r="K12" s="24">
        <v>3000000000</v>
      </c>
      <c r="L12" s="24">
        <v>3000000000</v>
      </c>
      <c r="M12" s="24">
        <v>3000000000</v>
      </c>
      <c r="N12" s="24">
        <v>3000000000</v>
      </c>
      <c r="O12" s="24">
        <v>3000000000</v>
      </c>
      <c r="P12" s="24">
        <v>3000000000</v>
      </c>
      <c r="Q12" s="24">
        <v>3000000000</v>
      </c>
      <c r="R12" s="24">
        <v>3000000000</v>
      </c>
    </row>
    <row customFormat="1" r="13" s="1" spans="1:18" x14ac:dyDescent="0.25">
      <c r="A13" s="1" t="s">
        <v>44</v>
      </c>
      <c r="B13" s="24"/>
      <c r="C13" s="24">
        <v>5000000000</v>
      </c>
      <c r="D13" s="24">
        <v>5000000000</v>
      </c>
      <c r="E13" s="24">
        <v>3000000000</v>
      </c>
      <c r="F13" s="24">
        <v>3000000000</v>
      </c>
      <c r="G13" s="24">
        <v>3000000000</v>
      </c>
      <c r="H13" s="24">
        <v>3000000000</v>
      </c>
      <c r="I13" s="24">
        <v>3000000000</v>
      </c>
      <c r="J13" s="24">
        <v>3000000000</v>
      </c>
      <c r="K13" s="24">
        <v>3000000000</v>
      </c>
      <c r="L13" s="24">
        <v>3000000000</v>
      </c>
      <c r="M13" s="24">
        <v>3000000000</v>
      </c>
      <c r="N13" s="24">
        <v>3000000000</v>
      </c>
      <c r="O13" s="24">
        <v>3000000000</v>
      </c>
      <c r="P13" s="24">
        <v>3000000000</v>
      </c>
      <c r="Q13" s="24">
        <v>3000000000</v>
      </c>
      <c r="R13" s="24">
        <v>3000000000</v>
      </c>
    </row>
    <row customFormat="1" r="14" s="1" spans="1:18" x14ac:dyDescent="0.25">
      <c r="A14" s="1" t="s">
        <v>45</v>
      </c>
      <c r="C14" s="1" t="s">
        <v>46</v>
      </c>
      <c r="D14" s="1" t="s">
        <v>46</v>
      </c>
      <c r="E14" s="1" t="s">
        <v>4284</v>
      </c>
      <c r="F14" s="1" t="s">
        <v>4284</v>
      </c>
      <c r="G14" s="1" t="s">
        <v>4284</v>
      </c>
      <c r="H14" s="1" t="s">
        <v>4284</v>
      </c>
      <c r="I14" s="1" t="s">
        <v>4284</v>
      </c>
      <c r="J14" s="1" t="s">
        <v>4284</v>
      </c>
      <c r="K14" s="1" t="s">
        <v>4284</v>
      </c>
      <c r="L14" s="1" t="s">
        <v>4284</v>
      </c>
      <c r="M14" s="1" t="s">
        <v>4284</v>
      </c>
      <c r="N14" s="1" t="s">
        <v>4284</v>
      </c>
      <c r="O14" s="1" t="s">
        <v>4284</v>
      </c>
      <c r="P14" s="1" t="s">
        <v>4284</v>
      </c>
      <c r="Q14" s="1" t="s">
        <v>4284</v>
      </c>
      <c r="R14" s="1" t="s">
        <v>4284</v>
      </c>
    </row>
    <row customFormat="1" r="15" s="1" spans="1:18" x14ac:dyDescent="0.25">
      <c r="A15" s="1" t="s">
        <v>47</v>
      </c>
      <c r="B15" s="11"/>
      <c r="C15" s="11">
        <v>15000000</v>
      </c>
      <c r="D15" s="11">
        <v>15000000</v>
      </c>
      <c r="E15" s="11">
        <v>20000000</v>
      </c>
      <c r="F15" s="11">
        <v>20000000</v>
      </c>
      <c r="G15" s="11">
        <v>20000000</v>
      </c>
      <c r="H15" s="11">
        <v>20000000</v>
      </c>
      <c r="I15" s="11">
        <v>20000000</v>
      </c>
      <c r="J15" s="11">
        <v>20000000</v>
      </c>
      <c r="K15" s="11">
        <v>20000000</v>
      </c>
      <c r="L15" s="11">
        <v>20000000</v>
      </c>
      <c r="M15" s="11">
        <v>20000000</v>
      </c>
      <c r="N15" s="11">
        <v>20000000</v>
      </c>
      <c r="O15" s="11">
        <v>20000000</v>
      </c>
      <c r="P15" s="11">
        <v>20000000</v>
      </c>
      <c r="Q15" s="11">
        <v>20000000</v>
      </c>
      <c r="R15" s="11">
        <v>20000000</v>
      </c>
    </row>
    <row customFormat="1" r="16" s="1" spans="1:18" x14ac:dyDescent="0.25">
      <c r="A16" s="1" t="s">
        <v>48</v>
      </c>
      <c r="B16" s="11"/>
      <c r="C16" s="11">
        <v>15000000</v>
      </c>
      <c r="D16" s="11">
        <v>15000000</v>
      </c>
      <c r="E16" s="11">
        <v>20000000</v>
      </c>
      <c r="F16" s="11">
        <v>20000000</v>
      </c>
      <c r="G16" s="11">
        <v>20000000</v>
      </c>
      <c r="H16" s="11">
        <v>20000000</v>
      </c>
      <c r="I16" s="11">
        <v>20000000</v>
      </c>
      <c r="J16" s="11">
        <v>20000000</v>
      </c>
      <c r="K16" s="11">
        <v>20000000</v>
      </c>
      <c r="L16" s="11">
        <v>20000000</v>
      </c>
      <c r="M16" s="11">
        <v>20000000</v>
      </c>
      <c r="N16" s="11">
        <v>20000000</v>
      </c>
      <c r="O16" s="11">
        <v>20000000</v>
      </c>
      <c r="P16" s="11">
        <v>20000000</v>
      </c>
      <c r="Q16" s="11">
        <v>20000000</v>
      </c>
      <c r="R16" s="11">
        <v>20000000</v>
      </c>
    </row>
    <row customFormat="1" r="17" s="1" spans="1:18" x14ac:dyDescent="0.25">
      <c r="A17" s="18" t="s">
        <v>4174</v>
      </c>
      <c r="B17" s="22"/>
      <c r="C17" s="22" t="s">
        <v>4256</v>
      </c>
      <c r="D17" s="22" t="s">
        <v>4285</v>
      </c>
      <c r="E17" s="22" t="s">
        <v>4256</v>
      </c>
      <c r="F17" s="22" t="s">
        <v>4256</v>
      </c>
      <c r="G17" s="22" t="s">
        <v>4256</v>
      </c>
      <c r="H17" s="22" t="s">
        <v>4256</v>
      </c>
      <c r="I17" s="22" t="s">
        <v>4256</v>
      </c>
      <c r="J17" s="22" t="s">
        <v>4256</v>
      </c>
      <c r="K17" s="22" t="s">
        <v>4256</v>
      </c>
      <c r="L17" s="22" t="s">
        <v>4256</v>
      </c>
      <c r="M17" s="22" t="s">
        <v>4256</v>
      </c>
      <c r="N17" s="22" t="s">
        <v>4256</v>
      </c>
      <c r="O17" s="22" t="s">
        <v>4256</v>
      </c>
      <c r="P17" s="22" t="s">
        <v>4256</v>
      </c>
      <c r="Q17" s="22" t="s">
        <v>4256</v>
      </c>
      <c r="R17" s="22" t="s">
        <v>4256</v>
      </c>
    </row>
    <row customFormat="1" r="18" s="1" spans="1:18" x14ac:dyDescent="0.25">
      <c r="A18" s="1" t="s">
        <v>4076</v>
      </c>
      <c r="B18" s="24"/>
      <c r="C18" s="24"/>
      <c r="D18" s="24"/>
      <c r="E18" s="24"/>
      <c r="F18" s="24"/>
      <c r="G18" s="24"/>
      <c r="H18" s="24"/>
      <c r="I18" s="24"/>
      <c r="J18" s="24"/>
      <c r="K18" s="24"/>
      <c r="L18" s="24"/>
      <c r="M18" s="24"/>
      <c r="N18" s="24"/>
      <c r="O18" s="24"/>
      <c r="P18" s="24"/>
      <c r="Q18" s="24"/>
      <c r="R18" s="24"/>
    </row>
    <row customFormat="1" r="19" s="1" spans="1:18" x14ac:dyDescent="0.25">
      <c r="A19" s="1" t="s">
        <v>4077</v>
      </c>
      <c r="B19" s="2"/>
      <c r="C19" s="2"/>
      <c r="D19" s="2"/>
      <c r="E19" s="2"/>
      <c r="F19" s="2"/>
      <c r="G19" s="2"/>
      <c r="H19" s="2"/>
      <c r="I19" s="2"/>
      <c r="J19" s="2"/>
      <c r="K19" s="2"/>
      <c r="L19" s="2"/>
      <c r="M19" s="2"/>
      <c r="N19" s="2"/>
      <c r="O19" s="2"/>
      <c r="P19" s="2"/>
      <c r="Q19" s="2"/>
      <c r="R19" s="2"/>
    </row>
    <row customFormat="1" r="20" s="34" spans="1:18" x14ac:dyDescent="0.25">
      <c r="A20" s="34" t="s">
        <v>3566</v>
      </c>
      <c r="B20" s="35"/>
      <c r="C20" s="35"/>
      <c r="D20" s="35"/>
      <c r="E20" s="35"/>
      <c r="F20" s="35"/>
      <c r="G20" s="35"/>
      <c r="H20" s="35"/>
      <c r="I20" s="35"/>
      <c r="J20" s="35"/>
      <c r="K20" s="35"/>
      <c r="L20" s="35"/>
      <c r="M20" s="35"/>
      <c r="N20" s="35"/>
      <c r="O20" s="35"/>
      <c r="P20" s="35"/>
      <c r="Q20" s="35"/>
      <c r="R20" s="35"/>
    </row>
    <row customFormat="1" r="21" s="1" spans="1:18" x14ac:dyDescent="0.25">
      <c r="A21" s="1" t="s">
        <v>49</v>
      </c>
      <c r="C21" s="1">
        <v>20000000</v>
      </c>
      <c r="D21" s="1">
        <v>20000000</v>
      </c>
      <c r="E21" s="1">
        <v>20000000</v>
      </c>
      <c r="F21" s="1">
        <v>20000000</v>
      </c>
      <c r="G21" s="1">
        <v>20000000</v>
      </c>
      <c r="H21" s="1">
        <v>20000000</v>
      </c>
      <c r="I21" s="1">
        <v>20000000</v>
      </c>
      <c r="J21" s="1">
        <v>20000000</v>
      </c>
      <c r="K21" s="1">
        <v>20000000</v>
      </c>
      <c r="L21" s="1">
        <v>20000000</v>
      </c>
      <c r="M21" s="1">
        <v>20000000</v>
      </c>
      <c r="N21" s="1">
        <v>20000000</v>
      </c>
      <c r="O21" s="1">
        <v>20000000</v>
      </c>
      <c r="P21" s="1">
        <v>20000000</v>
      </c>
      <c r="Q21" s="1">
        <v>20000000</v>
      </c>
      <c r="R21" s="1">
        <v>20000000</v>
      </c>
    </row>
    <row customFormat="1" r="22" s="33" spans="1:18" x14ac:dyDescent="0.25">
      <c r="A22" s="34" t="s">
        <v>3567</v>
      </c>
      <c r="B22" s="35"/>
      <c r="C22" s="35"/>
      <c r="D22" s="35"/>
      <c r="E22" s="35"/>
      <c r="F22" s="35"/>
      <c r="G22" s="35"/>
      <c r="H22" s="35"/>
      <c r="I22" s="35"/>
      <c r="J22" s="35"/>
      <c r="K22" s="35"/>
      <c r="L22" s="35"/>
      <c r="M22" s="35"/>
      <c r="N22" s="35"/>
      <c r="O22" s="35"/>
      <c r="P22" s="35"/>
      <c r="Q22" s="35"/>
      <c r="R22" s="35"/>
    </row>
    <row customFormat="1" r="23" s="1" spans="1:18" x14ac:dyDescent="0.25">
      <c r="A23" s="19" t="s">
        <v>50</v>
      </c>
      <c r="B23" s="2"/>
      <c r="C23" s="2" t="str">
        <f>VLOOKUP(C24,Master!$J$1:$K$206,2,FALSE)</f>
        <v>009</v>
      </c>
      <c r="D23" s="2" t="str">
        <f>VLOOKUP(D24,Master!$J$1:$K$206,2,FALSE)</f>
        <v>011</v>
      </c>
      <c r="E23" s="2" t="str">
        <f>VLOOKUP(E24,Master!$J$1:$K$206,2,FALSE)</f>
        <v>009</v>
      </c>
      <c r="F23" s="2" t="str">
        <f>VLOOKUP(F24,Master!$J$1:$K$206,2,FALSE)</f>
        <v>009</v>
      </c>
      <c r="G23" s="2" t="str">
        <f>VLOOKUP(G24,Master!$J$1:$K$206,2,FALSE)</f>
        <v>009</v>
      </c>
      <c r="H23" s="2" t="str">
        <f>VLOOKUP(H24,Master!$J$1:$K$206,2,FALSE)</f>
        <v>009</v>
      </c>
      <c r="I23" s="2" t="str">
        <f>VLOOKUP(I24,Master!$J$1:$K$206,2,FALSE)</f>
        <v>009</v>
      </c>
      <c r="J23" s="2" t="str">
        <f>VLOOKUP(J24,Master!$J$1:$K$206,2,FALSE)</f>
        <v>009</v>
      </c>
      <c r="K23" s="2" t="str">
        <f>VLOOKUP(K24,Master!$J$1:$K$206,2,FALSE)</f>
        <v>009</v>
      </c>
      <c r="L23" s="2" t="str">
        <f>VLOOKUP(L24,Master!$J$1:$K$206,2,FALSE)</f>
        <v>009</v>
      </c>
      <c r="M23" s="2" t="str">
        <f>VLOOKUP(M24,Master!$J$1:$K$206,2,FALSE)</f>
        <v>009</v>
      </c>
      <c r="N23" s="2" t="str">
        <f>VLOOKUP(N24,Master!$J$1:$K$206,2,FALSE)</f>
        <v>009</v>
      </c>
      <c r="O23" s="2" t="str">
        <f>VLOOKUP(O24,Master!$J$1:$K$206,2,FALSE)</f>
        <v>009</v>
      </c>
      <c r="P23" s="2" t="str">
        <f>VLOOKUP(P24,Master!$J$1:$K$206,2,FALSE)</f>
        <v>009</v>
      </c>
      <c r="Q23" s="2" t="str">
        <f>VLOOKUP(Q24,Master!$J$1:$K$206,2,FALSE)</f>
        <v>009</v>
      </c>
      <c r="R23" s="2" t="str">
        <f>VLOOKUP(R24,Master!$J$1:$K$206,2,FALSE)</f>
        <v>009</v>
      </c>
    </row>
    <row customFormat="1" r="24" s="1" spans="1:18" x14ac:dyDescent="0.25">
      <c r="A24" s="17" t="s">
        <v>4217</v>
      </c>
      <c r="B24" s="2"/>
      <c r="C24" s="2" t="s">
        <v>342</v>
      </c>
      <c r="D24" s="2" t="s">
        <v>343</v>
      </c>
      <c r="E24" s="2" t="s">
        <v>342</v>
      </c>
      <c r="F24" s="2" t="s">
        <v>342</v>
      </c>
      <c r="G24" s="2" t="s">
        <v>342</v>
      </c>
      <c r="H24" s="2" t="s">
        <v>342</v>
      </c>
      <c r="I24" s="2" t="s">
        <v>342</v>
      </c>
      <c r="J24" s="2" t="s">
        <v>342</v>
      </c>
      <c r="K24" s="2" t="s">
        <v>342</v>
      </c>
      <c r="L24" s="2" t="s">
        <v>342</v>
      </c>
      <c r="M24" s="2" t="s">
        <v>342</v>
      </c>
      <c r="N24" s="2" t="s">
        <v>342</v>
      </c>
      <c r="O24" s="2" t="s">
        <v>342</v>
      </c>
      <c r="P24" s="2" t="s">
        <v>342</v>
      </c>
      <c r="Q24" s="2" t="s">
        <v>342</v>
      </c>
      <c r="R24" s="2" t="s">
        <v>342</v>
      </c>
    </row>
    <row customFormat="1" r="25" s="1" spans="1:18" x14ac:dyDescent="0.25">
      <c r="A25" s="17" t="s">
        <v>4218</v>
      </c>
      <c r="C25" s="1" t="s">
        <v>4222</v>
      </c>
      <c r="D25" s="1" t="s">
        <v>4286</v>
      </c>
      <c r="E25" s="1" t="s">
        <v>4222</v>
      </c>
      <c r="F25" s="1" t="s">
        <v>4222</v>
      </c>
      <c r="G25" s="1" t="s">
        <v>4222</v>
      </c>
      <c r="H25" s="1" t="s">
        <v>4222</v>
      </c>
      <c r="I25" s="1" t="s">
        <v>4222</v>
      </c>
      <c r="J25" s="1" t="s">
        <v>4222</v>
      </c>
      <c r="K25" s="1" t="s">
        <v>4222</v>
      </c>
      <c r="L25" s="1" t="s">
        <v>4222</v>
      </c>
      <c r="M25" s="1" t="s">
        <v>4222</v>
      </c>
      <c r="N25" s="1" t="s">
        <v>4222</v>
      </c>
      <c r="O25" s="1" t="s">
        <v>4222</v>
      </c>
      <c r="P25" s="1" t="s">
        <v>4222</v>
      </c>
      <c r="Q25" s="1" t="s">
        <v>4222</v>
      </c>
      <c r="R25" s="1" t="s">
        <v>4222</v>
      </c>
    </row>
    <row customFormat="1" r="26" s="1" spans="1:18" x14ac:dyDescent="0.25">
      <c r="A26" s="17" t="s">
        <v>4219</v>
      </c>
      <c r="C26" s="1" t="s">
        <v>4223</v>
      </c>
      <c r="D26" s="1" t="s">
        <v>4287</v>
      </c>
      <c r="E26" s="1" t="s">
        <v>4223</v>
      </c>
      <c r="F26" s="1" t="s">
        <v>4223</v>
      </c>
      <c r="G26" s="1" t="s">
        <v>4223</v>
      </c>
      <c r="H26" s="1" t="s">
        <v>4223</v>
      </c>
      <c r="I26" s="1" t="s">
        <v>4223</v>
      </c>
      <c r="J26" s="1" t="s">
        <v>4223</v>
      </c>
      <c r="K26" s="1" t="s">
        <v>4223</v>
      </c>
      <c r="L26" s="1" t="s">
        <v>4223</v>
      </c>
      <c r="M26" s="1" t="s">
        <v>4223</v>
      </c>
      <c r="N26" s="1" t="s">
        <v>4223</v>
      </c>
      <c r="O26" s="1" t="s">
        <v>4223</v>
      </c>
      <c r="P26" s="1" t="s">
        <v>4223</v>
      </c>
      <c r="Q26" s="1" t="s">
        <v>4223</v>
      </c>
      <c r="R26" s="1" t="s">
        <v>4223</v>
      </c>
    </row>
    <row customFormat="1" r="27" s="1" spans="1:18" x14ac:dyDescent="0.25">
      <c r="A27" s="17" t="s">
        <v>4220</v>
      </c>
      <c r="B27" s="2"/>
      <c r="C27" s="2" t="s">
        <v>4224</v>
      </c>
      <c r="D27" s="2" t="s">
        <v>4288</v>
      </c>
      <c r="E27" s="2" t="s">
        <v>4224</v>
      </c>
      <c r="F27" s="2" t="s">
        <v>4224</v>
      </c>
      <c r="G27" s="2" t="s">
        <v>4224</v>
      </c>
      <c r="H27" s="2" t="s">
        <v>4224</v>
      </c>
      <c r="I27" s="2" t="s">
        <v>4224</v>
      </c>
      <c r="J27" s="2" t="s">
        <v>4224</v>
      </c>
      <c r="K27" s="2" t="s">
        <v>4224</v>
      </c>
      <c r="L27" s="2" t="s">
        <v>4224</v>
      </c>
      <c r="M27" s="2" t="s">
        <v>4224</v>
      </c>
      <c r="N27" s="2" t="s">
        <v>4224</v>
      </c>
      <c r="O27" s="2" t="s">
        <v>4224</v>
      </c>
      <c r="P27" s="2" t="s">
        <v>4224</v>
      </c>
      <c r="Q27" s="2" t="s">
        <v>4224</v>
      </c>
      <c r="R27" s="2" t="s">
        <v>4224</v>
      </c>
    </row>
    <row customFormat="1" r="28" s="1" spans="1:18" x14ac:dyDescent="0.25">
      <c r="A28" s="1" t="s">
        <v>52</v>
      </c>
      <c r="C28" s="1" t="s">
        <v>6</v>
      </c>
      <c r="D28" s="1" t="s">
        <v>6</v>
      </c>
      <c r="E28" s="1" t="s">
        <v>6</v>
      </c>
      <c r="F28" s="1" t="s">
        <v>6</v>
      </c>
      <c r="G28" s="1" t="s">
        <v>6</v>
      </c>
      <c r="H28" s="1" t="s">
        <v>6</v>
      </c>
      <c r="I28" s="1" t="s">
        <v>6</v>
      </c>
      <c r="J28" s="1" t="s">
        <v>6</v>
      </c>
      <c r="K28" s="1" t="s">
        <v>6</v>
      </c>
      <c r="L28" s="1" t="s">
        <v>6</v>
      </c>
      <c r="M28" s="1" t="s">
        <v>6</v>
      </c>
      <c r="N28" s="1" t="s">
        <v>6</v>
      </c>
      <c r="O28" s="1" t="s">
        <v>6</v>
      </c>
      <c r="P28" s="1" t="s">
        <v>6</v>
      </c>
      <c r="Q28" s="1" t="s">
        <v>6</v>
      </c>
      <c r="R28" s="1" t="s">
        <v>6</v>
      </c>
    </row>
    <row customFormat="1" r="29" s="1" spans="1:18" x14ac:dyDescent="0.25">
      <c r="A29" s="1" t="s">
        <v>53</v>
      </c>
      <c r="C29" s="1" t="s">
        <v>6</v>
      </c>
      <c r="D29" s="1" t="s">
        <v>6</v>
      </c>
      <c r="E29" s="1" t="s">
        <v>6</v>
      </c>
      <c r="F29" s="1" t="s">
        <v>6</v>
      </c>
      <c r="G29" s="1" t="s">
        <v>6</v>
      </c>
      <c r="H29" s="1" t="s">
        <v>6</v>
      </c>
      <c r="I29" s="1" t="s">
        <v>6</v>
      </c>
      <c r="J29" s="1" t="s">
        <v>6</v>
      </c>
      <c r="K29" s="1" t="s">
        <v>6</v>
      </c>
      <c r="L29" s="1" t="s">
        <v>6</v>
      </c>
      <c r="M29" s="1" t="s">
        <v>6</v>
      </c>
      <c r="N29" s="1" t="s">
        <v>6</v>
      </c>
      <c r="O29" s="1" t="s">
        <v>6</v>
      </c>
      <c r="P29" s="1" t="s">
        <v>6</v>
      </c>
      <c r="Q29" s="1" t="s">
        <v>6</v>
      </c>
      <c r="R29" s="1" t="s">
        <v>6</v>
      </c>
    </row>
    <row customFormat="1" r="30" s="1" spans="1:18" x14ac:dyDescent="0.25">
      <c r="A30" s="17" t="s">
        <v>4221</v>
      </c>
      <c r="B30" s="11"/>
      <c r="C30" s="11">
        <v>1000000</v>
      </c>
      <c r="D30" s="11">
        <v>1000000</v>
      </c>
      <c r="E30" s="11">
        <v>3000000</v>
      </c>
      <c r="F30" s="11">
        <v>3000000</v>
      </c>
      <c r="G30" s="11">
        <v>3000000</v>
      </c>
      <c r="H30" s="11">
        <v>3000000</v>
      </c>
      <c r="I30" s="11">
        <v>3000000</v>
      </c>
      <c r="J30" s="11">
        <v>3000000</v>
      </c>
      <c r="K30" s="11">
        <v>3000000</v>
      </c>
      <c r="L30" s="11">
        <v>3000000</v>
      </c>
      <c r="M30" s="11">
        <v>3000000</v>
      </c>
      <c r="N30" s="11">
        <v>3000000</v>
      </c>
      <c r="O30" s="11">
        <v>3000000</v>
      </c>
      <c r="P30" s="11">
        <v>3000000</v>
      </c>
      <c r="Q30" s="11">
        <v>3000000</v>
      </c>
      <c r="R30" s="11">
        <v>3000000</v>
      </c>
    </row>
    <row customFormat="1" r="31" s="1" spans="1:18" x14ac:dyDescent="0.25">
      <c r="A31" s="17" t="s">
        <v>4225</v>
      </c>
      <c r="C31" s="1" t="s">
        <v>4226</v>
      </c>
      <c r="D31" s="1" t="s">
        <v>4226</v>
      </c>
      <c r="E31" s="1" t="s">
        <v>4226</v>
      </c>
      <c r="F31" s="1" t="s">
        <v>4226</v>
      </c>
      <c r="G31" s="1" t="s">
        <v>4226</v>
      </c>
      <c r="H31" s="1" t="s">
        <v>4226</v>
      </c>
      <c r="I31" s="1" t="s">
        <v>4226</v>
      </c>
      <c r="J31" s="1" t="s">
        <v>4226</v>
      </c>
      <c r="K31" s="1" t="s">
        <v>4226</v>
      </c>
      <c r="L31" s="1" t="s">
        <v>4226</v>
      </c>
      <c r="M31" s="1" t="s">
        <v>4226</v>
      </c>
      <c r="N31" s="1" t="s">
        <v>4226</v>
      </c>
      <c r="O31" s="1" t="s">
        <v>4226</v>
      </c>
      <c r="P31" s="1" t="s">
        <v>4226</v>
      </c>
      <c r="Q31" s="1" t="s">
        <v>4226</v>
      </c>
      <c r="R31" s="1" t="s">
        <v>4226</v>
      </c>
    </row>
    <row customFormat="1" r="32" s="1" spans="1:18" x14ac:dyDescent="0.25">
      <c r="A32" s="17" t="s">
        <v>4227</v>
      </c>
      <c r="C32" s="1" t="s">
        <v>4228</v>
      </c>
      <c r="D32" s="1" t="s">
        <v>4289</v>
      </c>
      <c r="E32" s="1" t="s">
        <v>4228</v>
      </c>
      <c r="F32" s="1" t="s">
        <v>4228</v>
      </c>
      <c r="G32" s="1" t="s">
        <v>4228</v>
      </c>
      <c r="H32" s="1" t="s">
        <v>4228</v>
      </c>
      <c r="I32" s="1" t="s">
        <v>4228</v>
      </c>
      <c r="J32" s="1" t="s">
        <v>4228</v>
      </c>
      <c r="K32" s="1" t="s">
        <v>4228</v>
      </c>
      <c r="L32" s="1" t="s">
        <v>4228</v>
      </c>
      <c r="M32" s="1" t="s">
        <v>4228</v>
      </c>
      <c r="N32" s="1" t="s">
        <v>4228</v>
      </c>
      <c r="O32" s="1" t="s">
        <v>4228</v>
      </c>
      <c r="P32" s="1" t="s">
        <v>4228</v>
      </c>
      <c r="Q32" s="1" t="s">
        <v>4228</v>
      </c>
      <c r="R32" s="1" t="s">
        <v>4228</v>
      </c>
    </row>
    <row customFormat="1" r="33" s="1" spans="1:18" x14ac:dyDescent="0.25">
      <c r="A33" s="17" t="s">
        <v>4229</v>
      </c>
      <c r="C33" s="1" t="s">
        <v>4272</v>
      </c>
      <c r="D33" s="1" t="s">
        <v>4272</v>
      </c>
      <c r="E33" s="1" t="s">
        <v>4292</v>
      </c>
      <c r="F33" s="1" t="s">
        <v>4292</v>
      </c>
      <c r="G33" s="1" t="s">
        <v>4292</v>
      </c>
      <c r="H33" s="1" t="s">
        <v>4292</v>
      </c>
      <c r="I33" s="1" t="s">
        <v>4292</v>
      </c>
      <c r="J33" s="1" t="s">
        <v>4292</v>
      </c>
      <c r="K33" s="1" t="s">
        <v>4292</v>
      </c>
      <c r="L33" s="1" t="s">
        <v>4292</v>
      </c>
      <c r="M33" s="1" t="s">
        <v>4292</v>
      </c>
      <c r="N33" s="1" t="s">
        <v>4292</v>
      </c>
      <c r="O33" s="1" t="s">
        <v>4292</v>
      </c>
      <c r="P33" s="1" t="s">
        <v>4292</v>
      </c>
      <c r="Q33" s="1" t="s">
        <v>4292</v>
      </c>
      <c r="R33" s="1" t="s">
        <v>4292</v>
      </c>
    </row>
    <row customFormat="1" r="34" s="1" spans="1:18" x14ac:dyDescent="0.25">
      <c r="A34" s="17" t="s">
        <v>4231</v>
      </c>
      <c r="C34" s="1" t="s">
        <v>4230</v>
      </c>
      <c r="D34" s="1" t="s">
        <v>4230</v>
      </c>
      <c r="E34" s="1" t="s">
        <v>4291</v>
      </c>
      <c r="F34" s="1" t="s">
        <v>4291</v>
      </c>
      <c r="G34" s="1" t="s">
        <v>4291</v>
      </c>
      <c r="H34" s="1" t="s">
        <v>4291</v>
      </c>
      <c r="I34" s="1" t="s">
        <v>4291</v>
      </c>
      <c r="J34" s="1" t="s">
        <v>4291</v>
      </c>
      <c r="K34" s="1" t="s">
        <v>4291</v>
      </c>
      <c r="L34" s="1" t="s">
        <v>4291</v>
      </c>
      <c r="M34" s="1" t="s">
        <v>4291</v>
      </c>
      <c r="N34" s="1" t="s">
        <v>4291</v>
      </c>
      <c r="O34" s="1" t="s">
        <v>4291</v>
      </c>
      <c r="P34" s="1" t="s">
        <v>4291</v>
      </c>
      <c r="Q34" s="1" t="s">
        <v>4291</v>
      </c>
      <c r="R34" s="1" t="s">
        <v>4291</v>
      </c>
    </row>
    <row customFormat="1" r="35" s="1" spans="1:18" x14ac:dyDescent="0.25">
      <c r="A35" s="17" t="s">
        <v>4232</v>
      </c>
      <c r="C35" s="1" t="s">
        <v>4272</v>
      </c>
      <c r="D35" s="1" t="s">
        <v>4272</v>
      </c>
      <c r="E35" s="1" t="s">
        <v>4292</v>
      </c>
      <c r="F35" s="1" t="s">
        <v>4292</v>
      </c>
      <c r="G35" s="1" t="s">
        <v>4292</v>
      </c>
      <c r="H35" s="1" t="s">
        <v>4292</v>
      </c>
      <c r="I35" s="1" t="s">
        <v>4292</v>
      </c>
      <c r="J35" s="1" t="s">
        <v>4292</v>
      </c>
      <c r="K35" s="1" t="s">
        <v>4292</v>
      </c>
      <c r="L35" s="1" t="s">
        <v>4292</v>
      </c>
      <c r="M35" s="1" t="s">
        <v>4292</v>
      </c>
      <c r="N35" s="1" t="s">
        <v>4292</v>
      </c>
      <c r="O35" s="1" t="s">
        <v>4292</v>
      </c>
      <c r="P35" s="1" t="s">
        <v>4292</v>
      </c>
      <c r="Q35" s="1" t="s">
        <v>4292</v>
      </c>
      <c r="R35" s="1" t="s">
        <v>4292</v>
      </c>
    </row>
    <row customFormat="1" r="36" s="1" spans="1:18" x14ac:dyDescent="0.25">
      <c r="A36" s="17" t="s">
        <v>4233</v>
      </c>
      <c r="C36" s="1" t="s">
        <v>4234</v>
      </c>
      <c r="D36" s="1" t="s">
        <v>4290</v>
      </c>
      <c r="E36" s="1" t="s">
        <v>4234</v>
      </c>
      <c r="F36" s="1" t="s">
        <v>4234</v>
      </c>
      <c r="G36" s="1" t="s">
        <v>4234</v>
      </c>
      <c r="H36" s="1" t="s">
        <v>4234</v>
      </c>
      <c r="I36" s="1" t="s">
        <v>4234</v>
      </c>
      <c r="J36" s="1" t="s">
        <v>4234</v>
      </c>
      <c r="K36" s="1" t="s">
        <v>4234</v>
      </c>
      <c r="L36" s="1" t="s">
        <v>4234</v>
      </c>
      <c r="M36" s="1" t="s">
        <v>4234</v>
      </c>
      <c r="N36" s="1" t="s">
        <v>4234</v>
      </c>
      <c r="O36" s="1" t="s">
        <v>4234</v>
      </c>
      <c r="P36" s="1" t="s">
        <v>4234</v>
      </c>
      <c r="Q36" s="1" t="s">
        <v>4234</v>
      </c>
      <c r="R36" s="1" t="s">
        <v>4234</v>
      </c>
    </row>
  </sheetData>
  <dataValidations count="8">
    <dataValidation allowBlank="1" errorStyle="information" showErrorMessage="1" showInputMessage="1" sqref="B12:R13" type="whole">
      <formula1>0</formula1>
      <formula2>9.99999999999999E+25</formula2>
    </dataValidation>
    <dataValidation allowBlank="1" errorStyle="information" showErrorMessage="1" showInputMessage="1" sqref="B15:R16" type="whole">
      <formula1>0</formula1>
      <formula2>999999999999999000000</formula2>
    </dataValidation>
    <dataValidation allowBlank="1" errorStyle="information" showErrorMessage="1" showInputMessage="1" sqref="B30:R30" type="whole">
      <formula1>0</formula1>
      <formula2>9.99999999999999E+22</formula2>
    </dataValidation>
    <dataValidation allowBlank="1" errorStyle="information" showErrorMessage="1" showInputMessage="1" sqref="B24:R24" type="list">
      <formula1>ListBank</formula1>
    </dataValidation>
    <dataValidation allowBlank="1" errorStyle="information" showErrorMessage="1" showInputMessage="1" sqref="B14:R14" type="list">
      <formula1>"Business, Online Shop, Salary, Stock Trading"</formula1>
    </dataValidation>
    <dataValidation errorStyle="information" showErrorMessage="1" showInputMessage="1" sqref="B19:R19" type="list">
      <formula1>"Yes,No"</formula1>
    </dataValidation>
    <dataValidation allowBlank="1" errorStyle="information" showErrorMessage="1" showInputMessage="1" sqref="B25:R27 B18:R18"/>
    <dataValidation allowBlank="1" errorStyle="information" showErrorMessage="1" showInputMessage="1" sqref="B28:R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Q16"/>
  <sheetViews>
    <sheetView topLeftCell="D1" workbookViewId="0">
      <selection activeCell="P15" sqref="P15"/>
    </sheetView>
  </sheetViews>
  <sheetFormatPr defaultRowHeight="15" x14ac:dyDescent="0.25"/>
  <cols>
    <col min="1" max="1" bestFit="true" customWidth="true" width="16.140625" collapsed="true"/>
    <col min="2" max="3" bestFit="true" customWidth="true" width="62.0" collapsed="true"/>
    <col min="4" max="4" customWidth="true" width="18.140625" collapsed="true"/>
    <col min="5" max="6" bestFit="true" customWidth="true" width="18.140625" collapsed="true"/>
  </cols>
  <sheetData>
    <row customFormat="1" r="1" s="1" spans="1:16" x14ac:dyDescent="0.25">
      <c r="A1" s="1" t="s">
        <v>12</v>
      </c>
      <c r="B1" t="s">
        <v>3283</v>
      </c>
      <c r="C1" t="s">
        <v>3283</v>
      </c>
      <c r="D1" t="s">
        <v>3283</v>
      </c>
      <c r="E1" s="1" t="s">
        <v>3283</v>
      </c>
      <c r="F1" s="1" t="s">
        <v>3283</v>
      </c>
      <c r="G1" s="1" t="s">
        <v>3283</v>
      </c>
      <c r="H1" s="1" t="s">
        <v>3283</v>
      </c>
      <c r="I1" s="1" t="s">
        <v>3283</v>
      </c>
      <c r="J1" s="1" t="s">
        <v>3283</v>
      </c>
      <c r="K1" s="1" t="s">
        <v>3283</v>
      </c>
      <c r="L1" s="1" t="s">
        <v>3283</v>
      </c>
      <c r="M1" s="1" t="s">
        <v>3283</v>
      </c>
      <c r="N1" s="1" t="s">
        <v>3283</v>
      </c>
      <c r="O1" s="1" t="s">
        <v>3283</v>
      </c>
      <c r="P1" s="1" t="s">
        <v>3283</v>
      </c>
    </row>
    <row customFormat="1" r="2" s="1" spans="1:16"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row>
    <row customFormat="1" r="3" s="1" spans="1:16" x14ac:dyDescent="0.25">
      <c r="A3" s="1" t="s">
        <v>4146</v>
      </c>
      <c r="B3" s="1" t="s">
        <v>4278</v>
      </c>
      <c r="C3" s="1" t="s">
        <v>4282</v>
      </c>
    </row>
    <row customFormat="1" r="4" s="1" spans="1:16" x14ac:dyDescent="0.25">
      <c r="A4" s="1" t="s">
        <v>4155</v>
      </c>
      <c r="B4" s="1">
        <f>IF(B12="Yes",COUNTIFS($A$13:$A$16,"*$*",B13:B16,""),0)</f>
        <v>0</v>
      </c>
      <c r="C4" s="1">
        <f>IF(C12="Yes",COUNTIFS($A$13:$A$16,"*$*",C13:C16,""),0)</f>
        <v>0</v>
      </c>
      <c r="D4" s="1">
        <f>IF(D12="Yes",COUNTIFS($A$13:$A$16,"*$*",D13:D16,""),0)</f>
        <v>0</v>
      </c>
      <c r="E4" s="1">
        <f ref="E4:P4" si="0" t="shared">IF(E12="Yes",COUNTIFS($A$13:$A$16,"*$*",E13:E16,""),0)</f>
        <v>0</v>
      </c>
      <c r="F4" s="1">
        <f si="0" t="shared"/>
        <v>0</v>
      </c>
      <c r="G4" s="1">
        <f si="0" t="shared"/>
        <v>0</v>
      </c>
      <c r="H4" s="1">
        <f si="0" t="shared"/>
        <v>0</v>
      </c>
      <c r="I4" s="1">
        <f si="0" t="shared"/>
        <v>0</v>
      </c>
      <c r="J4" s="1">
        <f si="0" t="shared"/>
        <v>0</v>
      </c>
      <c r="K4" s="1">
        <f si="0" t="shared"/>
        <v>0</v>
      </c>
      <c r="L4" s="1">
        <f si="0" t="shared"/>
        <v>0</v>
      </c>
      <c r="M4" s="1">
        <f si="0" t="shared"/>
        <v>0</v>
      </c>
      <c r="N4" s="1">
        <f si="0" t="shared"/>
        <v>0</v>
      </c>
      <c r="O4" s="1">
        <f si="0" t="shared"/>
        <v>0</v>
      </c>
      <c r="P4" s="1">
        <f si="0" t="shared"/>
        <v>0</v>
      </c>
    </row>
    <row customFormat="1" r="5" s="1" spans="1:16" x14ac:dyDescent="0.25"/>
    <row customFormat="1" r="6" s="1" spans="1:16" x14ac:dyDescent="0.25"/>
    <row customFormat="1" r="7" s="1" spans="1:16" x14ac:dyDescent="0.25"/>
    <row customFormat="1" r="8" s="1" spans="1:16" x14ac:dyDescent="0.25"/>
    <row customFormat="1" r="9" s="1" spans="1:16" x14ac:dyDescent="0.25"/>
    <row customFormat="1" r="10" s="1" spans="1:16" x14ac:dyDescent="0.25">
      <c r="A10" s="1" t="s">
        <v>3558</v>
      </c>
      <c r="B10" s="1" t="str">
        <f>'1.CustomerDetail'!G$12</f>
        <v>app1</v>
      </c>
      <c r="C10" s="1" t="str">
        <f>'1.CustomerDetail'!H$12</f>
        <v>app1</v>
      </c>
      <c r="D10" s="1" t="str">
        <f>'1.CustomerDetail'!I$12</f>
        <v>app2</v>
      </c>
      <c r="E10" s="1" t="str">
        <f>'1.CustomerDetail'!J$12</f>
        <v>app3</v>
      </c>
      <c r="F10" s="1" t="str">
        <f>'1.CustomerDetail'!K$12</f>
        <v>app4</v>
      </c>
      <c r="G10" s="1" t="str">
        <f>'1.CustomerDetail'!L$12</f>
        <v>app5</v>
      </c>
      <c r="H10" s="1" t="str">
        <f>'1.CustomerDetail'!M$12</f>
        <v>app6</v>
      </c>
      <c r="I10" s="1" t="str">
        <f>'1.CustomerDetail'!N$12</f>
        <v>app7</v>
      </c>
      <c r="J10" s="1" t="str">
        <f>'1.CustomerDetail'!O$12</f>
        <v>app8</v>
      </c>
      <c r="K10" s="1" t="str">
        <f>'1.CustomerDetail'!P$12</f>
        <v>app9</v>
      </c>
      <c r="L10" s="1" t="str">
        <f>'1.CustomerDetail'!Q$12</f>
        <v>app10</v>
      </c>
      <c r="M10" s="1" t="str">
        <f>'1.CustomerDetail'!R$12</f>
        <v>app17</v>
      </c>
      <c r="N10" s="1" t="str">
        <f>'1.CustomerDetail'!S$12</f>
        <v>app2</v>
      </c>
      <c r="O10" s="1" t="str">
        <f>'1.CustomerDetail'!T$12</f>
        <v>app10</v>
      </c>
      <c r="P10" s="1" t="str">
        <f>'1.CustomerDetail'!U$12</f>
        <v>app22</v>
      </c>
    </row>
    <row customFormat="1" r="11" s="30" spans="1:16" x14ac:dyDescent="0.25">
      <c r="B11" s="31"/>
      <c r="C11" s="31"/>
      <c r="D11" s="31"/>
    </row>
    <row customFormat="1" r="12" s="37" spans="1:16" x14ac:dyDescent="0.25">
      <c r="A12" s="37" t="s">
        <v>4216</v>
      </c>
      <c r="B12" s="38" t="s">
        <v>6</v>
      </c>
      <c r="C12" s="38" t="s">
        <v>6</v>
      </c>
      <c r="D12" s="38" t="s">
        <v>6</v>
      </c>
      <c r="E12" s="38" t="s">
        <v>6</v>
      </c>
      <c r="F12" s="38" t="s">
        <v>6</v>
      </c>
      <c r="G12" s="38" t="s">
        <v>6</v>
      </c>
      <c r="H12" s="38" t="s">
        <v>6</v>
      </c>
      <c r="I12" s="38" t="s">
        <v>6</v>
      </c>
      <c r="J12" s="38" t="s">
        <v>6</v>
      </c>
      <c r="K12" s="38" t="s">
        <v>6</v>
      </c>
      <c r="L12" s="38" t="s">
        <v>6</v>
      </c>
      <c r="M12" s="38" t="s">
        <v>6</v>
      </c>
      <c r="N12" s="38" t="s">
        <v>6</v>
      </c>
      <c r="O12" s="38" t="s">
        <v>6</v>
      </c>
      <c r="P12" s="38" t="s">
        <v>6</v>
      </c>
    </row>
    <row customFormat="1" r="13" s="1" spans="1:16" x14ac:dyDescent="0.25">
      <c r="A13" s="17" t="s">
        <v>4175</v>
      </c>
      <c r="B13" s="1" t="s">
        <v>4249</v>
      </c>
      <c r="C13" s="1" t="s">
        <v>4249</v>
      </c>
      <c r="D13" s="1" t="s">
        <v>4251</v>
      </c>
      <c r="E13" s="1" t="s">
        <v>4251</v>
      </c>
      <c r="F13" s="1" t="s">
        <v>4251</v>
      </c>
      <c r="G13" s="1" t="s">
        <v>4251</v>
      </c>
      <c r="H13" s="1" t="s">
        <v>4251</v>
      </c>
      <c r="I13" s="1" t="s">
        <v>4251</v>
      </c>
      <c r="J13" s="1" t="s">
        <v>4251</v>
      </c>
      <c r="K13" s="1" t="s">
        <v>4251</v>
      </c>
      <c r="L13" s="1" t="s">
        <v>4251</v>
      </c>
      <c r="M13" s="1" t="s">
        <v>4251</v>
      </c>
      <c r="N13" s="1" t="s">
        <v>4251</v>
      </c>
      <c r="O13" s="1" t="s">
        <v>4251</v>
      </c>
      <c r="P13" s="1" t="s">
        <v>4251</v>
      </c>
    </row>
    <row customFormat="1" r="14" s="1" spans="1:16" x14ac:dyDescent="0.25">
      <c r="A14" s="1" t="s">
        <v>54</v>
      </c>
      <c r="B14" s="1" t="s">
        <v>4250</v>
      </c>
      <c r="C14" s="1" t="s">
        <v>4250</v>
      </c>
      <c r="D14" s="1" t="s">
        <v>4252</v>
      </c>
      <c r="E14" s="1" t="s">
        <v>4252</v>
      </c>
      <c r="F14" s="1" t="s">
        <v>4252</v>
      </c>
      <c r="G14" s="1" t="s">
        <v>4252</v>
      </c>
      <c r="H14" s="1" t="s">
        <v>4252</v>
      </c>
      <c r="I14" s="1" t="s">
        <v>4252</v>
      </c>
      <c r="J14" s="1" t="s">
        <v>4252</v>
      </c>
      <c r="K14" s="1" t="s">
        <v>4252</v>
      </c>
      <c r="L14" s="1" t="s">
        <v>4252</v>
      </c>
      <c r="M14" s="1" t="s">
        <v>4252</v>
      </c>
      <c r="N14" s="1" t="s">
        <v>4252</v>
      </c>
      <c r="O14" s="1" t="s">
        <v>4252</v>
      </c>
      <c r="P14" s="1" t="s">
        <v>4252</v>
      </c>
    </row>
    <row customFormat="1" r="15" s="1" spans="1:16" x14ac:dyDescent="0.25">
      <c r="A15" s="17" t="s">
        <v>4176</v>
      </c>
      <c r="B15" s="11" t="s">
        <v>4277</v>
      </c>
      <c r="C15" s="11" t="s">
        <v>4280</v>
      </c>
      <c r="D15" s="11" t="s">
        <v>4253</v>
      </c>
      <c r="E15" s="11" t="s">
        <v>4253</v>
      </c>
      <c r="F15" s="11" t="s">
        <v>4253</v>
      </c>
      <c r="G15" s="11" t="s">
        <v>4253</v>
      </c>
      <c r="H15" s="11" t="s">
        <v>4253</v>
      </c>
      <c r="I15" s="11" t="s">
        <v>4253</v>
      </c>
      <c r="J15" s="11" t="s">
        <v>4253</v>
      </c>
      <c r="K15" s="11" t="s">
        <v>4253</v>
      </c>
      <c r="L15" s="11" t="s">
        <v>4253</v>
      </c>
      <c r="M15" s="11" t="s">
        <v>4253</v>
      </c>
      <c r="N15" s="11" t="s">
        <v>4253</v>
      </c>
      <c r="O15" s="11" t="s">
        <v>4253</v>
      </c>
      <c r="P15" s="11" t="s">
        <v>4253</v>
      </c>
    </row>
    <row customFormat="1" r="16" s="1" spans="1:16" x14ac:dyDescent="0.25">
      <c r="A16" s="17" t="s">
        <v>4177</v>
      </c>
      <c r="B16" s="1" t="s">
        <v>4277</v>
      </c>
      <c r="C16" s="1" t="s">
        <v>4281</v>
      </c>
      <c r="D16" s="1" t="s">
        <v>4254</v>
      </c>
      <c r="E16" s="1" t="s">
        <v>4254</v>
      </c>
      <c r="F16" s="1" t="s">
        <v>4254</v>
      </c>
      <c r="G16" s="1" t="s">
        <v>4254</v>
      </c>
      <c r="H16" s="1" t="s">
        <v>4254</v>
      </c>
      <c r="I16" s="1" t="s">
        <v>4254</v>
      </c>
      <c r="J16" s="1" t="s">
        <v>4254</v>
      </c>
      <c r="K16" s="1" t="s">
        <v>4254</v>
      </c>
      <c r="L16" s="1" t="s">
        <v>4254</v>
      </c>
      <c r="M16" s="1" t="s">
        <v>4254</v>
      </c>
      <c r="N16" s="1" t="s">
        <v>4254</v>
      </c>
      <c r="O16" s="1" t="s">
        <v>4254</v>
      </c>
      <c r="P16" s="1" t="s">
        <v>4254</v>
      </c>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V42"/>
  <sheetViews>
    <sheetView topLeftCell="G1" workbookViewId="0">
      <selection activeCell="V13" sqref="V13"/>
    </sheetView>
  </sheetViews>
  <sheetFormatPr defaultRowHeight="15" x14ac:dyDescent="0.25"/>
  <cols>
    <col min="1" max="1" bestFit="true" customWidth="true" width="35.0" collapsed="true"/>
    <col min="3" max="7" customWidth="true" style="7" width="15.0" collapsed="false"/>
    <col min="8" max="8" customWidth="true" style="7" width="15.0" collapsed="true"/>
    <col min="9" max="11" bestFit="true" customWidth="true" style="7" width="14.85546875" collapsed="true"/>
  </cols>
  <sheetData>
    <row customFormat="1" r="1" s="1" spans="1:21" x14ac:dyDescent="0.25">
      <c r="A1" s="1" t="s">
        <v>12</v>
      </c>
      <c r="C1"/>
      <c r="D1"/>
      <c r="E1"/>
      <c r="F1"/>
      <c r="G1"/>
      <c r="H1" t="s">
        <v>3283</v>
      </c>
      <c r="I1" t="s">
        <v>3283</v>
      </c>
      <c r="J1" s="1" t="s">
        <v>3283</v>
      </c>
      <c r="K1" s="1" t="s">
        <v>3283</v>
      </c>
      <c r="L1" s="1" t="s">
        <v>3283</v>
      </c>
      <c r="M1" s="1" t="s">
        <v>3283</v>
      </c>
      <c r="N1" s="1" t="s">
        <v>3283</v>
      </c>
      <c r="O1" s="1" t="s">
        <v>3283</v>
      </c>
      <c r="P1" s="1" t="s">
        <v>3283</v>
      </c>
      <c r="Q1" s="1" t="s">
        <v>3283</v>
      </c>
      <c r="R1" s="1" t="s">
        <v>3283</v>
      </c>
      <c r="S1" s="1" t="s">
        <v>3283</v>
      </c>
      <c r="T1" s="1" t="s">
        <v>3283</v>
      </c>
      <c r="U1" s="1" t="s">
        <v>3283</v>
      </c>
    </row>
    <row customFormat="1" r="2" s="1" spans="1:21" x14ac:dyDescent="0.25">
      <c r="A2" s="1" t="s">
        <v>4145</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customFormat="1" r="3" s="1" spans="1:21" x14ac:dyDescent="0.25">
      <c r="A3" s="1" t="s">
        <v>4146</v>
      </c>
      <c r="H3" s="1" t="s">
        <v>4283</v>
      </c>
    </row>
    <row customFormat="1" r="4" s="1" spans="1:21" x14ac:dyDescent="0.25">
      <c r="A4" s="1" t="s">
        <v>4155</v>
      </c>
      <c r="H4" s="1">
        <f>COUNTIFS($A$12:$A$42,"*$*",H12:H42,"")</f>
        <v>0</v>
      </c>
      <c r="I4" s="1">
        <f>COUNTIFS($A$12:$A$42,"*$*",I12:I42,"")</f>
        <v>0</v>
      </c>
      <c r="J4" s="1">
        <f ref="J4:U4" si="0" t="shared">COUNTIFS($A$12:$A$42,"*$*",J12:J42,"")</f>
        <v>0</v>
      </c>
      <c r="K4" s="1">
        <f si="0" t="shared"/>
        <v>0</v>
      </c>
      <c r="L4" s="1">
        <f si="0" t="shared"/>
        <v>0</v>
      </c>
      <c r="M4" s="1">
        <f si="0" t="shared"/>
        <v>0</v>
      </c>
      <c r="N4" s="1">
        <f si="0" t="shared"/>
        <v>0</v>
      </c>
      <c r="O4" s="1">
        <f si="0" t="shared"/>
        <v>0</v>
      </c>
      <c r="P4" s="1">
        <f si="0" t="shared"/>
        <v>0</v>
      </c>
      <c r="Q4" s="1">
        <f si="0" t="shared"/>
        <v>0</v>
      </c>
      <c r="R4" s="1">
        <f si="0" t="shared"/>
        <v>0</v>
      </c>
      <c r="S4" s="1">
        <f si="0" t="shared"/>
        <v>0</v>
      </c>
      <c r="T4" s="1">
        <f si="0" t="shared"/>
        <v>0</v>
      </c>
      <c r="U4" s="1">
        <f si="0" t="shared"/>
        <v>0</v>
      </c>
    </row>
    <row customFormat="1" r="5" s="1" spans="1:21" x14ac:dyDescent="0.25"/>
    <row customFormat="1" r="6" s="1" spans="1:21" x14ac:dyDescent="0.25"/>
    <row customFormat="1" r="7" s="1" spans="1:21" x14ac:dyDescent="0.25"/>
    <row customFormat="1" r="8" s="1" spans="1:21" x14ac:dyDescent="0.25"/>
    <row customFormat="1" r="9" s="1" spans="1:21" x14ac:dyDescent="0.25"/>
    <row customFormat="1" r="10" s="1" spans="1:21" x14ac:dyDescent="0.25">
      <c r="A10" s="1" t="s">
        <v>3558</v>
      </c>
      <c r="H10" s="1" t="str">
        <f>'1.CustomerDetail'!B$12</f>
        <v>app1</v>
      </c>
      <c r="I10" s="1" t="str">
        <f>'1.CustomerDetail'!I$12</f>
        <v>app2</v>
      </c>
      <c r="J10" s="1" t="str">
        <f>'1.CustomerDetail'!J$12</f>
        <v>app3</v>
      </c>
      <c r="K10" s="1" t="str">
        <f>'1.CustomerDetail'!K$12</f>
        <v>app4</v>
      </c>
      <c r="L10" s="1" t="str">
        <f>'1.CustomerDetail'!L$12</f>
        <v>app5</v>
      </c>
      <c r="M10" s="1" t="str">
        <f>'1.CustomerDetail'!M$12</f>
        <v>app6</v>
      </c>
      <c r="N10" s="1" t="str">
        <f>'1.CustomerDetail'!N$12</f>
        <v>app7</v>
      </c>
      <c r="O10" s="1" t="str">
        <f>'1.CustomerDetail'!O$12</f>
        <v>app8</v>
      </c>
      <c r="P10" s="1" t="str">
        <f>'1.CustomerDetail'!P$12</f>
        <v>app9</v>
      </c>
      <c r="Q10" s="1" t="str">
        <f>'1.CustomerDetail'!Q$12</f>
        <v>app10</v>
      </c>
      <c r="R10" s="1" t="str">
        <f>'1.CustomerDetail'!R$12</f>
        <v>app17</v>
      </c>
      <c r="S10" s="1" t="str">
        <f>'1.CustomerDetail'!S$12</f>
        <v>app2</v>
      </c>
      <c r="T10" s="1" t="str">
        <f>'1.CustomerDetail'!T$12</f>
        <v>app10</v>
      </c>
      <c r="U10" s="1" t="str">
        <f>'1.CustomerDetail'!U$12</f>
        <v>app22</v>
      </c>
    </row>
    <row customFormat="1" r="11" s="33" spans="1:21" x14ac:dyDescent="0.25">
      <c r="A11" s="34" t="s">
        <v>3568</v>
      </c>
      <c r="C11" s="35"/>
      <c r="D11" s="35"/>
      <c r="E11" s="35"/>
      <c r="F11" s="35"/>
      <c r="G11" s="35"/>
      <c r="H11" s="35"/>
      <c r="I11" s="35"/>
      <c r="J11" s="35"/>
      <c r="K11" s="36"/>
    </row>
    <row customFormat="1" r="12" s="1" spans="1:21" x14ac:dyDescent="0.25">
      <c r="A12" s="19" t="s">
        <v>4178</v>
      </c>
      <c r="C12" s="9"/>
      <c r="D12" s="9"/>
      <c r="E12" s="9"/>
      <c r="F12" s="9"/>
      <c r="G12" s="9"/>
      <c r="H12" s="9" t="str">
        <f>VLOOKUP('7.OtherAttribute'!H13,Master!$M:$N,2,FALSE)</f>
        <v>01</v>
      </c>
      <c r="I12" s="9" t="str">
        <f>VLOOKUP('7.OtherAttribute'!I13,Master!$M:$N,2,FALSE)</f>
        <v>01</v>
      </c>
      <c r="J12" s="9" t="str">
        <f>VLOOKUP('7.OtherAttribute'!J13,Master!$M:$N,2,FALSE)</f>
        <v>01</v>
      </c>
      <c r="K12" s="9" t="str">
        <f>VLOOKUP('7.OtherAttribute'!K13,Master!$M:$N,2,FALSE)</f>
        <v>01</v>
      </c>
      <c r="L12" s="9" t="str">
        <f>VLOOKUP('7.OtherAttribute'!L13,Master!$M:$N,2,FALSE)</f>
        <v>01</v>
      </c>
      <c r="M12" s="9" t="str">
        <f>VLOOKUP('7.OtherAttribute'!M13,Master!$M:$N,2,FALSE)</f>
        <v>01</v>
      </c>
      <c r="N12" s="9" t="str">
        <f>VLOOKUP('7.OtherAttribute'!N13,Master!$M:$N,2,FALSE)</f>
        <v>01</v>
      </c>
      <c r="O12" s="9" t="str">
        <f>VLOOKUP('7.OtherAttribute'!O13,Master!$M:$N,2,FALSE)</f>
        <v>01</v>
      </c>
      <c r="P12" s="9" t="str">
        <f>VLOOKUP('7.OtherAttribute'!P13,Master!$M:$N,2,FALSE)</f>
        <v>01</v>
      </c>
      <c r="Q12" s="9" t="str">
        <f>VLOOKUP('7.OtherAttribute'!Q13,Master!$M:$N,2,FALSE)</f>
        <v>01</v>
      </c>
      <c r="R12" s="9" t="str">
        <f>VLOOKUP('7.OtherAttribute'!R13,Master!$M:$N,2,FALSE)</f>
        <v>01</v>
      </c>
      <c r="S12" s="9" t="str">
        <f>VLOOKUP('7.OtherAttribute'!S13,Master!$M:$N,2,FALSE)</f>
        <v>01</v>
      </c>
      <c r="T12" s="9" t="str">
        <f>VLOOKUP('7.OtherAttribute'!T13,Master!$M:$N,2,FALSE)</f>
        <v>01</v>
      </c>
      <c r="U12" s="9" t="str">
        <f>VLOOKUP('7.OtherAttribute'!U13,Master!$M:$N,2,FALSE)</f>
        <v>01</v>
      </c>
    </row>
    <row customFormat="1" ht="30" r="13" s="1" spans="1:21" x14ac:dyDescent="0.25">
      <c r="A13" s="18" t="s">
        <v>4179</v>
      </c>
      <c r="C13" s="9"/>
      <c r="D13" s="9"/>
      <c r="E13" s="9"/>
      <c r="F13" s="9"/>
      <c r="G13" s="9"/>
      <c r="H13" s="9" t="s">
        <v>683</v>
      </c>
      <c r="I13" s="9" t="s">
        <v>683</v>
      </c>
      <c r="J13" s="9" t="s">
        <v>683</v>
      </c>
      <c r="K13" s="9" t="s">
        <v>683</v>
      </c>
      <c r="L13" s="9" t="s">
        <v>683</v>
      </c>
      <c r="M13" s="9" t="s">
        <v>683</v>
      </c>
      <c r="N13" s="9" t="s">
        <v>683</v>
      </c>
      <c r="O13" s="9" t="s">
        <v>683</v>
      </c>
      <c r="P13" s="9" t="s">
        <v>683</v>
      </c>
      <c r="Q13" s="9" t="s">
        <v>683</v>
      </c>
      <c r="R13" s="9" t="s">
        <v>683</v>
      </c>
      <c r="S13" s="9" t="s">
        <v>683</v>
      </c>
      <c r="T13" s="9" t="s">
        <v>683</v>
      </c>
      <c r="U13" s="9" t="s">
        <v>683</v>
      </c>
    </row>
    <row customFormat="1" r="14" s="1" spans="1:21" x14ac:dyDescent="0.25">
      <c r="A14" s="19" t="s">
        <v>4180</v>
      </c>
      <c r="C14" s="10"/>
      <c r="D14" s="10"/>
      <c r="E14" s="10"/>
      <c r="F14" s="10"/>
      <c r="G14" s="10"/>
      <c r="H14" s="10" t="str">
        <f>VLOOKUP(H15,Master!$P:$Q,2,FALSE)</f>
        <v>4</v>
      </c>
      <c r="I14" s="10" t="str">
        <f>VLOOKUP(I15,Master!$P:$Q,2,FALSE)</f>
        <v>4</v>
      </c>
      <c r="J14" s="10" t="str">
        <f>VLOOKUP(J15,Master!$P:$Q,2,FALSE)</f>
        <v>4</v>
      </c>
      <c r="K14" s="10" t="str">
        <f>VLOOKUP(K15,Master!$P:$Q,2,FALSE)</f>
        <v>4</v>
      </c>
      <c r="L14" s="10" t="str">
        <f>VLOOKUP(L15,Master!$P:$Q,2,FALSE)</f>
        <v>4</v>
      </c>
      <c r="M14" s="10" t="str">
        <f>VLOOKUP(M15,Master!$P:$Q,2,FALSE)</f>
        <v>4</v>
      </c>
      <c r="N14" s="10" t="str">
        <f>VLOOKUP(N15,Master!$P:$Q,2,FALSE)</f>
        <v>4</v>
      </c>
      <c r="O14" s="10" t="str">
        <f>VLOOKUP(O15,Master!$P:$Q,2,FALSE)</f>
        <v>4</v>
      </c>
      <c r="P14" s="10" t="str">
        <f>VLOOKUP(P15,Master!$P:$Q,2,FALSE)</f>
        <v>4</v>
      </c>
      <c r="Q14" s="10" t="str">
        <f>VLOOKUP(Q15,Master!$P:$Q,2,FALSE)</f>
        <v>4</v>
      </c>
      <c r="R14" s="10" t="str">
        <f>VLOOKUP(R15,Master!$P:$Q,2,FALSE)</f>
        <v>4</v>
      </c>
      <c r="S14" s="10" t="str">
        <f>VLOOKUP(S15,Master!$P:$Q,2,FALSE)</f>
        <v>4</v>
      </c>
      <c r="T14" s="10" t="str">
        <f>VLOOKUP(T15,Master!$P:$Q,2,FALSE)</f>
        <v>4</v>
      </c>
      <c r="U14" s="10" t="str">
        <f>VLOOKUP(U15,Master!$P:$Q,2,FALSE)</f>
        <v>4</v>
      </c>
    </row>
    <row customFormat="1" ht="30" r="15" s="1" spans="1:21" x14ac:dyDescent="0.25">
      <c r="A15" s="18" t="s">
        <v>4181</v>
      </c>
      <c r="C15" s="10"/>
      <c r="D15" s="10"/>
      <c r="E15" s="10"/>
      <c r="F15" s="10"/>
      <c r="G15" s="10"/>
      <c r="H15" s="10" t="s">
        <v>1234</v>
      </c>
      <c r="I15" s="10" t="s">
        <v>1234</v>
      </c>
      <c r="J15" s="10" t="s">
        <v>1234</v>
      </c>
      <c r="K15" s="10" t="s">
        <v>1234</v>
      </c>
      <c r="L15" s="10" t="s">
        <v>1234</v>
      </c>
      <c r="M15" s="10" t="s">
        <v>1234</v>
      </c>
      <c r="N15" s="10" t="s">
        <v>1234</v>
      </c>
      <c r="O15" s="10" t="s">
        <v>1234</v>
      </c>
      <c r="P15" s="10" t="s">
        <v>1234</v>
      </c>
      <c r="Q15" s="10" t="s">
        <v>1234</v>
      </c>
      <c r="R15" s="10" t="s">
        <v>1234</v>
      </c>
      <c r="S15" s="10" t="s">
        <v>1234</v>
      </c>
      <c r="T15" s="10" t="s">
        <v>1234</v>
      </c>
      <c r="U15" s="10" t="s">
        <v>1234</v>
      </c>
    </row>
    <row customFormat="1" r="16" s="1" spans="1:21" x14ac:dyDescent="0.25">
      <c r="A16" s="19" t="s">
        <v>4182</v>
      </c>
      <c r="C16" s="10"/>
      <c r="D16" s="10"/>
      <c r="E16" s="10"/>
      <c r="F16" s="10"/>
      <c r="G16" s="10"/>
      <c r="H16" s="10" t="str">
        <f>VLOOKUP(H17,Master!$S:$T,2,FALSE)</f>
        <v>e2954</v>
      </c>
      <c r="I16" s="10" t="str">
        <f>VLOOKUP(I17,Master!$S:$T,2,FALSE)</f>
        <v>e2954</v>
      </c>
      <c r="J16" s="10" t="str">
        <f>VLOOKUP(J17,Master!$S:$T,2,FALSE)</f>
        <v>e2954</v>
      </c>
      <c r="K16" s="10" t="str">
        <f>VLOOKUP(K17,Master!$S:$T,2,FALSE)</f>
        <v>e2954</v>
      </c>
      <c r="L16" s="10" t="str">
        <f>VLOOKUP(L17,Master!$S:$T,2,FALSE)</f>
        <v>e2954</v>
      </c>
      <c r="M16" s="10" t="str">
        <f>VLOOKUP(M17,Master!$S:$T,2,FALSE)</f>
        <v>e2954</v>
      </c>
      <c r="N16" s="10" t="str">
        <f>VLOOKUP(N17,Master!$S:$T,2,FALSE)</f>
        <v>e2954</v>
      </c>
      <c r="O16" s="10" t="str">
        <f>VLOOKUP(O17,Master!$S:$T,2,FALSE)</f>
        <v>e2954</v>
      </c>
      <c r="P16" s="10" t="str">
        <f>VLOOKUP(P17,Master!$S:$T,2,FALSE)</f>
        <v>e2954</v>
      </c>
      <c r="Q16" s="10" t="str">
        <f>VLOOKUP(Q17,Master!$S:$T,2,FALSE)</f>
        <v>e2954</v>
      </c>
      <c r="R16" s="10" t="str">
        <f>VLOOKUP(R17,Master!$S:$T,2,FALSE)</f>
        <v>e2954</v>
      </c>
      <c r="S16" s="10" t="str">
        <f>VLOOKUP(S17,Master!$S:$T,2,FALSE)</f>
        <v>e2954</v>
      </c>
      <c r="T16" s="10" t="str">
        <f>VLOOKUP(T17,Master!$S:$T,2,FALSE)</f>
        <v>e2954</v>
      </c>
      <c r="U16" s="10" t="str">
        <f>VLOOKUP(U17,Master!$S:$T,2,FALSE)</f>
        <v>e2954</v>
      </c>
    </row>
    <row customFormat="1" ht="180" r="17" s="1" spans="1:21" x14ac:dyDescent="0.25">
      <c r="A17" s="18" t="s">
        <v>4184</v>
      </c>
      <c r="C17" s="10"/>
      <c r="D17" s="10"/>
      <c r="E17" s="10"/>
      <c r="F17" s="10"/>
      <c r="G17" s="10"/>
      <c r="H17" s="10" t="s">
        <v>4106</v>
      </c>
      <c r="I17" s="10" t="s">
        <v>4106</v>
      </c>
      <c r="J17" s="10" t="s">
        <v>4106</v>
      </c>
      <c r="K17" s="10" t="s">
        <v>4106</v>
      </c>
      <c r="L17" s="10" t="s">
        <v>4106</v>
      </c>
      <c r="M17" s="10" t="s">
        <v>4106</v>
      </c>
      <c r="N17" s="10" t="s">
        <v>4106</v>
      </c>
      <c r="O17" s="10" t="s">
        <v>4106</v>
      </c>
      <c r="P17" s="10" t="s">
        <v>4106</v>
      </c>
      <c r="Q17" s="10" t="s">
        <v>4106</v>
      </c>
      <c r="R17" s="10" t="s">
        <v>4106</v>
      </c>
      <c r="S17" s="10" t="s">
        <v>4106</v>
      </c>
      <c r="T17" s="10" t="s">
        <v>4106</v>
      </c>
      <c r="U17" s="10" t="s">
        <v>4106</v>
      </c>
    </row>
    <row customFormat="1" r="18" s="1" spans="1:21" x14ac:dyDescent="0.25">
      <c r="A18" s="19" t="s">
        <v>4185</v>
      </c>
      <c r="C18" s="10"/>
      <c r="D18" s="10"/>
      <c r="E18" s="10"/>
      <c r="F18" s="10"/>
      <c r="G18" s="10"/>
      <c r="H18" s="10" t="str">
        <f>VLOOKUP(H19,Master!$V:$W,2,FALSE)</f>
        <v>e3826</v>
      </c>
      <c r="I18" s="10" t="str">
        <f>VLOOKUP(I19,Master!$V:$W,2,FALSE)</f>
        <v>e3826</v>
      </c>
      <c r="J18" s="10" t="str">
        <f>VLOOKUP(J19,Master!$V:$W,2,FALSE)</f>
        <v>e3826</v>
      </c>
      <c r="K18" s="10" t="str">
        <f>VLOOKUP(K19,Master!$V:$W,2,FALSE)</f>
        <v>e3826</v>
      </c>
      <c r="L18" s="10" t="str">
        <f>VLOOKUP(L19,Master!$V:$W,2,FALSE)</f>
        <v>e3826</v>
      </c>
      <c r="M18" s="10" t="str">
        <f>VLOOKUP(M19,Master!$V:$W,2,FALSE)</f>
        <v>e3826</v>
      </c>
      <c r="N18" s="10" t="str">
        <f>VLOOKUP(N19,Master!$V:$W,2,FALSE)</f>
        <v>e3826</v>
      </c>
      <c r="O18" s="10" t="str">
        <f>VLOOKUP(O19,Master!$V:$W,2,FALSE)</f>
        <v>e3826</v>
      </c>
      <c r="P18" s="10" t="str">
        <f>VLOOKUP(P19,Master!$V:$W,2,FALSE)</f>
        <v>e3826</v>
      </c>
      <c r="Q18" s="10" t="str">
        <f>VLOOKUP(Q19,Master!$V:$W,2,FALSE)</f>
        <v>e3826</v>
      </c>
      <c r="R18" s="10" t="str">
        <f>VLOOKUP(R19,Master!$V:$W,2,FALSE)</f>
        <v>e3826</v>
      </c>
      <c r="S18" s="10" t="str">
        <f>VLOOKUP(S19,Master!$V:$W,2,FALSE)</f>
        <v>e3826</v>
      </c>
      <c r="T18" s="10" t="str">
        <f>VLOOKUP(T19,Master!$V:$W,2,FALSE)</f>
        <v>e3826</v>
      </c>
      <c r="U18" s="10" t="str">
        <f>VLOOKUP(U19,Master!$V:$W,2,FALSE)</f>
        <v>e3826</v>
      </c>
    </row>
    <row customFormat="1" ht="45" r="19" s="1" spans="1:21" x14ac:dyDescent="0.25">
      <c r="A19" s="18" t="s">
        <v>4183</v>
      </c>
      <c r="C19" s="10"/>
      <c r="D19" s="10"/>
      <c r="E19" s="10"/>
      <c r="F19" s="10"/>
      <c r="G19" s="10"/>
      <c r="H19" s="10" t="s">
        <v>1409</v>
      </c>
      <c r="I19" s="10" t="s">
        <v>1409</v>
      </c>
      <c r="J19" s="10" t="s">
        <v>1409</v>
      </c>
      <c r="K19" s="10" t="s">
        <v>1409</v>
      </c>
      <c r="L19" s="10" t="s">
        <v>1409</v>
      </c>
      <c r="M19" s="10" t="s">
        <v>1409</v>
      </c>
      <c r="N19" s="10" t="s">
        <v>1409</v>
      </c>
      <c r="O19" s="10" t="s">
        <v>1409</v>
      </c>
      <c r="P19" s="10" t="s">
        <v>1409</v>
      </c>
      <c r="Q19" s="10" t="s">
        <v>1409</v>
      </c>
      <c r="R19" s="10" t="s">
        <v>1409</v>
      </c>
      <c r="S19" s="10" t="s">
        <v>1409</v>
      </c>
      <c r="T19" s="10" t="s">
        <v>1409</v>
      </c>
      <c r="U19" s="10" t="s">
        <v>1409</v>
      </c>
    </row>
    <row customFormat="1" r="20" s="33" spans="1:21" x14ac:dyDescent="0.25">
      <c r="A20" s="34" t="s">
        <v>3569</v>
      </c>
      <c r="C20" s="35"/>
      <c r="D20" s="35"/>
      <c r="E20" s="35"/>
      <c r="F20" s="35"/>
      <c r="G20" s="35"/>
      <c r="H20" s="35"/>
      <c r="I20" s="35"/>
      <c r="J20" s="35"/>
      <c r="K20" s="35"/>
      <c r="L20" s="35"/>
      <c r="M20" s="35"/>
      <c r="N20" s="35"/>
      <c r="O20" s="35"/>
      <c r="P20" s="35"/>
      <c r="Q20" s="35"/>
      <c r="R20" s="35"/>
      <c r="S20" s="35"/>
      <c r="T20" s="35"/>
      <c r="U20" s="35"/>
    </row>
    <row customFormat="1" r="21" s="1" spans="1:21" x14ac:dyDescent="0.25">
      <c r="A21" s="1" t="s">
        <v>1594</v>
      </c>
      <c r="C21" s="10"/>
      <c r="D21" s="10"/>
      <c r="E21" s="10"/>
      <c r="F21" s="10"/>
      <c r="G21" s="10"/>
      <c r="H21" s="10" t="s">
        <v>4062</v>
      </c>
      <c r="I21" s="10" t="s">
        <v>4062</v>
      </c>
      <c r="J21" s="10" t="s">
        <v>4062</v>
      </c>
      <c r="K21" s="10" t="s">
        <v>4062</v>
      </c>
      <c r="L21" s="10" t="s">
        <v>4062</v>
      </c>
      <c r="M21" s="10" t="s">
        <v>4062</v>
      </c>
      <c r="N21" s="10" t="s">
        <v>4062</v>
      </c>
      <c r="O21" s="10" t="s">
        <v>4062</v>
      </c>
      <c r="P21" s="10" t="s">
        <v>4062</v>
      </c>
      <c r="Q21" s="10" t="s">
        <v>4062</v>
      </c>
      <c r="R21" s="10" t="s">
        <v>4062</v>
      </c>
      <c r="S21" s="10" t="s">
        <v>4062</v>
      </c>
      <c r="T21" s="10" t="s">
        <v>4062</v>
      </c>
      <c r="U21" s="10" t="s">
        <v>4062</v>
      </c>
    </row>
    <row customFormat="1" r="22" s="1" spans="1:21" x14ac:dyDescent="0.25">
      <c r="A22" s="19" t="s">
        <v>4186</v>
      </c>
      <c r="C22" s="9"/>
      <c r="D22" s="9"/>
      <c r="E22" s="9"/>
      <c r="F22" s="9"/>
      <c r="G22" s="9"/>
      <c r="H22" s="9" t="str">
        <f>VLOOKUP(H23,Master!$Y:$Z,2,FALSE)</f>
        <v>9000</v>
      </c>
      <c r="I22" s="9" t="str">
        <f>VLOOKUP(I23,Master!$Y:$Z,2,FALSE)</f>
        <v>9000</v>
      </c>
      <c r="J22" s="9" t="str">
        <f>VLOOKUP(J23,Master!$Y:$Z,2,FALSE)</f>
        <v>9000</v>
      </c>
      <c r="K22" s="9" t="str">
        <f>VLOOKUP(K23,Master!$Y:$Z,2,FALSE)</f>
        <v>9000</v>
      </c>
      <c r="L22" s="9" t="str">
        <f>VLOOKUP(L23,Master!$Y:$Z,2,FALSE)</f>
        <v>9000</v>
      </c>
      <c r="M22" s="9" t="str">
        <f>VLOOKUP(M23,Master!$Y:$Z,2,FALSE)</f>
        <v>9000</v>
      </c>
      <c r="N22" s="9" t="str">
        <f>VLOOKUP(N23,Master!$Y:$Z,2,FALSE)</f>
        <v>9000</v>
      </c>
      <c r="O22" s="9" t="str">
        <f>VLOOKUP(O23,Master!$Y:$Z,2,FALSE)</f>
        <v>9000</v>
      </c>
      <c r="P22" s="9" t="str">
        <f>VLOOKUP(P23,Master!$Y:$Z,2,FALSE)</f>
        <v>9000</v>
      </c>
      <c r="Q22" s="9" t="str">
        <f>VLOOKUP(Q23,Master!$Y:$Z,2,FALSE)</f>
        <v>9000</v>
      </c>
      <c r="R22" s="9" t="str">
        <f>VLOOKUP(R23,Master!$Y:$Z,2,FALSE)</f>
        <v>9000</v>
      </c>
      <c r="S22" s="9" t="str">
        <f>VLOOKUP(S23,Master!$Y:$Z,2,FALSE)</f>
        <v>9000</v>
      </c>
      <c r="T22" s="9" t="str">
        <f>VLOOKUP(T23,Master!$Y:$Z,2,FALSE)</f>
        <v>9000</v>
      </c>
      <c r="U22" s="9" t="str">
        <f>VLOOKUP(U23,Master!$Y:$Z,2,FALSE)</f>
        <v>9000</v>
      </c>
    </row>
    <row customFormat="1" ht="45" r="23" s="1" spans="1:21" x14ac:dyDescent="0.25">
      <c r="A23" s="18" t="s">
        <v>4187</v>
      </c>
      <c r="C23" s="10"/>
      <c r="D23" s="10"/>
      <c r="E23" s="10"/>
      <c r="F23" s="10"/>
      <c r="G23" s="10"/>
      <c r="H23" s="10" t="s">
        <v>2732</v>
      </c>
      <c r="I23" s="10" t="s">
        <v>2732</v>
      </c>
      <c r="J23" s="10" t="s">
        <v>2732</v>
      </c>
      <c r="K23" s="10" t="s">
        <v>2732</v>
      </c>
      <c r="L23" s="10" t="s">
        <v>2732</v>
      </c>
      <c r="M23" s="10" t="s">
        <v>2732</v>
      </c>
      <c r="N23" s="10" t="s">
        <v>2732</v>
      </c>
      <c r="O23" s="10" t="s">
        <v>2732</v>
      </c>
      <c r="P23" s="10" t="s">
        <v>2732</v>
      </c>
      <c r="Q23" s="10" t="s">
        <v>2732</v>
      </c>
      <c r="R23" s="10" t="s">
        <v>2732</v>
      </c>
      <c r="S23" s="10" t="s">
        <v>2732</v>
      </c>
      <c r="T23" s="10" t="s">
        <v>2732</v>
      </c>
      <c r="U23" s="10" t="s">
        <v>2732</v>
      </c>
    </row>
    <row customFormat="1" r="24" s="1" spans="1:21" x14ac:dyDescent="0.25">
      <c r="A24" s="1" t="s">
        <v>1595</v>
      </c>
      <c r="C24" s="10"/>
      <c r="D24" s="10"/>
      <c r="E24" s="10"/>
      <c r="F24" s="10"/>
      <c r="G24" s="10"/>
      <c r="H24" s="10" t="s">
        <v>4062</v>
      </c>
      <c r="I24" s="10" t="s">
        <v>4062</v>
      </c>
      <c r="J24" s="10" t="s">
        <v>4062</v>
      </c>
      <c r="K24" s="10" t="s">
        <v>4062</v>
      </c>
      <c r="L24" s="10" t="s">
        <v>4062</v>
      </c>
      <c r="M24" s="10" t="s">
        <v>4062</v>
      </c>
      <c r="N24" s="10" t="s">
        <v>4062</v>
      </c>
      <c r="O24" s="10" t="s">
        <v>4062</v>
      </c>
      <c r="P24" s="10" t="s">
        <v>4062</v>
      </c>
      <c r="Q24" s="10" t="s">
        <v>4062</v>
      </c>
      <c r="R24" s="10" t="s">
        <v>4062</v>
      </c>
      <c r="S24" s="10" t="s">
        <v>4062</v>
      </c>
      <c r="T24" s="10" t="s">
        <v>4062</v>
      </c>
      <c r="U24" s="10" t="s">
        <v>4062</v>
      </c>
    </row>
    <row customFormat="1" r="25" s="1" spans="1:21" x14ac:dyDescent="0.25">
      <c r="A25" s="1" t="s">
        <v>1596</v>
      </c>
      <c r="C25" s="10"/>
      <c r="D25" s="10"/>
      <c r="E25" s="10"/>
      <c r="F25" s="10"/>
      <c r="G25" s="10"/>
      <c r="H25" s="10" t="s">
        <v>4062</v>
      </c>
      <c r="I25" s="10" t="s">
        <v>4062</v>
      </c>
      <c r="J25" s="10" t="s">
        <v>4062</v>
      </c>
      <c r="K25" s="10" t="s">
        <v>4062</v>
      </c>
      <c r="L25" s="10" t="s">
        <v>4062</v>
      </c>
      <c r="M25" s="10" t="s">
        <v>4062</v>
      </c>
      <c r="N25" s="10" t="s">
        <v>4062</v>
      </c>
      <c r="O25" s="10" t="s">
        <v>4062</v>
      </c>
      <c r="P25" s="10" t="s">
        <v>4062</v>
      </c>
      <c r="Q25" s="10" t="s">
        <v>4062</v>
      </c>
      <c r="R25" s="10" t="s">
        <v>4062</v>
      </c>
      <c r="S25" s="10" t="s">
        <v>4062</v>
      </c>
      <c r="T25" s="10" t="s">
        <v>4062</v>
      </c>
      <c r="U25" s="10" t="s">
        <v>4062</v>
      </c>
    </row>
    <row customFormat="1" r="26" s="1" spans="1:21" x14ac:dyDescent="0.25">
      <c r="A26" s="19" t="s">
        <v>4188</v>
      </c>
      <c r="C26" s="9"/>
      <c r="D26" s="9"/>
      <c r="E26" s="9"/>
      <c r="F26" s="9"/>
      <c r="G26" s="9"/>
      <c r="H26" s="9" t="str">
        <f>VLOOKUP(H27,Master!$AB:$AC,2,FALSE)</f>
        <v>9900</v>
      </c>
      <c r="I26" s="9" t="str">
        <f>VLOOKUP(I27,Master!$AB:$AC,2,FALSE)</f>
        <v>9900</v>
      </c>
      <c r="J26" s="9" t="str">
        <f>VLOOKUP(J27,Master!$AB:$AC,2,FALSE)</f>
        <v>9900</v>
      </c>
      <c r="K26" s="9" t="str">
        <f>VLOOKUP(K27,Master!$AB:$AC,2,FALSE)</f>
        <v>9900</v>
      </c>
      <c r="L26" s="9" t="str">
        <f>VLOOKUP(L27,Master!$AB:$AC,2,FALSE)</f>
        <v>9900</v>
      </c>
      <c r="M26" s="9" t="str">
        <f>VLOOKUP(M27,Master!$AB:$AC,2,FALSE)</f>
        <v>9900</v>
      </c>
      <c r="N26" s="9" t="str">
        <f>VLOOKUP(N27,Master!$AB:$AC,2,FALSE)</f>
        <v>9900</v>
      </c>
      <c r="O26" s="9" t="str">
        <f>VLOOKUP(O27,Master!$AB:$AC,2,FALSE)</f>
        <v>9900</v>
      </c>
      <c r="P26" s="9" t="str">
        <f>VLOOKUP(P27,Master!$AB:$AC,2,FALSE)</f>
        <v>9900</v>
      </c>
      <c r="Q26" s="9" t="str">
        <f>VLOOKUP(Q27,Master!$AB:$AC,2,FALSE)</f>
        <v>9900</v>
      </c>
      <c r="R26" s="9" t="str">
        <f>VLOOKUP(R27,Master!$AB:$AC,2,FALSE)</f>
        <v>9900</v>
      </c>
      <c r="S26" s="9" t="str">
        <f>VLOOKUP(S27,Master!$AB:$AC,2,FALSE)</f>
        <v>9900</v>
      </c>
      <c r="T26" s="9" t="str">
        <f>VLOOKUP(T27,Master!$AB:$AC,2,FALSE)</f>
        <v>9900</v>
      </c>
      <c r="U26" s="9" t="str">
        <f>VLOOKUP(U27,Master!$AB:$AC,2,FALSE)</f>
        <v>9900</v>
      </c>
    </row>
    <row customFormat="1" ht="60" r="27" s="1" spans="1:21" x14ac:dyDescent="0.25">
      <c r="A27" s="18" t="s">
        <v>4189</v>
      </c>
      <c r="C27" s="10"/>
      <c r="D27" s="10"/>
      <c r="E27" s="10"/>
      <c r="F27" s="10"/>
      <c r="G27" s="10"/>
      <c r="H27" s="10" t="s">
        <v>2963</v>
      </c>
      <c r="I27" s="10" t="s">
        <v>2963</v>
      </c>
      <c r="J27" s="10" t="s">
        <v>2963</v>
      </c>
      <c r="K27" s="10" t="s">
        <v>2963</v>
      </c>
      <c r="L27" s="10" t="s">
        <v>2963</v>
      </c>
      <c r="M27" s="10" t="s">
        <v>2963</v>
      </c>
      <c r="N27" s="10" t="s">
        <v>2963</v>
      </c>
      <c r="O27" s="10" t="s">
        <v>2963</v>
      </c>
      <c r="P27" s="10" t="s">
        <v>2963</v>
      </c>
      <c r="Q27" s="10" t="s">
        <v>2963</v>
      </c>
      <c r="R27" s="10" t="s">
        <v>2963</v>
      </c>
      <c r="S27" s="10" t="s">
        <v>2963</v>
      </c>
      <c r="T27" s="10" t="s">
        <v>2963</v>
      </c>
      <c r="U27" s="10" t="s">
        <v>2963</v>
      </c>
    </row>
    <row customFormat="1" r="28" s="1" spans="1:21" x14ac:dyDescent="0.25">
      <c r="A28" s="19" t="s">
        <v>4190</v>
      </c>
      <c r="C28" s="9"/>
      <c r="D28" s="9"/>
      <c r="E28" s="9"/>
      <c r="F28" s="9"/>
      <c r="G28" s="9"/>
      <c r="H28" s="9" t="str">
        <f>VLOOKUP(H29,Master!$AE:$AF,2,FALSE)</f>
        <v>00502</v>
      </c>
      <c r="I28" s="9" t="str">
        <f>VLOOKUP(I29,Master!$AE:$AF,2,FALSE)</f>
        <v>00502</v>
      </c>
      <c r="J28" s="9" t="str">
        <f>VLOOKUP(J29,Master!$AE:$AF,2,FALSE)</f>
        <v>00502</v>
      </c>
      <c r="K28" s="9" t="str">
        <f>VLOOKUP(K29,Master!$AE:$AF,2,FALSE)</f>
        <v>00502</v>
      </c>
      <c r="L28" s="9" t="str">
        <f>VLOOKUP(L29,Master!$AE:$AF,2,FALSE)</f>
        <v>00502</v>
      </c>
      <c r="M28" s="9" t="str">
        <f>VLOOKUP(M29,Master!$AE:$AF,2,FALSE)</f>
        <v>00502</v>
      </c>
      <c r="N28" s="9" t="str">
        <f>VLOOKUP(N29,Master!$AE:$AF,2,FALSE)</f>
        <v>00502</v>
      </c>
      <c r="O28" s="9" t="str">
        <f>VLOOKUP(O29,Master!$AE:$AF,2,FALSE)</f>
        <v>00502</v>
      </c>
      <c r="P28" s="9" t="str">
        <f>VLOOKUP(P29,Master!$AE:$AF,2,FALSE)</f>
        <v>00502</v>
      </c>
      <c r="Q28" s="9" t="str">
        <f>VLOOKUP(Q29,Master!$AE:$AF,2,FALSE)</f>
        <v>00502</v>
      </c>
      <c r="R28" s="9" t="str">
        <f>VLOOKUP(R29,Master!$AE:$AF,2,FALSE)</f>
        <v>00502</v>
      </c>
      <c r="S28" s="9" t="str">
        <f>VLOOKUP(S29,Master!$AE:$AF,2,FALSE)</f>
        <v>00502</v>
      </c>
      <c r="T28" s="9" t="str">
        <f>VLOOKUP(T29,Master!$AE:$AF,2,FALSE)</f>
        <v>00502</v>
      </c>
      <c r="U28" s="9" t="str">
        <f>VLOOKUP(U29,Master!$AE:$AF,2,FALSE)</f>
        <v>00502</v>
      </c>
    </row>
    <row customFormat="1" ht="165" r="29" s="1" spans="1:21" x14ac:dyDescent="0.25">
      <c r="A29" s="18" t="s">
        <v>4192</v>
      </c>
      <c r="C29" s="10"/>
      <c r="D29" s="10"/>
      <c r="E29" s="10"/>
      <c r="F29" s="10"/>
      <c r="G29" s="10"/>
      <c r="H29" s="10" t="s">
        <v>1995</v>
      </c>
      <c r="I29" s="10" t="s">
        <v>1995</v>
      </c>
      <c r="J29" s="10" t="s">
        <v>1995</v>
      </c>
      <c r="K29" s="10" t="s">
        <v>1995</v>
      </c>
      <c r="L29" s="10" t="s">
        <v>1995</v>
      </c>
      <c r="M29" s="10" t="s">
        <v>1995</v>
      </c>
      <c r="N29" s="10" t="s">
        <v>1995</v>
      </c>
      <c r="O29" s="10" t="s">
        <v>1995</v>
      </c>
      <c r="P29" s="10" t="s">
        <v>1995</v>
      </c>
      <c r="Q29" s="10" t="s">
        <v>1995</v>
      </c>
      <c r="R29" s="10" t="s">
        <v>1995</v>
      </c>
      <c r="S29" s="10" t="s">
        <v>1995</v>
      </c>
      <c r="T29" s="10" t="s">
        <v>1995</v>
      </c>
      <c r="U29" s="10" t="s">
        <v>1995</v>
      </c>
    </row>
    <row customFormat="1" r="30" s="1" spans="1:21" x14ac:dyDescent="0.25">
      <c r="A30" s="21" t="s">
        <v>4191</v>
      </c>
      <c r="C30" s="9"/>
      <c r="D30" s="9"/>
      <c r="E30" s="9"/>
      <c r="F30" s="9"/>
      <c r="G30" s="9"/>
      <c r="H30" s="9" t="str">
        <f>VLOOKUP(H31,Master!$AH:$AI,2,FALSE)</f>
        <v>00055</v>
      </c>
      <c r="I30" s="9" t="str">
        <f>VLOOKUP(I31,Master!$AH:$AI,2,FALSE)</f>
        <v>00055</v>
      </c>
      <c r="J30" s="9" t="str">
        <f>VLOOKUP(J31,Master!$AH:$AI,2,FALSE)</f>
        <v>00055</v>
      </c>
      <c r="K30" s="9" t="str">
        <f>VLOOKUP(K31,Master!$AH:$AI,2,FALSE)</f>
        <v>00055</v>
      </c>
      <c r="L30" s="9" t="str">
        <f>VLOOKUP(L31,Master!$AH:$AI,2,FALSE)</f>
        <v>00055</v>
      </c>
      <c r="M30" s="9" t="str">
        <f>VLOOKUP(M31,Master!$AH:$AI,2,FALSE)</f>
        <v>00055</v>
      </c>
      <c r="N30" s="9" t="str">
        <f>VLOOKUP(N31,Master!$AH:$AI,2,FALSE)</f>
        <v>00055</v>
      </c>
      <c r="O30" s="9" t="str">
        <f>VLOOKUP(O31,Master!$AH:$AI,2,FALSE)</f>
        <v>00055</v>
      </c>
      <c r="P30" s="9" t="str">
        <f>VLOOKUP(P31,Master!$AH:$AI,2,FALSE)</f>
        <v>00055</v>
      </c>
      <c r="Q30" s="9" t="str">
        <f>VLOOKUP(Q31,Master!$AH:$AI,2,FALSE)</f>
        <v>00055</v>
      </c>
      <c r="R30" s="9" t="str">
        <f>VLOOKUP(R31,Master!$AH:$AI,2,FALSE)</f>
        <v>00055</v>
      </c>
      <c r="S30" s="9" t="str">
        <f>VLOOKUP(S31,Master!$AH:$AI,2,FALSE)</f>
        <v>00055</v>
      </c>
      <c r="T30" s="9" t="str">
        <f>VLOOKUP(T31,Master!$AH:$AI,2,FALSE)</f>
        <v>00055</v>
      </c>
      <c r="U30" s="9" t="str">
        <f>VLOOKUP(U31,Master!$AH:$AI,2,FALSE)</f>
        <v>00055</v>
      </c>
    </row>
    <row customFormat="1" ht="45" r="31" s="1" spans="1:21" x14ac:dyDescent="0.25">
      <c r="A31" s="20" t="s">
        <v>4193</v>
      </c>
      <c r="C31" s="9"/>
      <c r="D31" s="9"/>
      <c r="E31" s="9"/>
      <c r="F31" s="9"/>
      <c r="G31" s="9"/>
      <c r="H31" s="9" t="s">
        <v>2965</v>
      </c>
      <c r="I31" s="9" t="s">
        <v>2965</v>
      </c>
      <c r="J31" s="9" t="s">
        <v>2965</v>
      </c>
      <c r="K31" s="9" t="s">
        <v>2965</v>
      </c>
      <c r="L31" s="9" t="s">
        <v>2965</v>
      </c>
      <c r="M31" s="9" t="s">
        <v>2965</v>
      </c>
      <c r="N31" s="9" t="s">
        <v>2965</v>
      </c>
      <c r="O31" s="9" t="s">
        <v>2965</v>
      </c>
      <c r="P31" s="9" t="s">
        <v>2965</v>
      </c>
      <c r="Q31" s="9" t="s">
        <v>2965</v>
      </c>
      <c r="R31" s="9" t="s">
        <v>2965</v>
      </c>
      <c r="S31" s="9" t="s">
        <v>2965</v>
      </c>
      <c r="T31" s="9" t="s">
        <v>2965</v>
      </c>
      <c r="U31" s="9" t="s">
        <v>2965</v>
      </c>
    </row>
    <row customFormat="1" r="32" s="1" spans="1:21" x14ac:dyDescent="0.25">
      <c r="A32" s="19" t="s">
        <v>4194</v>
      </c>
      <c r="C32" s="9"/>
      <c r="D32" s="9"/>
      <c r="E32" s="9"/>
      <c r="F32" s="9"/>
      <c r="G32" s="9"/>
      <c r="H32" s="9" t="str">
        <f>VLOOKUP(H33,Master!$AK:$AL,2,FALSE)</f>
        <v>PAYMENT_TYPEX_AUTOPAYMENT</v>
      </c>
      <c r="I32" s="9" t="str">
        <f>VLOOKUP(I33,Master!$AK:$AL,2,FALSE)</f>
        <v>PAYMENT_TYPEX_AUTOPAYMENT</v>
      </c>
      <c r="J32" s="9" t="str">
        <f>VLOOKUP(J33,Master!$AK:$AL,2,FALSE)</f>
        <v>PAYMENT_TYPEX_AUTOPAYMENT</v>
      </c>
      <c r="K32" s="9" t="str">
        <f>VLOOKUP(K33,Master!$AK:$AL,2,FALSE)</f>
        <v>PAYMENT_TYPEX_AUTOPAYMENT</v>
      </c>
      <c r="L32" s="9" t="str">
        <f>VLOOKUP(L33,Master!$AK:$AL,2,FALSE)</f>
        <v>PAYMENT_TYPEX_AUTOPAYMENT</v>
      </c>
      <c r="M32" s="9" t="str">
        <f>VLOOKUP(M33,Master!$AK:$AL,2,FALSE)</f>
        <v>PAYMENT_TYPEX_AUTOPAYMENT</v>
      </c>
      <c r="N32" s="9" t="str">
        <f>VLOOKUP(N33,Master!$AK:$AL,2,FALSE)</f>
        <v>PAYMENT_TYPEX_AUTOPAYMENT</v>
      </c>
      <c r="O32" s="9" t="str">
        <f>VLOOKUP(O33,Master!$AK:$AL,2,FALSE)</f>
        <v>PAYMENT_TYPEX_AUTOPAYMENT</v>
      </c>
      <c r="P32" s="9" t="str">
        <f>VLOOKUP(P33,Master!$AK:$AL,2,FALSE)</f>
        <v>PAYMENT_TYPEX_AUTOPAYMENT</v>
      </c>
      <c r="Q32" s="9" t="str">
        <f>VLOOKUP(Q33,Master!$AK:$AL,2,FALSE)</f>
        <v>PAYMENT_TYPEX_AUTOPAYMENT</v>
      </c>
      <c r="R32" s="9" t="str">
        <f>VLOOKUP(R33,Master!$AK:$AL,2,FALSE)</f>
        <v>PAYMENT_TYPEX_AUTOPAYMENT</v>
      </c>
      <c r="S32" s="9" t="str">
        <f>VLOOKUP(S33,Master!$AK:$AL,2,FALSE)</f>
        <v>PAYMENT_TYPEX_AUTOPAYMENT</v>
      </c>
      <c r="T32" s="9" t="str">
        <f>VLOOKUP(T33,Master!$AK:$AL,2,FALSE)</f>
        <v>PAYMENT_TYPEX_AUTOPAYMENT</v>
      </c>
      <c r="U32" s="9" t="str">
        <f>VLOOKUP(U33,Master!$AK:$AL,2,FALSE)</f>
        <v>PAYMENT_TYPEX_AUTOPAYMENT</v>
      </c>
    </row>
    <row customFormat="1" ht="45" r="33" s="1" spans="1:21" x14ac:dyDescent="0.25">
      <c r="A33" s="18" t="s">
        <v>4196</v>
      </c>
      <c r="C33" s="9"/>
      <c r="D33" s="9"/>
      <c r="E33" s="9"/>
      <c r="F33" s="9"/>
      <c r="G33" s="9"/>
      <c r="H33" s="9" t="s">
        <v>2975</v>
      </c>
      <c r="I33" s="9" t="s">
        <v>2975</v>
      </c>
      <c r="J33" s="9" t="s">
        <v>2975</v>
      </c>
      <c r="K33" s="9" t="s">
        <v>2975</v>
      </c>
      <c r="L33" s="9" t="s">
        <v>2975</v>
      </c>
      <c r="M33" s="9" t="s">
        <v>2975</v>
      </c>
      <c r="N33" s="9" t="s">
        <v>2975</v>
      </c>
      <c r="O33" s="9" t="s">
        <v>2975</v>
      </c>
      <c r="P33" s="9" t="s">
        <v>2975</v>
      </c>
      <c r="Q33" s="9" t="s">
        <v>2975</v>
      </c>
      <c r="R33" s="9" t="s">
        <v>2975</v>
      </c>
      <c r="S33" s="9" t="s">
        <v>2975</v>
      </c>
      <c r="T33" s="9" t="s">
        <v>2975</v>
      </c>
      <c r="U33" s="9" t="s">
        <v>2975</v>
      </c>
    </row>
    <row customFormat="1" r="34" s="1" spans="1:21" x14ac:dyDescent="0.25">
      <c r="A34" s="18" t="s">
        <v>4195</v>
      </c>
      <c r="C34" s="10"/>
      <c r="D34" s="10"/>
      <c r="E34" s="10"/>
      <c r="F34" s="10"/>
      <c r="G34" s="10"/>
      <c r="H34" s="10" t="s">
        <v>4062</v>
      </c>
      <c r="I34" s="10" t="s">
        <v>4062</v>
      </c>
      <c r="J34" s="10" t="s">
        <v>4062</v>
      </c>
      <c r="K34" s="10" t="s">
        <v>4062</v>
      </c>
      <c r="L34" s="10" t="s">
        <v>4062</v>
      </c>
      <c r="M34" s="10" t="s">
        <v>4062</v>
      </c>
      <c r="N34" s="10" t="s">
        <v>4062</v>
      </c>
      <c r="O34" s="10" t="s">
        <v>4062</v>
      </c>
      <c r="P34" s="10" t="s">
        <v>4062</v>
      </c>
      <c r="Q34" s="10" t="s">
        <v>4062</v>
      </c>
      <c r="R34" s="10" t="s">
        <v>4062</v>
      </c>
      <c r="S34" s="10" t="s">
        <v>4062</v>
      </c>
      <c r="T34" s="10" t="s">
        <v>4062</v>
      </c>
      <c r="U34" s="10" t="s">
        <v>4062</v>
      </c>
    </row>
    <row customFormat="1" r="35" s="1" spans="1:21" x14ac:dyDescent="0.25">
      <c r="A35" s="19" t="s">
        <v>4197</v>
      </c>
      <c r="C35" s="9"/>
      <c r="D35" s="9"/>
      <c r="E35" s="9"/>
      <c r="F35" s="9"/>
      <c r="G35" s="9"/>
      <c r="H35" s="9" t="e">
        <f>VLOOKUP(H36,Master!$AN:$AO,2,FALSE)</f>
        <v>#N/A</v>
      </c>
      <c r="I35" s="9" t="e">
        <f>VLOOKUP(I36,Master!$AN:$AO,2,FALSE)</f>
        <v>#N/A</v>
      </c>
      <c r="J35" s="9" t="e">
        <f>VLOOKUP(J36,Master!$AN:$AO,2,FALSE)</f>
        <v>#N/A</v>
      </c>
      <c r="K35" s="9" t="e">
        <f>VLOOKUP(K36,Master!$AN:$AO,2,FALSE)</f>
        <v>#N/A</v>
      </c>
      <c r="L35" s="9" t="e">
        <f>VLOOKUP(L36,Master!$AN:$AO,2,FALSE)</f>
        <v>#N/A</v>
      </c>
      <c r="M35" s="9" t="e">
        <f>VLOOKUP(M36,Master!$AN:$AO,2,FALSE)</f>
        <v>#N/A</v>
      </c>
      <c r="N35" s="9" t="e">
        <f>VLOOKUP(N36,Master!$AN:$AO,2,FALSE)</f>
        <v>#N/A</v>
      </c>
      <c r="O35" s="9" t="e">
        <f>VLOOKUP(O36,Master!$AN:$AO,2,FALSE)</f>
        <v>#N/A</v>
      </c>
      <c r="P35" s="9" t="e">
        <f>VLOOKUP(P36,Master!$AN:$AO,2,FALSE)</f>
        <v>#N/A</v>
      </c>
      <c r="Q35" s="9" t="e">
        <f>VLOOKUP(Q36,Master!$AN:$AO,2,FALSE)</f>
        <v>#N/A</v>
      </c>
      <c r="R35" s="9" t="e">
        <f>VLOOKUP(R36,Master!$AN:$AO,2,FALSE)</f>
        <v>#N/A</v>
      </c>
      <c r="S35" s="9" t="e">
        <f>VLOOKUP(S36,Master!$AN:$AO,2,FALSE)</f>
        <v>#N/A</v>
      </c>
      <c r="T35" s="9" t="e">
        <f>VLOOKUP(T36,Master!$AN:$AO,2,FALSE)</f>
        <v>#N/A</v>
      </c>
      <c r="U35" s="9" t="e">
        <f>VLOOKUP(U36,Master!$AN:$AO,2,FALSE)</f>
        <v>#N/A</v>
      </c>
    </row>
    <row customFormat="1" r="36" s="1" spans="1:21" x14ac:dyDescent="0.25">
      <c r="A36" s="1" t="s">
        <v>1598</v>
      </c>
      <c r="C36" s="9"/>
      <c r="D36" s="9"/>
      <c r="E36" s="9"/>
      <c r="F36" s="9"/>
      <c r="G36" s="9"/>
      <c r="H36" s="9"/>
      <c r="I36" s="9"/>
      <c r="J36" s="9"/>
      <c r="K36" s="9"/>
      <c r="L36" s="9"/>
      <c r="M36" s="9"/>
      <c r="N36" s="9"/>
      <c r="O36" s="9"/>
      <c r="P36" s="9"/>
      <c r="Q36" s="9"/>
      <c r="R36" s="9"/>
      <c r="S36" s="9"/>
      <c r="T36" s="9"/>
      <c r="U36" s="9"/>
    </row>
    <row customFormat="1" ht="30" r="37" s="1" spans="1:21" x14ac:dyDescent="0.25">
      <c r="A37" s="18" t="s">
        <v>4198</v>
      </c>
      <c r="C37" s="25"/>
      <c r="D37" s="25"/>
      <c r="E37" s="25"/>
      <c r="F37" s="25"/>
      <c r="G37" s="25"/>
      <c r="H37" s="25" t="s">
        <v>4103</v>
      </c>
      <c r="I37" s="25" t="s">
        <v>4103</v>
      </c>
      <c r="J37" s="25" t="s">
        <v>4103</v>
      </c>
      <c r="K37" s="25" t="s">
        <v>4103</v>
      </c>
      <c r="L37" s="25" t="s">
        <v>4103</v>
      </c>
      <c r="M37" s="25" t="s">
        <v>4103</v>
      </c>
      <c r="N37" s="25" t="s">
        <v>4103</v>
      </c>
      <c r="O37" s="25" t="s">
        <v>4103</v>
      </c>
      <c r="P37" s="25" t="s">
        <v>4103</v>
      </c>
      <c r="Q37" s="25" t="s">
        <v>4103</v>
      </c>
      <c r="R37" s="25" t="s">
        <v>4103</v>
      </c>
      <c r="S37" s="25" t="s">
        <v>4103</v>
      </c>
      <c r="T37" s="25" t="s">
        <v>4103</v>
      </c>
      <c r="U37" s="25" t="s">
        <v>4103</v>
      </c>
    </row>
    <row customFormat="1" r="38" s="1" spans="1:21" x14ac:dyDescent="0.25">
      <c r="A38" s="19" t="s">
        <v>4199</v>
      </c>
      <c r="C38" s="9"/>
      <c r="D38" s="9"/>
      <c r="E38" s="9"/>
      <c r="F38" s="9"/>
      <c r="G38" s="9"/>
      <c r="H38" s="9" t="str">
        <f>VLOOKUP(H39,Master!$AQ$1:$AR$2,2,FALSE)</f>
        <v>BISNIS_SENDIRI</v>
      </c>
      <c r="I38" s="9" t="str">
        <f>VLOOKUP(I39,Master!$AQ$1:$AR$2,2,FALSE)</f>
        <v>BISNIS_SENDIRI</v>
      </c>
      <c r="J38" s="9" t="str">
        <f>VLOOKUP(J39,Master!$AQ$1:$AR$2,2,FALSE)</f>
        <v>BISNIS_SENDIRI</v>
      </c>
      <c r="K38" s="9" t="str">
        <f>VLOOKUP(K39,Master!$AQ$1:$AR$2,2,FALSE)</f>
        <v>BISNIS_SENDIRI</v>
      </c>
      <c r="L38" s="9" t="str">
        <f>VLOOKUP(L39,Master!$AQ$1:$AR$2,2,FALSE)</f>
        <v>BISNIS_SENDIRI</v>
      </c>
      <c r="M38" s="9" t="str">
        <f>VLOOKUP(M39,Master!$AQ$1:$AR$2,2,FALSE)</f>
        <v>BISNIS_SENDIRI</v>
      </c>
      <c r="N38" s="9" t="str">
        <f>VLOOKUP(N39,Master!$AQ$1:$AR$2,2,FALSE)</f>
        <v>BISNIS_SENDIRI</v>
      </c>
      <c r="O38" s="9" t="str">
        <f>VLOOKUP(O39,Master!$AQ$1:$AR$2,2,FALSE)</f>
        <v>BISNIS_SENDIRI</v>
      </c>
      <c r="P38" s="9" t="str">
        <f>VLOOKUP(P39,Master!$AQ$1:$AR$2,2,FALSE)</f>
        <v>BISNIS_SENDIRI</v>
      </c>
      <c r="Q38" s="9" t="str">
        <f>VLOOKUP(Q39,Master!$AQ$1:$AR$2,2,FALSE)</f>
        <v>BISNIS_SENDIRI</v>
      </c>
      <c r="R38" s="9" t="str">
        <f>VLOOKUP(R39,Master!$AQ$1:$AR$2,2,FALSE)</f>
        <v>BISNIS_SENDIRI</v>
      </c>
      <c r="S38" s="9" t="str">
        <f>VLOOKUP(S39,Master!$AQ$1:$AR$2,2,FALSE)</f>
        <v>BISNIS_SENDIRI</v>
      </c>
      <c r="T38" s="9" t="str">
        <f>VLOOKUP(T39,Master!$AQ$1:$AR$2,2,FALSE)</f>
        <v>BISNIS_SENDIRI</v>
      </c>
      <c r="U38" s="9" t="str">
        <f>VLOOKUP(U39,Master!$AQ$1:$AR$2,2,FALSE)</f>
        <v>BISNIS_SENDIRI</v>
      </c>
    </row>
    <row customFormat="1" ht="30" r="39" s="1" spans="1:21" x14ac:dyDescent="0.25">
      <c r="A39" s="18" t="s">
        <v>4200</v>
      </c>
      <c r="C39" s="10"/>
      <c r="D39" s="10"/>
      <c r="E39" s="10"/>
      <c r="F39" s="10"/>
      <c r="G39" s="10"/>
      <c r="H39" s="10" t="s">
        <v>2985</v>
      </c>
      <c r="I39" s="10" t="s">
        <v>2985</v>
      </c>
      <c r="J39" s="10" t="s">
        <v>2985</v>
      </c>
      <c r="K39" s="10" t="s">
        <v>2985</v>
      </c>
      <c r="L39" s="10" t="s">
        <v>2985</v>
      </c>
      <c r="M39" s="10" t="s">
        <v>2985</v>
      </c>
      <c r="N39" s="10" t="s">
        <v>2985</v>
      </c>
      <c r="O39" s="10" t="s">
        <v>2985</v>
      </c>
      <c r="P39" s="10" t="s">
        <v>2985</v>
      </c>
      <c r="Q39" s="10" t="s">
        <v>2985</v>
      </c>
      <c r="R39" s="10" t="s">
        <v>2985</v>
      </c>
      <c r="S39" s="10" t="s">
        <v>2985</v>
      </c>
      <c r="T39" s="10" t="s">
        <v>2985</v>
      </c>
      <c r="U39" s="10" t="s">
        <v>2985</v>
      </c>
    </row>
    <row customFormat="1" ht="30" r="40" s="1" spans="1:21" x14ac:dyDescent="0.25">
      <c r="A40" s="18" t="s">
        <v>4201</v>
      </c>
      <c r="C40" s="25"/>
      <c r="D40" s="25"/>
      <c r="E40" s="25"/>
      <c r="F40" s="25"/>
      <c r="G40" s="25"/>
      <c r="H40" s="25" t="s">
        <v>4103</v>
      </c>
      <c r="I40" s="25" t="s">
        <v>4103</v>
      </c>
      <c r="J40" s="25" t="s">
        <v>4103</v>
      </c>
      <c r="K40" s="25" t="s">
        <v>4103</v>
      </c>
      <c r="L40" s="25" t="s">
        <v>4103</v>
      </c>
      <c r="M40" s="25" t="s">
        <v>4103</v>
      </c>
      <c r="N40" s="25" t="s">
        <v>4103</v>
      </c>
      <c r="O40" s="25" t="s">
        <v>4103</v>
      </c>
      <c r="P40" s="25" t="s">
        <v>4103</v>
      </c>
      <c r="Q40" s="25" t="s">
        <v>4103</v>
      </c>
      <c r="R40" s="25" t="s">
        <v>4103</v>
      </c>
      <c r="S40" s="25" t="s">
        <v>4103</v>
      </c>
      <c r="T40" s="25" t="s">
        <v>4103</v>
      </c>
      <c r="U40" s="25" t="s">
        <v>4103</v>
      </c>
    </row>
    <row customFormat="1" r="41" s="1" spans="1:21" x14ac:dyDescent="0.25">
      <c r="A41" s="19" t="s">
        <v>4202</v>
      </c>
      <c r="C41" s="9"/>
      <c r="D41" s="9"/>
      <c r="E41" s="9"/>
      <c r="F41" s="9"/>
      <c r="G41" s="9"/>
      <c r="H41" s="9" t="str">
        <f>VLOOKUP(H42,Master!$AT:$AU,2,FALSE)</f>
        <v>OWNED</v>
      </c>
      <c r="I41" s="9" t="str">
        <f>VLOOKUP(I42,Master!$AT:$AU,2,FALSE)</f>
        <v>OWNED</v>
      </c>
      <c r="J41" s="9" t="str">
        <f>VLOOKUP(J42,Master!$AT:$AU,2,FALSE)</f>
        <v>OWNED</v>
      </c>
      <c r="K41" s="9" t="str">
        <f>VLOOKUP(K42,Master!$AT:$AU,2,FALSE)</f>
        <v>OWNED</v>
      </c>
      <c r="L41" s="9" t="str">
        <f>VLOOKUP(L42,Master!$AT:$AU,2,FALSE)</f>
        <v>OWNED</v>
      </c>
      <c r="M41" s="9" t="str">
        <f>VLOOKUP(M42,Master!$AT:$AU,2,FALSE)</f>
        <v>OWNED</v>
      </c>
      <c r="N41" s="9" t="str">
        <f>VLOOKUP(N42,Master!$AT:$AU,2,FALSE)</f>
        <v>OWNED</v>
      </c>
      <c r="O41" s="9" t="str">
        <f>VLOOKUP(O42,Master!$AT:$AU,2,FALSE)</f>
        <v>OWNED</v>
      </c>
      <c r="P41" s="9" t="str">
        <f>VLOOKUP(P42,Master!$AT:$AU,2,FALSE)</f>
        <v>OWNED</v>
      </c>
      <c r="Q41" s="9" t="str">
        <f>VLOOKUP(Q42,Master!$AT:$AU,2,FALSE)</f>
        <v>OWNED</v>
      </c>
      <c r="R41" s="9" t="str">
        <f>VLOOKUP(R42,Master!$AT:$AU,2,FALSE)</f>
        <v>OWNED</v>
      </c>
      <c r="S41" s="9" t="str">
        <f>VLOOKUP(S42,Master!$AT:$AU,2,FALSE)</f>
        <v>OWNED</v>
      </c>
      <c r="T41" s="9" t="str">
        <f>VLOOKUP(T42,Master!$AT:$AU,2,FALSE)</f>
        <v>OWNED</v>
      </c>
      <c r="U41" s="9" t="str">
        <f>VLOOKUP(U42,Master!$AT:$AU,2,FALSE)</f>
        <v>OWNED</v>
      </c>
    </row>
    <row customFormat="1" ht="30" r="42" s="1" spans="1:21" x14ac:dyDescent="0.25">
      <c r="A42" s="1" t="s">
        <v>1599</v>
      </c>
      <c r="C42" s="9"/>
      <c r="D42" s="9"/>
      <c r="E42" s="9"/>
      <c r="F42" s="9"/>
      <c r="G42" s="9"/>
      <c r="H42" s="9" t="s">
        <v>26</v>
      </c>
      <c r="I42" s="9" t="s">
        <v>26</v>
      </c>
      <c r="J42" s="9" t="s">
        <v>26</v>
      </c>
      <c r="K42" s="9" t="s">
        <v>26</v>
      </c>
      <c r="L42" s="9" t="s">
        <v>26</v>
      </c>
      <c r="M42" s="9" t="s">
        <v>26</v>
      </c>
      <c r="N42" s="9" t="s">
        <v>26</v>
      </c>
      <c r="O42" s="9" t="s">
        <v>26</v>
      </c>
      <c r="P42" s="9" t="s">
        <v>26</v>
      </c>
      <c r="Q42" s="9" t="s">
        <v>26</v>
      </c>
      <c r="R42" s="9" t="s">
        <v>26</v>
      </c>
      <c r="S42" s="9" t="s">
        <v>26</v>
      </c>
      <c r="T42" s="9" t="s">
        <v>26</v>
      </c>
      <c r="U42" s="9" t="s">
        <v>26</v>
      </c>
    </row>
  </sheetData>
  <dataValidations count="14">
    <dataValidation allowBlank="1" errorStyle="information" showErrorMessage="1" showInputMessage="1" sqref="C13:U13" type="list">
      <formula1>ListDebtGroup</formula1>
    </dataValidation>
    <dataValidation allowBlank="1" errorStyle="information" showErrorMessage="1" showInputMessage="1" sqref="C15:U15" type="list">
      <formula1>ListDebtorBusinessScale</formula1>
    </dataValidation>
    <dataValidation allowBlank="1" errorStyle="information" showErrorMessage="1" showInputMessage="1" sqref="C17:U17" type="list">
      <formula1>ListCounterpart</formula1>
    </dataValidation>
    <dataValidation allowBlank="1" errorStyle="information" showErrorMessage="1" showInputMessage="1" sqref="C19:U19" type="list">
      <formula1>ListSusFinBus</formula1>
    </dataValidation>
    <dataValidation allowBlank="1" errorStyle="information" showErrorMessage="1" showInputMessage="1" sqref="C23:U23" type="list">
      <formula1>ListDebtGroupSLIK</formula1>
    </dataValidation>
    <dataValidation allowBlank="1" errorStyle="information" showErrorMessage="1" showInputMessage="1" sqref="C27:U27" type="list">
      <formula1>ListAfWiMult</formula1>
    </dataValidation>
    <dataValidation allowBlank="1" errorStyle="information" showErrorMessage="1" showInputMessage="1" sqref="C29:U29" type="list">
      <formula1>ListDeptAML</formula1>
    </dataValidation>
    <dataValidation allowBlank="1" errorStyle="information" showErrorMessage="1" showInputMessage="1" sqref="C31:U31" type="list">
      <formula1>ListCSPUSL</formula1>
    </dataValidation>
    <dataValidation allowBlank="1" errorStyle="information" showErrorMessage="1" showInputMessage="1" sqref="C33:U33" type="list">
      <formula1>ListPaymentTypeAML</formula1>
    </dataValidation>
    <dataValidation allowBlank="1" errorStyle="information" showErrorMessage="1" showInputMessage="1" sqref="C36:U36" type="list">
      <formula1>ListAuthorityAML</formula1>
    </dataValidation>
    <dataValidation allowBlank="1" errorStyle="information" showErrorMessage="1" showInputMessage="1" sqref="C39:U39" type="list">
      <formula1>ListBusinessSource</formula1>
    </dataValidation>
    <dataValidation allowBlank="1" errorStyle="information" showErrorMessage="1" showInputMessage="1" sqref="C42:U42" type="list">
      <formula1>ListBuilding</formula1>
    </dataValidation>
    <dataValidation allowBlank="1" errorStyle="information" showErrorMessage="1" showInputMessage="1" sqref="C24:U25 C34:U34 C21:U21" type="list">
      <formula1>"YES, NO"</formula1>
    </dataValidation>
    <dataValidation allowBlank="1" errorStyle="information" showErrorMessage="1" showInputMessage="1" sqref="C40:U40 C37:U37"/>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2"/>
  <sheetViews>
    <sheetView workbookViewId="0">
      <selection activeCell="BG20" sqref="BG20"/>
    </sheetView>
  </sheetViews>
  <sheetFormatPr defaultRowHeight="15" x14ac:dyDescent="0.25"/>
  <cols>
    <col min="1" max="1" customWidth="true" style="4" width="42.140625" collapsed="true"/>
    <col min="2" max="2" customWidth="true" style="5" width="17.28515625" collapsed="true"/>
    <col min="5" max="5" customWidth="true" width="30.0" collapsed="true"/>
    <col min="8" max="8" customWidth="true" width="23.85546875" collapsed="true"/>
    <col min="10" max="10" customWidth="true" width="35.85546875" collapsed="true"/>
    <col min="11" max="11" customWidth="true"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8" width="80.140625" collapsed="true"/>
    <col min="23" max="23" customWidth="true" width="12.5703125" collapsed="true"/>
    <col min="25" max="25" customWidth="true" style="7" width="80.7109375" collapsed="true"/>
    <col min="26" max="26" customWidth="true" style="6" width="21.5703125" collapsed="true"/>
    <col min="28" max="28" customWidth="true" style="7" width="69.140625" collapsed="true"/>
    <col min="29" max="29" customWidth="true" style="6" width="8.140625" collapsed="true"/>
    <col min="31" max="31" customWidth="true" width="89.0" collapsed="true"/>
    <col min="32" max="32" customWidth="true" width="25.5703125" collapsed="true"/>
    <col min="34" max="34" customWidth="true" width="23.0" collapsed="true"/>
    <col min="35" max="35" customWidth="true" style="6"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ht="30" r="1" spans="1:61" x14ac:dyDescent="0.25">
      <c r="A1" s="5" t="s">
        <v>3290</v>
      </c>
      <c r="B1" s="5" t="s">
        <v>3291</v>
      </c>
      <c r="E1" t="s">
        <v>3292</v>
      </c>
      <c r="H1" t="s">
        <v>41</v>
      </c>
      <c r="J1" s="12" t="s">
        <v>3284</v>
      </c>
      <c r="K1" s="13" t="s">
        <v>3285</v>
      </c>
      <c r="M1" t="s">
        <v>3299</v>
      </c>
      <c r="N1" t="s">
        <v>3300</v>
      </c>
      <c r="P1" t="s">
        <v>3301</v>
      </c>
      <c r="Q1" t="s">
        <v>1230</v>
      </c>
      <c r="S1" t="s">
        <v>3302</v>
      </c>
      <c r="T1" t="s">
        <v>3303</v>
      </c>
      <c r="V1" s="8" t="s">
        <v>682</v>
      </c>
      <c r="W1" s="8" t="s">
        <v>3306</v>
      </c>
      <c r="Y1" s="7" t="s">
        <v>3307</v>
      </c>
      <c r="Z1" s="14" t="s">
        <v>3308</v>
      </c>
      <c r="AB1" s="7" t="s">
        <v>2964</v>
      </c>
      <c r="AC1" s="7" t="s">
        <v>3309</v>
      </c>
      <c r="AE1" t="s">
        <v>3310</v>
      </c>
      <c r="AF1" t="s">
        <v>3311</v>
      </c>
      <c r="AH1" t="s">
        <v>1597</v>
      </c>
      <c r="AI1" t="s">
        <v>3312</v>
      </c>
      <c r="AK1" t="s">
        <v>3313</v>
      </c>
      <c r="AL1" t="s">
        <v>3309</v>
      </c>
      <c r="AN1" t="s">
        <v>3314</v>
      </c>
      <c r="AO1" t="s">
        <v>3315</v>
      </c>
      <c r="AQ1" t="s">
        <v>2986</v>
      </c>
      <c r="AR1" t="s">
        <v>3309</v>
      </c>
      <c r="AT1" t="s">
        <v>3316</v>
      </c>
      <c r="AU1" t="s">
        <v>3317</v>
      </c>
      <c r="AW1" t="s">
        <v>3318</v>
      </c>
      <c r="AX1" t="s">
        <v>3319</v>
      </c>
      <c r="BA1" t="s">
        <v>3570</v>
      </c>
      <c r="BB1" t="s">
        <v>3571</v>
      </c>
      <c r="BE1" t="s">
        <v>4054</v>
      </c>
      <c r="BG1" t="s">
        <v>4119</v>
      </c>
      <c r="BI1" t="s">
        <v>4134</v>
      </c>
    </row>
    <row r="2" spans="1:61" x14ac:dyDescent="0.25">
      <c r="A2" s="5" t="s">
        <v>61</v>
      </c>
      <c r="B2" s="5" t="s">
        <v>28</v>
      </c>
      <c r="E2" t="s">
        <v>3293</v>
      </c>
      <c r="H2" t="s">
        <v>3298</v>
      </c>
      <c r="J2" t="s">
        <v>335</v>
      </c>
      <c r="K2" s="12" t="s">
        <v>334</v>
      </c>
      <c r="M2" t="s">
        <v>683</v>
      </c>
      <c r="N2" t="s">
        <v>55</v>
      </c>
      <c r="P2" t="s">
        <v>1231</v>
      </c>
      <c r="Q2" t="s">
        <v>3548</v>
      </c>
      <c r="S2" t="s">
        <v>1236</v>
      </c>
      <c r="T2" t="s">
        <v>1415</v>
      </c>
      <c r="V2" s="8" t="s">
        <v>1402</v>
      </c>
      <c r="W2" s="8" t="s">
        <v>1581</v>
      </c>
      <c r="Y2" s="7" t="s">
        <v>2565</v>
      </c>
      <c r="Z2" s="7" t="s">
        <v>2757</v>
      </c>
      <c r="AB2" s="7" t="s">
        <v>2949</v>
      </c>
      <c r="AC2" s="7" t="s">
        <v>2767</v>
      </c>
      <c r="AE2" t="s">
        <v>1600</v>
      </c>
      <c r="AF2" t="s">
        <v>1601</v>
      </c>
      <c r="AH2" t="s">
        <v>2965</v>
      </c>
      <c r="AI2" t="s">
        <v>2998</v>
      </c>
      <c r="AK2" t="s">
        <v>2975</v>
      </c>
      <c r="AL2" t="s">
        <v>2974</v>
      </c>
      <c r="AN2" t="s">
        <v>2978</v>
      </c>
      <c r="AO2" t="s">
        <v>517</v>
      </c>
      <c r="AQ2" t="s">
        <v>2985</v>
      </c>
      <c r="AR2" s="16" t="s">
        <v>59</v>
      </c>
      <c r="AT2" t="s">
        <v>32</v>
      </c>
      <c r="AU2" t="s">
        <v>2987</v>
      </c>
      <c r="AW2" t="s">
        <v>3320</v>
      </c>
      <c r="AX2" t="s">
        <v>3321</v>
      </c>
      <c r="BA2" t="s">
        <v>3572</v>
      </c>
      <c r="BB2" t="s">
        <v>3573</v>
      </c>
      <c r="BE2" t="s">
        <v>4055</v>
      </c>
      <c r="BG2" t="s">
        <v>4120</v>
      </c>
      <c r="BI2" t="s">
        <v>4135</v>
      </c>
    </row>
    <row r="3" spans="1:61" x14ac:dyDescent="0.25">
      <c r="A3" s="5" t="s">
        <v>62</v>
      </c>
      <c r="B3" s="5" t="s">
        <v>63</v>
      </c>
      <c r="E3" t="s">
        <v>3294</v>
      </c>
      <c r="H3" t="s">
        <v>331</v>
      </c>
      <c r="J3" t="s">
        <v>337</v>
      </c>
      <c r="K3" s="12" t="s">
        <v>336</v>
      </c>
      <c r="M3" t="s">
        <v>684</v>
      </c>
      <c r="N3" t="s">
        <v>56</v>
      </c>
      <c r="P3" t="s">
        <v>1232</v>
      </c>
      <c r="Q3" t="s">
        <v>3549</v>
      </c>
      <c r="S3" s="5" t="s">
        <v>1237</v>
      </c>
      <c r="T3" t="s">
        <v>1416</v>
      </c>
      <c r="V3" s="8" t="s">
        <v>1403</v>
      </c>
      <c r="W3" s="8" t="s">
        <v>1582</v>
      </c>
      <c r="Y3" s="7" t="s">
        <v>2566</v>
      </c>
      <c r="Z3" s="7" t="s">
        <v>2758</v>
      </c>
      <c r="AB3" s="7" t="s">
        <v>2950</v>
      </c>
      <c r="AC3" s="7" t="s">
        <v>2768</v>
      </c>
      <c r="AE3" t="s">
        <v>1602</v>
      </c>
      <c r="AF3" t="s">
        <v>1603</v>
      </c>
      <c r="AH3" t="s">
        <v>2966</v>
      </c>
      <c r="AI3" t="s">
        <v>2999</v>
      </c>
      <c r="AK3" t="s">
        <v>2977</v>
      </c>
      <c r="AL3" t="s">
        <v>2976</v>
      </c>
      <c r="AN3" t="s">
        <v>2979</v>
      </c>
      <c r="AO3" t="s">
        <v>523</v>
      </c>
      <c r="AQ3" s="15"/>
      <c r="AT3" t="s">
        <v>2994</v>
      </c>
      <c r="AU3" t="s">
        <v>2988</v>
      </c>
      <c r="AW3" t="s">
        <v>3322</v>
      </c>
      <c r="AX3" t="s">
        <v>3323</v>
      </c>
      <c r="BA3" t="s">
        <v>3574</v>
      </c>
      <c r="BB3" t="s">
        <v>3575</v>
      </c>
      <c r="BE3" t="s">
        <v>4056</v>
      </c>
      <c r="BG3" t="s">
        <v>4121</v>
      </c>
      <c r="BI3" t="s">
        <v>4136</v>
      </c>
    </row>
    <row r="4" spans="1:61" x14ac:dyDescent="0.25">
      <c r="A4" s="5" t="s">
        <v>64</v>
      </c>
      <c r="B4" s="5" t="s">
        <v>65</v>
      </c>
      <c r="E4" t="s">
        <v>3295</v>
      </c>
      <c r="H4" t="s">
        <v>324</v>
      </c>
      <c r="J4" t="s">
        <v>338</v>
      </c>
      <c r="K4" s="12" t="s">
        <v>533</v>
      </c>
      <c r="M4" t="s">
        <v>685</v>
      </c>
      <c r="N4" t="s">
        <v>57</v>
      </c>
      <c r="P4" t="s">
        <v>1233</v>
      </c>
      <c r="Q4" t="s">
        <v>3555</v>
      </c>
      <c r="S4" s="5" t="s">
        <v>1238</v>
      </c>
      <c r="T4" t="s">
        <v>1417</v>
      </c>
      <c r="V4" s="8" t="s">
        <v>1404</v>
      </c>
      <c r="W4" s="8" t="s">
        <v>1583</v>
      </c>
      <c r="Y4" s="7" t="s">
        <v>2567</v>
      </c>
      <c r="Z4" s="7" t="s">
        <v>2759</v>
      </c>
      <c r="AB4" s="7" t="s">
        <v>2951</v>
      </c>
      <c r="AC4" s="7" t="s">
        <v>3007</v>
      </c>
      <c r="AE4" t="s">
        <v>1604</v>
      </c>
      <c r="AF4" t="s">
        <v>1605</v>
      </c>
      <c r="AH4" t="s">
        <v>2967</v>
      </c>
      <c r="AI4" t="s">
        <v>3000</v>
      </c>
      <c r="AN4" t="s">
        <v>2980</v>
      </c>
      <c r="AO4" t="s">
        <v>522</v>
      </c>
      <c r="AT4" t="s">
        <v>2995</v>
      </c>
      <c r="AU4" t="s">
        <v>2989</v>
      </c>
      <c r="AW4" t="s">
        <v>3324</v>
      </c>
      <c r="AX4" t="s">
        <v>3325</v>
      </c>
      <c r="BA4" t="s">
        <v>3576</v>
      </c>
      <c r="BB4" t="s">
        <v>3577</v>
      </c>
      <c r="BE4" t="s">
        <v>43</v>
      </c>
      <c r="BG4" t="s">
        <v>4122</v>
      </c>
    </row>
    <row r="5" spans="1:61" x14ac:dyDescent="0.25">
      <c r="A5" s="5" t="s">
        <v>66</v>
      </c>
      <c r="B5" s="5" t="s">
        <v>67</v>
      </c>
      <c r="E5" t="s">
        <v>3296</v>
      </c>
      <c r="H5" t="s">
        <v>330</v>
      </c>
      <c r="J5" t="s">
        <v>339</v>
      </c>
      <c r="K5" s="12" t="s">
        <v>28</v>
      </c>
      <c r="M5" t="s">
        <v>686</v>
      </c>
      <c r="N5" t="s">
        <v>58</v>
      </c>
      <c r="P5" t="s">
        <v>1234</v>
      </c>
      <c r="Q5" t="s">
        <v>3556</v>
      </c>
      <c r="S5" s="5" t="s">
        <v>1239</v>
      </c>
      <c r="T5" t="s">
        <v>1418</v>
      </c>
      <c r="V5" s="8" t="s">
        <v>1405</v>
      </c>
      <c r="W5" s="8" t="s">
        <v>1584</v>
      </c>
      <c r="Y5" s="7" t="s">
        <v>2568</v>
      </c>
      <c r="Z5" s="7" t="s">
        <v>2760</v>
      </c>
      <c r="AB5" s="7" t="s">
        <v>2952</v>
      </c>
      <c r="AC5" s="7" t="s">
        <v>3008</v>
      </c>
      <c r="AE5" t="s">
        <v>1606</v>
      </c>
      <c r="AF5" t="s">
        <v>1607</v>
      </c>
      <c r="AH5" t="s">
        <v>2968</v>
      </c>
      <c r="AI5" t="s">
        <v>3001</v>
      </c>
      <c r="AN5" t="s">
        <v>2981</v>
      </c>
      <c r="AO5" t="s">
        <v>521</v>
      </c>
      <c r="AT5" t="s">
        <v>2996</v>
      </c>
      <c r="AU5" t="s">
        <v>2990</v>
      </c>
      <c r="AW5" t="s">
        <v>3326</v>
      </c>
      <c r="AX5" t="s">
        <v>3327</v>
      </c>
      <c r="BA5" t="s">
        <v>3578</v>
      </c>
      <c r="BB5" t="s">
        <v>3579</v>
      </c>
      <c r="BE5" t="s">
        <v>4057</v>
      </c>
      <c r="BG5" t="s">
        <v>4123</v>
      </c>
    </row>
    <row r="6" spans="1:61" x14ac:dyDescent="0.25">
      <c r="A6" s="5" t="s">
        <v>68</v>
      </c>
      <c r="B6" s="5" t="s">
        <v>69</v>
      </c>
      <c r="E6" t="s">
        <v>201</v>
      </c>
      <c r="H6" t="s">
        <v>332</v>
      </c>
      <c r="J6" t="s">
        <v>340</v>
      </c>
      <c r="K6" s="12" t="s">
        <v>534</v>
      </c>
      <c r="M6" t="s">
        <v>687</v>
      </c>
      <c r="N6" t="s">
        <v>997</v>
      </c>
      <c r="P6" t="s">
        <v>1235</v>
      </c>
      <c r="Q6" t="s">
        <v>3557</v>
      </c>
      <c r="S6" s="5" t="s">
        <v>1240</v>
      </c>
      <c r="T6" t="s">
        <v>1419</v>
      </c>
      <c r="V6" s="8" t="s">
        <v>1406</v>
      </c>
      <c r="W6" s="8" t="s">
        <v>1585</v>
      </c>
      <c r="Y6" s="7" t="s">
        <v>2569</v>
      </c>
      <c r="Z6" s="7" t="s">
        <v>2761</v>
      </c>
      <c r="AB6" s="7" t="s">
        <v>2953</v>
      </c>
      <c r="AC6" s="7" t="s">
        <v>3009</v>
      </c>
      <c r="AE6" t="s">
        <v>1608</v>
      </c>
      <c r="AF6" t="s">
        <v>1609</v>
      </c>
      <c r="AH6" t="s">
        <v>2969</v>
      </c>
      <c r="AI6" t="s">
        <v>3002</v>
      </c>
      <c r="AN6" t="s">
        <v>2982</v>
      </c>
      <c r="AO6" t="s">
        <v>520</v>
      </c>
      <c r="AT6" t="s">
        <v>2991</v>
      </c>
      <c r="AU6" t="s">
        <v>2991</v>
      </c>
      <c r="AW6" t="s">
        <v>3328</v>
      </c>
      <c r="AX6" t="s">
        <v>3329</v>
      </c>
      <c r="BA6" t="s">
        <v>3580</v>
      </c>
      <c r="BB6" t="s">
        <v>3581</v>
      </c>
      <c r="BE6" t="s">
        <v>3563</v>
      </c>
      <c r="BG6" t="s">
        <v>4124</v>
      </c>
    </row>
    <row r="7" spans="1:61" x14ac:dyDescent="0.25">
      <c r="A7" s="5" t="s">
        <v>70</v>
      </c>
      <c r="B7" s="5" t="s">
        <v>71</v>
      </c>
      <c r="E7" t="s">
        <v>30</v>
      </c>
      <c r="H7" t="s">
        <v>326</v>
      </c>
      <c r="J7" t="s">
        <v>341</v>
      </c>
      <c r="K7" s="12" t="s">
        <v>535</v>
      </c>
      <c r="M7" t="s">
        <v>688</v>
      </c>
      <c r="N7" t="s">
        <v>998</v>
      </c>
      <c r="S7" s="5" t="s">
        <v>1241</v>
      </c>
      <c r="T7" t="s">
        <v>1420</v>
      </c>
      <c r="V7" s="8" t="s">
        <v>1407</v>
      </c>
      <c r="W7" s="8" t="s">
        <v>1586</v>
      </c>
      <c r="Y7" s="7" t="s">
        <v>2570</v>
      </c>
      <c r="Z7" s="7" t="s">
        <v>2762</v>
      </c>
      <c r="AB7" s="7" t="s">
        <v>2954</v>
      </c>
      <c r="AC7" s="7" t="s">
        <v>3010</v>
      </c>
      <c r="AE7" t="s">
        <v>1610</v>
      </c>
      <c r="AF7" t="s">
        <v>1611</v>
      </c>
      <c r="AH7" t="s">
        <v>2970</v>
      </c>
      <c r="AI7" t="s">
        <v>3003</v>
      </c>
      <c r="AN7" t="s">
        <v>2983</v>
      </c>
      <c r="AO7" t="s">
        <v>519</v>
      </c>
      <c r="AT7" t="s">
        <v>26</v>
      </c>
      <c r="AU7" t="s">
        <v>2992</v>
      </c>
      <c r="AW7" t="s">
        <v>3330</v>
      </c>
      <c r="AX7" t="s">
        <v>3331</v>
      </c>
      <c r="BA7" t="s">
        <v>3582</v>
      </c>
      <c r="BB7" t="s">
        <v>3583</v>
      </c>
      <c r="BE7" t="s">
        <v>13</v>
      </c>
      <c r="BG7" t="s">
        <v>4125</v>
      </c>
    </row>
    <row r="8" spans="1:61" x14ac:dyDescent="0.25">
      <c r="A8" s="5" t="s">
        <v>72</v>
      </c>
      <c r="B8" s="5" t="s">
        <v>73</v>
      </c>
      <c r="E8" t="s">
        <v>269</v>
      </c>
      <c r="H8" t="s">
        <v>328</v>
      </c>
      <c r="J8" t="s">
        <v>342</v>
      </c>
      <c r="K8" s="12" t="s">
        <v>536</v>
      </c>
      <c r="M8" t="s">
        <v>689</v>
      </c>
      <c r="N8" t="s">
        <v>999</v>
      </c>
      <c r="S8" s="5" t="s">
        <v>1242</v>
      </c>
      <c r="T8" t="s">
        <v>1421</v>
      </c>
      <c r="V8" s="8" t="s">
        <v>1408</v>
      </c>
      <c r="W8" s="8" t="s">
        <v>1587</v>
      </c>
      <c r="Y8" s="7" t="s">
        <v>2571</v>
      </c>
      <c r="Z8" s="7" t="s">
        <v>2763</v>
      </c>
      <c r="AB8" s="7" t="s">
        <v>2955</v>
      </c>
      <c r="AC8" s="7" t="s">
        <v>3011</v>
      </c>
      <c r="AE8" t="s">
        <v>1612</v>
      </c>
      <c r="AF8" t="s">
        <v>1613</v>
      </c>
      <c r="AH8" t="s">
        <v>2971</v>
      </c>
      <c r="AI8" t="s">
        <v>3004</v>
      </c>
      <c r="AN8" t="s">
        <v>1604</v>
      </c>
      <c r="AO8" t="s">
        <v>524</v>
      </c>
      <c r="AT8" t="s">
        <v>2997</v>
      </c>
      <c r="AU8" t="s">
        <v>2993</v>
      </c>
      <c r="AW8" t="s">
        <v>3020</v>
      </c>
      <c r="AX8" t="s">
        <v>3332</v>
      </c>
      <c r="BA8" t="s">
        <v>3584</v>
      </c>
      <c r="BB8" t="s">
        <v>3585</v>
      </c>
      <c r="BE8" t="s">
        <v>4058</v>
      </c>
      <c r="BG8" t="s">
        <v>4126</v>
      </c>
    </row>
    <row r="9" spans="1:61" x14ac:dyDescent="0.25">
      <c r="A9" s="5" t="s">
        <v>74</v>
      </c>
      <c r="B9" s="5" t="s">
        <v>75</v>
      </c>
      <c r="E9" t="s">
        <v>270</v>
      </c>
      <c r="H9" t="s">
        <v>323</v>
      </c>
      <c r="J9" t="s">
        <v>343</v>
      </c>
      <c r="K9" s="12" t="s">
        <v>537</v>
      </c>
      <c r="M9" t="s">
        <v>690</v>
      </c>
      <c r="N9" t="s">
        <v>39</v>
      </c>
      <c r="S9" s="5" t="s">
        <v>1243</v>
      </c>
      <c r="T9" t="s">
        <v>1422</v>
      </c>
      <c r="V9" s="8" t="s">
        <v>1409</v>
      </c>
      <c r="W9" s="8" t="s">
        <v>1588</v>
      </c>
      <c r="Y9" s="7" t="s">
        <v>2572</v>
      </c>
      <c r="Z9" s="7" t="s">
        <v>2764</v>
      </c>
      <c r="AB9" s="7" t="s">
        <v>2956</v>
      </c>
      <c r="AC9" s="7" t="s">
        <v>3012</v>
      </c>
      <c r="AE9" t="s">
        <v>1614</v>
      </c>
      <c r="AF9" t="s">
        <v>1615</v>
      </c>
      <c r="AH9" t="s">
        <v>2972</v>
      </c>
      <c r="AI9" t="s">
        <v>3005</v>
      </c>
      <c r="AN9" t="s">
        <v>2984</v>
      </c>
      <c r="AO9" t="s">
        <v>518</v>
      </c>
      <c r="AW9" t="s">
        <v>3021</v>
      </c>
      <c r="AX9" t="s">
        <v>3333</v>
      </c>
      <c r="BA9" t="s">
        <v>3586</v>
      </c>
      <c r="BB9" t="s">
        <v>3587</v>
      </c>
      <c r="BE9" t="s">
        <v>4059</v>
      </c>
      <c r="BG9" t="s">
        <v>4127</v>
      </c>
    </row>
    <row ht="30" r="10" spans="1:61" x14ac:dyDescent="0.25">
      <c r="A10" s="5" t="s">
        <v>76</v>
      </c>
      <c r="B10" s="5" t="s">
        <v>77</v>
      </c>
      <c r="E10" t="s">
        <v>262</v>
      </c>
      <c r="H10" t="s">
        <v>42</v>
      </c>
      <c r="J10" t="s">
        <v>344</v>
      </c>
      <c r="K10" s="12" t="s">
        <v>51</v>
      </c>
      <c r="M10" t="s">
        <v>691</v>
      </c>
      <c r="N10" t="s">
        <v>40</v>
      </c>
      <c r="S10" s="5" t="s">
        <v>1244</v>
      </c>
      <c r="T10" t="s">
        <v>1423</v>
      </c>
      <c r="V10" s="8" t="s">
        <v>1410</v>
      </c>
      <c r="W10" s="8" t="s">
        <v>1589</v>
      </c>
      <c r="Y10" s="7" t="s">
        <v>2573</v>
      </c>
      <c r="Z10" s="7" t="s">
        <v>2765</v>
      </c>
      <c r="AB10" s="7" t="s">
        <v>2957</v>
      </c>
      <c r="AC10" s="7" t="s">
        <v>3013</v>
      </c>
      <c r="AE10" t="s">
        <v>1616</v>
      </c>
      <c r="AF10" t="s">
        <v>1617</v>
      </c>
      <c r="AH10" t="s">
        <v>2973</v>
      </c>
      <c r="AI10" t="s">
        <v>3006</v>
      </c>
      <c r="AW10" t="s">
        <v>3022</v>
      </c>
      <c r="AX10" t="s">
        <v>3334</v>
      </c>
      <c r="BA10" t="s">
        <v>3588</v>
      </c>
      <c r="BB10" t="s">
        <v>3589</v>
      </c>
      <c r="BE10" t="s">
        <v>4060</v>
      </c>
      <c r="BG10" t="s">
        <v>4128</v>
      </c>
    </row>
    <row ht="30" r="11" spans="1:61" x14ac:dyDescent="0.25">
      <c r="A11" s="5" t="s">
        <v>78</v>
      </c>
      <c r="B11" s="5" t="s">
        <v>79</v>
      </c>
      <c r="E11" t="s">
        <v>264</v>
      </c>
      <c r="H11" t="s">
        <v>325</v>
      </c>
      <c r="J11" t="s">
        <v>345</v>
      </c>
      <c r="K11" s="12" t="s">
        <v>538</v>
      </c>
      <c r="M11" t="s">
        <v>692</v>
      </c>
      <c r="N11" t="s">
        <v>1000</v>
      </c>
      <c r="S11" s="5" t="s">
        <v>1245</v>
      </c>
      <c r="T11" t="s">
        <v>1424</v>
      </c>
      <c r="V11" s="8" t="s">
        <v>1411</v>
      </c>
      <c r="W11" s="8" t="s">
        <v>1590</v>
      </c>
      <c r="Y11" s="7" t="s">
        <v>2574</v>
      </c>
      <c r="Z11" s="7" t="s">
        <v>2766</v>
      </c>
      <c r="AB11" s="7" t="s">
        <v>2958</v>
      </c>
      <c r="AC11" s="7" t="s">
        <v>3014</v>
      </c>
      <c r="AE11" t="s">
        <v>1618</v>
      </c>
      <c r="AF11" t="s">
        <v>1619</v>
      </c>
      <c r="AW11" t="s">
        <v>3023</v>
      </c>
      <c r="AX11" t="s">
        <v>3335</v>
      </c>
      <c r="BA11" t="s">
        <v>3590</v>
      </c>
      <c r="BB11" t="s">
        <v>3591</v>
      </c>
      <c r="BG11" t="s">
        <v>4129</v>
      </c>
    </row>
    <row ht="30" r="12" spans="1:61" x14ac:dyDescent="0.25">
      <c r="A12" s="5" t="s">
        <v>80</v>
      </c>
      <c r="B12" s="5" t="s">
        <v>81</v>
      </c>
      <c r="E12" t="s">
        <v>265</v>
      </c>
      <c r="H12" t="s">
        <v>327</v>
      </c>
      <c r="J12" t="s">
        <v>346</v>
      </c>
      <c r="K12" s="12" t="s">
        <v>539</v>
      </c>
      <c r="M12" t="s">
        <v>693</v>
      </c>
      <c r="N12" t="s">
        <v>581</v>
      </c>
      <c r="S12" s="5" t="s">
        <v>1246</v>
      </c>
      <c r="T12" t="s">
        <v>1425</v>
      </c>
      <c r="V12" s="8" t="s">
        <v>1412</v>
      </c>
      <c r="W12" s="8" t="s">
        <v>1591</v>
      </c>
      <c r="Y12" s="7" t="s">
        <v>2575</v>
      </c>
      <c r="Z12" s="7" t="s">
        <v>2767</v>
      </c>
      <c r="AB12" s="7" t="s">
        <v>2959</v>
      </c>
      <c r="AC12" s="7" t="s">
        <v>3015</v>
      </c>
      <c r="AE12" t="s">
        <v>1620</v>
      </c>
      <c r="AF12" t="s">
        <v>1621</v>
      </c>
      <c r="AW12" t="s">
        <v>3024</v>
      </c>
      <c r="AX12" t="s">
        <v>3336</v>
      </c>
      <c r="BA12" t="s">
        <v>3592</v>
      </c>
      <c r="BB12" t="s">
        <v>3593</v>
      </c>
      <c r="BG12" t="s">
        <v>4130</v>
      </c>
    </row>
    <row r="13" spans="1:61" x14ac:dyDescent="0.25">
      <c r="A13" s="5" t="s">
        <v>82</v>
      </c>
      <c r="B13" s="5" t="s">
        <v>83</v>
      </c>
      <c r="E13" t="s">
        <v>266</v>
      </c>
      <c r="H13" t="s">
        <v>329</v>
      </c>
      <c r="J13" t="s">
        <v>347</v>
      </c>
      <c r="K13" s="12" t="s">
        <v>540</v>
      </c>
      <c r="M13" t="s">
        <v>694</v>
      </c>
      <c r="N13" t="s">
        <v>582</v>
      </c>
      <c r="S13" s="5" t="s">
        <v>1247</v>
      </c>
      <c r="T13" t="s">
        <v>1426</v>
      </c>
      <c r="V13" s="8" t="s">
        <v>1413</v>
      </c>
      <c r="W13" s="8" t="s">
        <v>1592</v>
      </c>
      <c r="Y13" s="7" t="s">
        <v>2576</v>
      </c>
      <c r="Z13" s="7" t="s">
        <v>2768</v>
      </c>
      <c r="AB13" s="7" t="s">
        <v>2960</v>
      </c>
      <c r="AC13" s="7" t="s">
        <v>3016</v>
      </c>
      <c r="AE13" t="s">
        <v>1622</v>
      </c>
      <c r="AF13" t="s">
        <v>1623</v>
      </c>
      <c r="AW13" t="s">
        <v>3025</v>
      </c>
      <c r="AX13" t="s">
        <v>3337</v>
      </c>
      <c r="BA13" t="s">
        <v>3594</v>
      </c>
      <c r="BB13" t="s">
        <v>3595</v>
      </c>
      <c r="BG13" t="s">
        <v>4131</v>
      </c>
    </row>
    <row r="14" spans="1:61" x14ac:dyDescent="0.25">
      <c r="A14" s="5" t="s">
        <v>84</v>
      </c>
      <c r="B14" s="5" t="s">
        <v>85</v>
      </c>
      <c r="E14" t="s">
        <v>267</v>
      </c>
      <c r="H14" t="s">
        <v>333</v>
      </c>
      <c r="J14" t="s">
        <v>348</v>
      </c>
      <c r="K14" s="12" t="s">
        <v>541</v>
      </c>
      <c r="M14" t="s">
        <v>695</v>
      </c>
      <c r="N14" t="s">
        <v>583</v>
      </c>
      <c r="S14" s="5" t="s">
        <v>1248</v>
      </c>
      <c r="T14" t="s">
        <v>1427</v>
      </c>
      <c r="V14" s="8" t="s">
        <v>1414</v>
      </c>
      <c r="W14" s="8" t="s">
        <v>1593</v>
      </c>
      <c r="Y14" s="7" t="s">
        <v>2577</v>
      </c>
      <c r="Z14" s="7" t="s">
        <v>2769</v>
      </c>
      <c r="AB14" s="7" t="s">
        <v>2961</v>
      </c>
      <c r="AC14" s="7" t="s">
        <v>3017</v>
      </c>
      <c r="AE14" t="s">
        <v>1624</v>
      </c>
      <c r="AF14" t="s">
        <v>1625</v>
      </c>
      <c r="AW14" t="s">
        <v>3026</v>
      </c>
      <c r="AX14" t="s">
        <v>3338</v>
      </c>
      <c r="BA14" t="s">
        <v>3596</v>
      </c>
      <c r="BB14" t="s">
        <v>3597</v>
      </c>
      <c r="BG14" t="s">
        <v>4132</v>
      </c>
    </row>
    <row r="15" spans="1:61" x14ac:dyDescent="0.25">
      <c r="A15" s="5" t="s">
        <v>86</v>
      </c>
      <c r="B15" s="5" t="s">
        <v>87</v>
      </c>
      <c r="E15" t="s">
        <v>268</v>
      </c>
      <c r="J15" t="s">
        <v>349</v>
      </c>
      <c r="K15" s="12" t="s">
        <v>542</v>
      </c>
      <c r="M15" t="s">
        <v>696</v>
      </c>
      <c r="N15" t="s">
        <v>584</v>
      </c>
      <c r="S15" s="5" t="s">
        <v>1249</v>
      </c>
      <c r="T15" t="s">
        <v>1428</v>
      </c>
      <c r="Y15" s="7" t="s">
        <v>2578</v>
      </c>
      <c r="Z15" s="7" t="s">
        <v>2770</v>
      </c>
      <c r="AB15" s="7" t="s">
        <v>2962</v>
      </c>
      <c r="AC15" s="7" t="s">
        <v>3018</v>
      </c>
      <c r="AE15" t="s">
        <v>1626</v>
      </c>
      <c r="AF15" t="s">
        <v>1627</v>
      </c>
      <c r="AW15" t="s">
        <v>3027</v>
      </c>
      <c r="AX15" t="s">
        <v>3339</v>
      </c>
      <c r="BA15" t="s">
        <v>3598</v>
      </c>
      <c r="BB15" t="s">
        <v>3599</v>
      </c>
      <c r="BG15" t="s">
        <v>4133</v>
      </c>
    </row>
    <row r="16" spans="1:61" x14ac:dyDescent="0.25">
      <c r="A16" s="5" t="s">
        <v>88</v>
      </c>
      <c r="B16" s="5" t="s">
        <v>89</v>
      </c>
      <c r="E16" t="s">
        <v>3297</v>
      </c>
      <c r="J16" t="s">
        <v>350</v>
      </c>
      <c r="K16" s="12" t="s">
        <v>543</v>
      </c>
      <c r="M16" t="s">
        <v>697</v>
      </c>
      <c r="N16" t="s">
        <v>585</v>
      </c>
      <c r="S16" s="5" t="s">
        <v>1250</v>
      </c>
      <c r="T16" t="s">
        <v>1429</v>
      </c>
      <c r="Y16" s="7" t="s">
        <v>2579</v>
      </c>
      <c r="Z16" s="7" t="s">
        <v>2771</v>
      </c>
      <c r="AB16" s="7" t="s">
        <v>2963</v>
      </c>
      <c r="AC16" s="7" t="s">
        <v>3019</v>
      </c>
      <c r="AE16" t="s">
        <v>1628</v>
      </c>
      <c r="AF16" t="s">
        <v>1629</v>
      </c>
      <c r="AW16" t="s">
        <v>3028</v>
      </c>
      <c r="AX16" t="s">
        <v>3340</v>
      </c>
      <c r="BA16" t="s">
        <v>3600</v>
      </c>
      <c r="BB16" t="s">
        <v>3601</v>
      </c>
    </row>
    <row r="17" spans="1:54" x14ac:dyDescent="0.25">
      <c r="A17" s="5" t="s">
        <v>90</v>
      </c>
      <c r="B17" s="5" t="s">
        <v>91</v>
      </c>
      <c r="E17" t="s">
        <v>271</v>
      </c>
      <c r="J17" t="s">
        <v>351</v>
      </c>
      <c r="K17" s="12" t="s">
        <v>544</v>
      </c>
      <c r="M17" t="s">
        <v>698</v>
      </c>
      <c r="N17" t="s">
        <v>586</v>
      </c>
      <c r="S17" s="5" t="s">
        <v>1251</v>
      </c>
      <c r="T17" t="s">
        <v>1430</v>
      </c>
      <c r="Y17" s="7" t="s">
        <v>2580</v>
      </c>
      <c r="Z17" s="7" t="s">
        <v>2772</v>
      </c>
      <c r="AE17" t="s">
        <v>1630</v>
      </c>
      <c r="AF17" t="s">
        <v>1631</v>
      </c>
      <c r="AW17" t="s">
        <v>3029</v>
      </c>
      <c r="AX17" t="s">
        <v>3341</v>
      </c>
      <c r="BA17" t="s">
        <v>3602</v>
      </c>
      <c r="BB17" t="s">
        <v>3603</v>
      </c>
    </row>
    <row r="18" spans="1:54" x14ac:dyDescent="0.25">
      <c r="A18" s="5" t="s">
        <v>92</v>
      </c>
      <c r="B18" s="5" t="s">
        <v>93</v>
      </c>
      <c r="E18" t="s">
        <v>275</v>
      </c>
      <c r="J18" t="s">
        <v>352</v>
      </c>
      <c r="K18" s="12" t="s">
        <v>545</v>
      </c>
      <c r="M18" t="s">
        <v>699</v>
      </c>
      <c r="N18" t="s">
        <v>587</v>
      </c>
      <c r="S18" s="5" t="s">
        <v>1252</v>
      </c>
      <c r="T18" t="s">
        <v>1431</v>
      </c>
      <c r="Y18" s="7" t="s">
        <v>2581</v>
      </c>
      <c r="Z18" s="7" t="s">
        <v>2773</v>
      </c>
      <c r="AE18" t="s">
        <v>1632</v>
      </c>
      <c r="AF18" t="s">
        <v>1633</v>
      </c>
      <c r="AW18" t="s">
        <v>3030</v>
      </c>
      <c r="AX18" t="s">
        <v>3342</v>
      </c>
      <c r="BA18" t="s">
        <v>3604</v>
      </c>
      <c r="BB18" t="s">
        <v>3605</v>
      </c>
    </row>
    <row r="19" spans="1:54" x14ac:dyDescent="0.25">
      <c r="A19" s="5" t="s">
        <v>94</v>
      </c>
      <c r="B19" s="5" t="s">
        <v>95</v>
      </c>
      <c r="E19" t="s">
        <v>274</v>
      </c>
      <c r="J19" t="s">
        <v>353</v>
      </c>
      <c r="K19" s="12" t="s">
        <v>546</v>
      </c>
      <c r="M19" t="s">
        <v>700</v>
      </c>
      <c r="N19" t="s">
        <v>588</v>
      </c>
      <c r="S19" s="5" t="s">
        <v>1253</v>
      </c>
      <c r="T19" t="s">
        <v>1432</v>
      </c>
      <c r="Y19" s="7" t="s">
        <v>2582</v>
      </c>
      <c r="Z19" s="7" t="s">
        <v>2774</v>
      </c>
      <c r="AE19" t="s">
        <v>1634</v>
      </c>
      <c r="AF19" t="s">
        <v>1635</v>
      </c>
      <c r="AW19" t="s">
        <v>3031</v>
      </c>
      <c r="AX19" t="s">
        <v>3343</v>
      </c>
      <c r="BA19" t="s">
        <v>3606</v>
      </c>
      <c r="BB19" t="s">
        <v>3607</v>
      </c>
    </row>
    <row r="20" spans="1:54" x14ac:dyDescent="0.25">
      <c r="A20" s="5" t="s">
        <v>96</v>
      </c>
      <c r="B20" s="5" t="s">
        <v>97</v>
      </c>
      <c r="E20" t="s">
        <v>272</v>
      </c>
      <c r="J20" t="s">
        <v>354</v>
      </c>
      <c r="K20" s="12" t="s">
        <v>547</v>
      </c>
      <c r="M20" t="s">
        <v>701</v>
      </c>
      <c r="N20" t="s">
        <v>589</v>
      </c>
      <c r="S20" s="5" t="s">
        <v>1254</v>
      </c>
      <c r="T20" t="s">
        <v>1433</v>
      </c>
      <c r="Y20" s="7" t="s">
        <v>2583</v>
      </c>
      <c r="Z20" s="7" t="s">
        <v>2775</v>
      </c>
      <c r="AE20" t="s">
        <v>1636</v>
      </c>
      <c r="AF20" t="s">
        <v>1637</v>
      </c>
      <c r="AW20" t="s">
        <v>3032</v>
      </c>
      <c r="AX20" t="s">
        <v>3344</v>
      </c>
      <c r="BA20" t="s">
        <v>3608</v>
      </c>
      <c r="BB20" t="s">
        <v>3609</v>
      </c>
    </row>
    <row r="21" spans="1:54" x14ac:dyDescent="0.25">
      <c r="A21" s="5" t="s">
        <v>98</v>
      </c>
      <c r="B21" s="5" t="s">
        <v>99</v>
      </c>
      <c r="E21" t="s">
        <v>273</v>
      </c>
      <c r="J21" t="s">
        <v>355</v>
      </c>
      <c r="K21" s="12" t="s">
        <v>548</v>
      </c>
      <c r="M21" t="s">
        <v>702</v>
      </c>
      <c r="N21" t="s">
        <v>590</v>
      </c>
      <c r="S21" s="5" t="s">
        <v>1255</v>
      </c>
      <c r="T21" t="s">
        <v>1434</v>
      </c>
      <c r="Y21" s="7" t="s">
        <v>2584</v>
      </c>
      <c r="Z21" s="7" t="s">
        <v>2776</v>
      </c>
      <c r="AE21" t="s">
        <v>1638</v>
      </c>
      <c r="AF21" t="s">
        <v>1639</v>
      </c>
      <c r="AW21" t="s">
        <v>3033</v>
      </c>
      <c r="AX21" t="s">
        <v>3345</v>
      </c>
      <c r="BA21" t="s">
        <v>3610</v>
      </c>
      <c r="BB21" t="s">
        <v>3611</v>
      </c>
    </row>
    <row r="22" spans="1:54" x14ac:dyDescent="0.25">
      <c r="A22" s="5" t="s">
        <v>100</v>
      </c>
      <c r="B22" s="5" t="s">
        <v>101</v>
      </c>
      <c r="E22" t="s">
        <v>261</v>
      </c>
      <c r="J22" t="s">
        <v>356</v>
      </c>
      <c r="K22" s="12" t="s">
        <v>549</v>
      </c>
      <c r="M22" t="s">
        <v>703</v>
      </c>
      <c r="N22" t="s">
        <v>1001</v>
      </c>
      <c r="S22" s="5" t="s">
        <v>1256</v>
      </c>
      <c r="T22" t="s">
        <v>1435</v>
      </c>
      <c r="Y22" s="7" t="s">
        <v>2585</v>
      </c>
      <c r="Z22" s="7" t="s">
        <v>2777</v>
      </c>
      <c r="AE22" t="s">
        <v>1640</v>
      </c>
      <c r="AF22" t="s">
        <v>1641</v>
      </c>
      <c r="AW22" t="s">
        <v>3034</v>
      </c>
      <c r="AX22" t="s">
        <v>3346</v>
      </c>
      <c r="BA22" t="s">
        <v>3612</v>
      </c>
      <c r="BB22" t="s">
        <v>3613</v>
      </c>
    </row>
    <row r="23" spans="1:54" x14ac:dyDescent="0.25">
      <c r="A23" s="5" t="s">
        <v>102</v>
      </c>
      <c r="B23" s="5" t="s">
        <v>103</v>
      </c>
      <c r="E23" t="s">
        <v>260</v>
      </c>
      <c r="J23" t="s">
        <v>357</v>
      </c>
      <c r="K23" s="12" t="s">
        <v>550</v>
      </c>
      <c r="M23" t="s">
        <v>704</v>
      </c>
      <c r="N23" t="s">
        <v>591</v>
      </c>
      <c r="S23" s="5" t="s">
        <v>1257</v>
      </c>
      <c r="T23" t="s">
        <v>1436</v>
      </c>
      <c r="Y23" s="7" t="s">
        <v>2586</v>
      </c>
      <c r="Z23" s="7" t="s">
        <v>2778</v>
      </c>
      <c r="AE23" t="s">
        <v>1642</v>
      </c>
      <c r="AF23" t="s">
        <v>1643</v>
      </c>
      <c r="AW23" t="s">
        <v>3035</v>
      </c>
      <c r="AX23" t="s">
        <v>3347</v>
      </c>
      <c r="BA23" t="s">
        <v>3614</v>
      </c>
      <c r="BB23" t="s">
        <v>3615</v>
      </c>
    </row>
    <row r="24" spans="1:54" x14ac:dyDescent="0.25">
      <c r="A24" s="5" t="s">
        <v>104</v>
      </c>
      <c r="B24" s="5" t="s">
        <v>105</v>
      </c>
      <c r="E24" t="s">
        <v>279</v>
      </c>
      <c r="J24" t="s">
        <v>358</v>
      </c>
      <c r="K24" s="12" t="s">
        <v>551</v>
      </c>
      <c r="M24" t="s">
        <v>705</v>
      </c>
      <c r="N24" t="s">
        <v>592</v>
      </c>
      <c r="S24" s="5" t="s">
        <v>1258</v>
      </c>
      <c r="T24" t="s">
        <v>1437</v>
      </c>
      <c r="Y24" s="7" t="s">
        <v>2587</v>
      </c>
      <c r="Z24" s="7" t="s">
        <v>2779</v>
      </c>
      <c r="AE24" t="s">
        <v>1644</v>
      </c>
      <c r="AF24" t="s">
        <v>1645</v>
      </c>
      <c r="AW24" t="s">
        <v>3036</v>
      </c>
      <c r="AX24" t="s">
        <v>3348</v>
      </c>
      <c r="BA24" t="s">
        <v>3616</v>
      </c>
      <c r="BB24" t="s">
        <v>3617</v>
      </c>
    </row>
    <row r="25" spans="1:54" x14ac:dyDescent="0.25">
      <c r="A25" s="5" t="s">
        <v>106</v>
      </c>
      <c r="B25" s="5" t="s">
        <v>107</v>
      </c>
      <c r="E25" t="s">
        <v>277</v>
      </c>
      <c r="J25" t="s">
        <v>359</v>
      </c>
      <c r="K25" s="12" t="s">
        <v>552</v>
      </c>
      <c r="M25" t="s">
        <v>706</v>
      </c>
      <c r="N25" t="s">
        <v>593</v>
      </c>
      <c r="S25" s="5" t="s">
        <v>1259</v>
      </c>
      <c r="T25" t="s">
        <v>1438</v>
      </c>
      <c r="Y25" s="7" t="s">
        <v>2588</v>
      </c>
      <c r="Z25" s="7" t="s">
        <v>2780</v>
      </c>
      <c r="AE25" t="s">
        <v>1646</v>
      </c>
      <c r="AF25" t="s">
        <v>1647</v>
      </c>
      <c r="AW25" t="s">
        <v>3037</v>
      </c>
      <c r="AX25" t="s">
        <v>3349</v>
      </c>
      <c r="BA25" t="s">
        <v>3618</v>
      </c>
      <c r="BB25" t="s">
        <v>3619</v>
      </c>
    </row>
    <row r="26" spans="1:54" x14ac:dyDescent="0.25">
      <c r="A26" s="5" t="s">
        <v>108</v>
      </c>
      <c r="B26" s="5" t="s">
        <v>109</v>
      </c>
      <c r="E26" t="s">
        <v>276</v>
      </c>
      <c r="J26" t="s">
        <v>360</v>
      </c>
      <c r="K26" s="12" t="s">
        <v>553</v>
      </c>
      <c r="M26" t="s">
        <v>707</v>
      </c>
      <c r="N26" t="s">
        <v>594</v>
      </c>
      <c r="S26" s="5" t="s">
        <v>1260</v>
      </c>
      <c r="T26" t="s">
        <v>1439</v>
      </c>
      <c r="Y26" s="7" t="s">
        <v>2589</v>
      </c>
      <c r="Z26" s="7" t="s">
        <v>2781</v>
      </c>
      <c r="AE26" t="s">
        <v>1648</v>
      </c>
      <c r="AF26" t="s">
        <v>1649</v>
      </c>
      <c r="AW26" t="s">
        <v>3038</v>
      </c>
      <c r="AX26" t="s">
        <v>3350</v>
      </c>
      <c r="BA26" t="s">
        <v>3620</v>
      </c>
      <c r="BB26" t="s">
        <v>3621</v>
      </c>
    </row>
    <row r="27" spans="1:54" x14ac:dyDescent="0.25">
      <c r="A27" s="5" t="s">
        <v>110</v>
      </c>
      <c r="B27" s="5" t="s">
        <v>111</v>
      </c>
      <c r="E27" t="s">
        <v>278</v>
      </c>
      <c r="J27" t="s">
        <v>361</v>
      </c>
      <c r="K27" s="12" t="s">
        <v>554</v>
      </c>
      <c r="M27" t="s">
        <v>708</v>
      </c>
      <c r="N27" t="s">
        <v>595</v>
      </c>
      <c r="S27" s="5" t="s">
        <v>1261</v>
      </c>
      <c r="T27" t="s">
        <v>1440</v>
      </c>
      <c r="Y27" s="7" t="s">
        <v>2590</v>
      </c>
      <c r="Z27" s="7" t="s">
        <v>2782</v>
      </c>
      <c r="AE27" t="s">
        <v>1650</v>
      </c>
      <c r="AF27" t="s">
        <v>1651</v>
      </c>
      <c r="AW27" t="s">
        <v>3039</v>
      </c>
      <c r="AX27" t="s">
        <v>3351</v>
      </c>
      <c r="BA27" t="s">
        <v>3622</v>
      </c>
      <c r="BB27" t="s">
        <v>3623</v>
      </c>
    </row>
    <row r="28" spans="1:54" x14ac:dyDescent="0.25">
      <c r="A28" s="5" t="s">
        <v>112</v>
      </c>
      <c r="B28" s="5" t="s">
        <v>113</v>
      </c>
      <c r="E28" t="s">
        <v>281</v>
      </c>
      <c r="J28" t="s">
        <v>362</v>
      </c>
      <c r="K28" s="12" t="s">
        <v>555</v>
      </c>
      <c r="M28" t="s">
        <v>709</v>
      </c>
      <c r="N28" t="s">
        <v>596</v>
      </c>
      <c r="S28" s="5" t="s">
        <v>1262</v>
      </c>
      <c r="T28" t="s">
        <v>1441</v>
      </c>
      <c r="Y28" s="7" t="s">
        <v>2591</v>
      </c>
      <c r="Z28" s="7" t="s">
        <v>2783</v>
      </c>
      <c r="AE28" t="s">
        <v>1652</v>
      </c>
      <c r="AF28" t="s">
        <v>1653</v>
      </c>
      <c r="AW28" t="s">
        <v>3040</v>
      </c>
      <c r="AX28" t="s">
        <v>3352</v>
      </c>
      <c r="BA28" t="s">
        <v>3624</v>
      </c>
      <c r="BB28" t="s">
        <v>3625</v>
      </c>
    </row>
    <row r="29" spans="1:54" x14ac:dyDescent="0.25">
      <c r="A29" s="5" t="s">
        <v>114</v>
      </c>
      <c r="B29" s="5" t="s">
        <v>115</v>
      </c>
      <c r="E29" t="s">
        <v>280</v>
      </c>
      <c r="J29" t="s">
        <v>363</v>
      </c>
      <c r="K29" s="12" t="s">
        <v>556</v>
      </c>
      <c r="M29" t="s">
        <v>710</v>
      </c>
      <c r="N29" t="s">
        <v>597</v>
      </c>
      <c r="S29" s="5" t="s">
        <v>1263</v>
      </c>
      <c r="T29" t="s">
        <v>1442</v>
      </c>
      <c r="Y29" s="7" t="s">
        <v>2592</v>
      </c>
      <c r="Z29" s="7" t="s">
        <v>2784</v>
      </c>
      <c r="AE29" t="s">
        <v>1654</v>
      </c>
      <c r="AF29" t="s">
        <v>1655</v>
      </c>
      <c r="AW29" t="s">
        <v>3041</v>
      </c>
      <c r="AX29" t="s">
        <v>3353</v>
      </c>
      <c r="BA29" t="s">
        <v>3626</v>
      </c>
      <c r="BB29" t="s">
        <v>3627</v>
      </c>
    </row>
    <row r="30" spans="1:54" x14ac:dyDescent="0.25">
      <c r="A30" s="5" t="s">
        <v>116</v>
      </c>
      <c r="B30" s="5" t="s">
        <v>117</v>
      </c>
      <c r="E30" t="s">
        <v>263</v>
      </c>
      <c r="J30" t="s">
        <v>364</v>
      </c>
      <c r="K30" s="12" t="s">
        <v>557</v>
      </c>
      <c r="M30" t="s">
        <v>711</v>
      </c>
      <c r="N30" t="s">
        <v>598</v>
      </c>
      <c r="S30" s="5" t="s">
        <v>1264</v>
      </c>
      <c r="T30" t="s">
        <v>1443</v>
      </c>
      <c r="Y30" s="7" t="s">
        <v>2593</v>
      </c>
      <c r="Z30" s="7" t="s">
        <v>2785</v>
      </c>
      <c r="AE30" t="s">
        <v>1656</v>
      </c>
      <c r="AF30" t="s">
        <v>1657</v>
      </c>
      <c r="AW30" t="s">
        <v>3042</v>
      </c>
      <c r="AX30" t="s">
        <v>3354</v>
      </c>
      <c r="BA30" t="s">
        <v>3628</v>
      </c>
      <c r="BB30" t="s">
        <v>3629</v>
      </c>
    </row>
    <row r="31" spans="1:54" x14ac:dyDescent="0.25">
      <c r="A31" s="5" t="s">
        <v>118</v>
      </c>
      <c r="B31" s="5" t="s">
        <v>119</v>
      </c>
      <c r="J31" t="s">
        <v>365</v>
      </c>
      <c r="K31" s="12" t="s">
        <v>558</v>
      </c>
      <c r="M31" t="s">
        <v>712</v>
      </c>
      <c r="N31" t="s">
        <v>599</v>
      </c>
      <c r="S31" s="5" t="s">
        <v>1265</v>
      </c>
      <c r="T31" t="s">
        <v>1444</v>
      </c>
      <c r="Y31" s="7" t="s">
        <v>2594</v>
      </c>
      <c r="Z31" s="7" t="s">
        <v>2786</v>
      </c>
      <c r="AE31" t="s">
        <v>1658</v>
      </c>
      <c r="AF31" t="s">
        <v>1659</v>
      </c>
      <c r="AW31" t="s">
        <v>3043</v>
      </c>
      <c r="AX31" t="s">
        <v>3355</v>
      </c>
      <c r="BA31" t="s">
        <v>3630</v>
      </c>
      <c r="BB31" t="s">
        <v>3631</v>
      </c>
    </row>
    <row r="32" spans="1:54" x14ac:dyDescent="0.25">
      <c r="A32" s="5" t="s">
        <v>120</v>
      </c>
      <c r="B32" s="5" t="s">
        <v>121</v>
      </c>
      <c r="J32" t="s">
        <v>366</v>
      </c>
      <c r="K32" s="12" t="s">
        <v>559</v>
      </c>
      <c r="M32" t="s">
        <v>713</v>
      </c>
      <c r="N32" t="s">
        <v>600</v>
      </c>
      <c r="S32" s="5" t="s">
        <v>1266</v>
      </c>
      <c r="T32" t="s">
        <v>1445</v>
      </c>
      <c r="Y32" s="7" t="s">
        <v>2595</v>
      </c>
      <c r="Z32" s="7" t="s">
        <v>2787</v>
      </c>
      <c r="AE32" t="s">
        <v>1660</v>
      </c>
      <c r="AF32" t="s">
        <v>1661</v>
      </c>
      <c r="AW32" t="s">
        <v>3044</v>
      </c>
      <c r="AX32" t="s">
        <v>3356</v>
      </c>
      <c r="BA32" t="s">
        <v>3632</v>
      </c>
      <c r="BB32" t="s">
        <v>3633</v>
      </c>
    </row>
    <row r="33" spans="1:54" x14ac:dyDescent="0.25">
      <c r="A33" s="5" t="s">
        <v>4083</v>
      </c>
      <c r="B33" s="5" t="s">
        <v>122</v>
      </c>
      <c r="J33" t="s">
        <v>367</v>
      </c>
      <c r="K33" s="12" t="s">
        <v>560</v>
      </c>
      <c r="M33" t="s">
        <v>714</v>
      </c>
      <c r="N33" t="s">
        <v>1002</v>
      </c>
      <c r="S33" s="5" t="s">
        <v>1267</v>
      </c>
      <c r="T33" t="s">
        <v>1446</v>
      </c>
      <c r="Y33" s="7" t="s">
        <v>2596</v>
      </c>
      <c r="Z33" s="7" t="s">
        <v>2788</v>
      </c>
      <c r="AE33" t="s">
        <v>1662</v>
      </c>
      <c r="AF33" t="s">
        <v>1663</v>
      </c>
      <c r="AW33" t="s">
        <v>3045</v>
      </c>
      <c r="AX33" t="s">
        <v>3357</v>
      </c>
      <c r="BA33" t="s">
        <v>3634</v>
      </c>
      <c r="BB33" t="s">
        <v>3635</v>
      </c>
    </row>
    <row r="34" spans="1:54" x14ac:dyDescent="0.25">
      <c r="A34" s="5" t="s">
        <v>123</v>
      </c>
      <c r="B34" s="5" t="s">
        <v>124</v>
      </c>
      <c r="J34" t="s">
        <v>368</v>
      </c>
      <c r="K34" s="12" t="s">
        <v>561</v>
      </c>
      <c r="M34" t="s">
        <v>715</v>
      </c>
      <c r="N34" t="s">
        <v>601</v>
      </c>
      <c r="S34" s="5" t="s">
        <v>1268</v>
      </c>
      <c r="T34" t="s">
        <v>1447</v>
      </c>
      <c r="Y34" s="7" t="s">
        <v>2597</v>
      </c>
      <c r="Z34" s="7" t="s">
        <v>2789</v>
      </c>
      <c r="AE34" t="s">
        <v>1664</v>
      </c>
      <c r="AF34" t="s">
        <v>1665</v>
      </c>
      <c r="AW34" t="s">
        <v>3046</v>
      </c>
      <c r="AX34" t="s">
        <v>3358</v>
      </c>
      <c r="BA34" t="s">
        <v>3636</v>
      </c>
      <c r="BB34" t="s">
        <v>3637</v>
      </c>
    </row>
    <row r="35" spans="1:54" x14ac:dyDescent="0.25">
      <c r="A35" s="5" t="s">
        <v>125</v>
      </c>
      <c r="B35" s="5" t="s">
        <v>126</v>
      </c>
      <c r="J35" t="s">
        <v>369</v>
      </c>
      <c r="K35" s="12" t="s">
        <v>562</v>
      </c>
      <c r="M35" t="s">
        <v>716</v>
      </c>
      <c r="N35" t="s">
        <v>602</v>
      </c>
      <c r="S35" s="5" t="s">
        <v>1269</v>
      </c>
      <c r="T35" t="s">
        <v>1448</v>
      </c>
      <c r="Y35" s="7" t="s">
        <v>2598</v>
      </c>
      <c r="Z35" s="7" t="s">
        <v>2790</v>
      </c>
      <c r="AE35" t="s">
        <v>1666</v>
      </c>
      <c r="AF35" t="s">
        <v>1667</v>
      </c>
      <c r="AW35" t="s">
        <v>3047</v>
      </c>
      <c r="AX35" t="s">
        <v>3359</v>
      </c>
      <c r="BA35" t="s">
        <v>3638</v>
      </c>
      <c r="BB35" t="s">
        <v>3639</v>
      </c>
    </row>
    <row r="36" spans="1:54" x14ac:dyDescent="0.25">
      <c r="A36" s="5" t="s">
        <v>127</v>
      </c>
      <c r="B36" s="5" t="s">
        <v>128</v>
      </c>
      <c r="J36" t="s">
        <v>370</v>
      </c>
      <c r="K36" s="12" t="s">
        <v>563</v>
      </c>
      <c r="M36" t="s">
        <v>717</v>
      </c>
      <c r="N36" t="s">
        <v>603</v>
      </c>
      <c r="S36" s="5" t="s">
        <v>1270</v>
      </c>
      <c r="T36" t="s">
        <v>1449</v>
      </c>
      <c r="Y36" s="7" t="s">
        <v>2599</v>
      </c>
      <c r="Z36" s="7" t="s">
        <v>2791</v>
      </c>
      <c r="AE36" t="s">
        <v>1668</v>
      </c>
      <c r="AF36" t="s">
        <v>1669</v>
      </c>
      <c r="AW36" t="s">
        <v>3048</v>
      </c>
      <c r="AX36" t="s">
        <v>3360</v>
      </c>
      <c r="BA36" t="s">
        <v>3640</v>
      </c>
      <c r="BB36" t="s">
        <v>3641</v>
      </c>
    </row>
    <row r="37" spans="1:54" x14ac:dyDescent="0.25">
      <c r="A37" s="5" t="s">
        <v>129</v>
      </c>
      <c r="B37" s="5" t="s">
        <v>130</v>
      </c>
      <c r="J37" t="s">
        <v>371</v>
      </c>
      <c r="K37" s="12" t="s">
        <v>564</v>
      </c>
      <c r="M37" t="s">
        <v>718</v>
      </c>
      <c r="N37" t="s">
        <v>604</v>
      </c>
      <c r="S37" s="5" t="s">
        <v>1271</v>
      </c>
      <c r="T37" t="s">
        <v>1450</v>
      </c>
      <c r="Y37" s="7" t="s">
        <v>2600</v>
      </c>
      <c r="Z37" s="7" t="s">
        <v>2792</v>
      </c>
      <c r="AE37" t="s">
        <v>1670</v>
      </c>
      <c r="AF37" t="s">
        <v>1671</v>
      </c>
      <c r="AW37" t="s">
        <v>3049</v>
      </c>
      <c r="AX37" t="s">
        <v>3361</v>
      </c>
      <c r="BA37" t="s">
        <v>3642</v>
      </c>
      <c r="BB37" t="s">
        <v>3643</v>
      </c>
    </row>
    <row r="38" spans="1:54" x14ac:dyDescent="0.25">
      <c r="A38" s="5" t="s">
        <v>131</v>
      </c>
      <c r="B38" s="5" t="s">
        <v>132</v>
      </c>
      <c r="J38" t="s">
        <v>372</v>
      </c>
      <c r="K38" s="12" t="s">
        <v>565</v>
      </c>
      <c r="M38" t="s">
        <v>719</v>
      </c>
      <c r="N38" t="s">
        <v>605</v>
      </c>
      <c r="S38" s="5" t="s">
        <v>1272</v>
      </c>
      <c r="T38" t="s">
        <v>1451</v>
      </c>
      <c r="Y38" s="7" t="s">
        <v>2601</v>
      </c>
      <c r="Z38" s="7" t="s">
        <v>2793</v>
      </c>
      <c r="AE38" t="s">
        <v>1672</v>
      </c>
      <c r="AF38" t="s">
        <v>1673</v>
      </c>
      <c r="AW38" t="s">
        <v>3050</v>
      </c>
      <c r="AX38" t="s">
        <v>3362</v>
      </c>
      <c r="BA38" t="s">
        <v>3644</v>
      </c>
      <c r="BB38" t="s">
        <v>3645</v>
      </c>
    </row>
    <row r="39" spans="1:54" x14ac:dyDescent="0.25">
      <c r="A39" s="5" t="s">
        <v>133</v>
      </c>
      <c r="B39" s="5" t="s">
        <v>134</v>
      </c>
      <c r="J39" t="s">
        <v>373</v>
      </c>
      <c r="K39" s="12" t="s">
        <v>566</v>
      </c>
      <c r="M39" t="s">
        <v>720</v>
      </c>
      <c r="N39" t="s">
        <v>606</v>
      </c>
      <c r="S39" s="5" t="s">
        <v>1273</v>
      </c>
      <c r="T39" t="s">
        <v>1452</v>
      </c>
      <c r="Y39" s="7" t="s">
        <v>2602</v>
      </c>
      <c r="Z39" s="7" t="s">
        <v>2794</v>
      </c>
      <c r="AE39" t="s">
        <v>1674</v>
      </c>
      <c r="AF39" t="s">
        <v>1675</v>
      </c>
      <c r="AW39" t="s">
        <v>3051</v>
      </c>
      <c r="AX39" t="s">
        <v>3363</v>
      </c>
      <c r="BA39" t="s">
        <v>3646</v>
      </c>
      <c r="BB39" t="s">
        <v>3647</v>
      </c>
    </row>
    <row r="40" spans="1:54" x14ac:dyDescent="0.25">
      <c r="A40" s="5" t="s">
        <v>135</v>
      </c>
      <c r="B40" s="5" t="s">
        <v>136</v>
      </c>
      <c r="J40" t="s">
        <v>374</v>
      </c>
      <c r="K40" s="12" t="s">
        <v>567</v>
      </c>
      <c r="M40" t="s">
        <v>721</v>
      </c>
      <c r="N40" t="s">
        <v>607</v>
      </c>
      <c r="S40" s="5" t="s">
        <v>1274</v>
      </c>
      <c r="T40" t="s">
        <v>1453</v>
      </c>
      <c r="Y40" s="7" t="s">
        <v>2603</v>
      </c>
      <c r="Z40" s="7" t="s">
        <v>2795</v>
      </c>
      <c r="AE40" t="s">
        <v>1676</v>
      </c>
      <c r="AF40" t="s">
        <v>1677</v>
      </c>
      <c r="AW40" t="s">
        <v>3052</v>
      </c>
      <c r="AX40" t="s">
        <v>3364</v>
      </c>
      <c r="BA40" t="s">
        <v>3648</v>
      </c>
      <c r="BB40" t="s">
        <v>3649</v>
      </c>
    </row>
    <row r="41" spans="1:54" x14ac:dyDescent="0.25">
      <c r="A41" s="5" t="s">
        <v>137</v>
      </c>
      <c r="B41" s="5" t="s">
        <v>138</v>
      </c>
      <c r="J41" t="s">
        <v>375</v>
      </c>
      <c r="K41" s="12" t="s">
        <v>568</v>
      </c>
      <c r="M41" t="s">
        <v>722</v>
      </c>
      <c r="N41" t="s">
        <v>608</v>
      </c>
      <c r="S41" s="5" t="s">
        <v>1275</v>
      </c>
      <c r="T41" t="s">
        <v>1454</v>
      </c>
      <c r="Y41" s="7" t="s">
        <v>2604</v>
      </c>
      <c r="Z41" s="7" t="s">
        <v>2796</v>
      </c>
      <c r="AE41" t="s">
        <v>1678</v>
      </c>
      <c r="AF41" t="s">
        <v>1679</v>
      </c>
      <c r="AW41" t="s">
        <v>3053</v>
      </c>
      <c r="AX41" t="s">
        <v>3365</v>
      </c>
      <c r="BA41" t="s">
        <v>3650</v>
      </c>
      <c r="BB41" t="s">
        <v>3651</v>
      </c>
    </row>
    <row r="42" spans="1:54" x14ac:dyDescent="0.25">
      <c r="A42" s="5" t="s">
        <v>139</v>
      </c>
      <c r="B42" s="5" t="s">
        <v>140</v>
      </c>
      <c r="J42" t="s">
        <v>376</v>
      </c>
      <c r="K42" s="12" t="s">
        <v>569</v>
      </c>
      <c r="M42" t="s">
        <v>723</v>
      </c>
      <c r="N42" t="s">
        <v>609</v>
      </c>
      <c r="S42" s="5" t="s">
        <v>1276</v>
      </c>
      <c r="T42" t="s">
        <v>1455</v>
      </c>
      <c r="Y42" s="7" t="s">
        <v>2605</v>
      </c>
      <c r="Z42" s="7" t="s">
        <v>2797</v>
      </c>
      <c r="AE42" t="s">
        <v>1680</v>
      </c>
      <c r="AF42" t="s">
        <v>1681</v>
      </c>
      <c r="AW42" t="s">
        <v>3054</v>
      </c>
      <c r="AX42" t="s">
        <v>3366</v>
      </c>
      <c r="BA42" t="s">
        <v>3652</v>
      </c>
      <c r="BB42" t="s">
        <v>3653</v>
      </c>
    </row>
    <row r="43" spans="1:54" x14ac:dyDescent="0.25">
      <c r="A43" s="5" t="s">
        <v>141</v>
      </c>
      <c r="B43" s="5" t="s">
        <v>142</v>
      </c>
      <c r="J43" t="s">
        <v>377</v>
      </c>
      <c r="K43" s="12" t="s">
        <v>570</v>
      </c>
      <c r="M43" t="s">
        <v>724</v>
      </c>
      <c r="N43" t="s">
        <v>610</v>
      </c>
      <c r="S43" s="5" t="s">
        <v>1277</v>
      </c>
      <c r="T43" t="s">
        <v>1456</v>
      </c>
      <c r="Y43" s="7" t="s">
        <v>2606</v>
      </c>
      <c r="Z43" s="7" t="s">
        <v>2798</v>
      </c>
      <c r="AE43" t="s">
        <v>1682</v>
      </c>
      <c r="AF43" t="s">
        <v>1683</v>
      </c>
      <c r="AW43" t="s">
        <v>3055</v>
      </c>
      <c r="AX43" t="s">
        <v>3367</v>
      </c>
      <c r="BA43" t="s">
        <v>3654</v>
      </c>
      <c r="BB43" t="s">
        <v>3655</v>
      </c>
    </row>
    <row r="44" spans="1:54" x14ac:dyDescent="0.25">
      <c r="A44" s="5" t="s">
        <v>143</v>
      </c>
      <c r="B44" s="5" t="s">
        <v>144</v>
      </c>
      <c r="J44" t="s">
        <v>378</v>
      </c>
      <c r="K44" s="12" t="s">
        <v>571</v>
      </c>
      <c r="M44" t="s">
        <v>725</v>
      </c>
      <c r="N44" t="s">
        <v>1003</v>
      </c>
      <c r="S44" s="5" t="s">
        <v>1278</v>
      </c>
      <c r="T44" t="s">
        <v>1457</v>
      </c>
      <c r="Y44" s="7" t="s">
        <v>2607</v>
      </c>
      <c r="Z44" s="7" t="s">
        <v>2799</v>
      </c>
      <c r="AE44" t="s">
        <v>1684</v>
      </c>
      <c r="AF44" t="s">
        <v>1685</v>
      </c>
      <c r="AW44" t="s">
        <v>3056</v>
      </c>
      <c r="AX44" t="s">
        <v>3368</v>
      </c>
      <c r="BA44" t="s">
        <v>3656</v>
      </c>
      <c r="BB44" t="s">
        <v>3657</v>
      </c>
    </row>
    <row r="45" spans="1:54" x14ac:dyDescent="0.25">
      <c r="A45" s="5" t="s">
        <v>145</v>
      </c>
      <c r="B45" s="5" t="s">
        <v>146</v>
      </c>
      <c r="J45" t="s">
        <v>379</v>
      </c>
      <c r="K45" s="12" t="s">
        <v>572</v>
      </c>
      <c r="M45" t="s">
        <v>726</v>
      </c>
      <c r="N45" t="s">
        <v>611</v>
      </c>
      <c r="S45" s="5" t="s">
        <v>1279</v>
      </c>
      <c r="T45" t="s">
        <v>1458</v>
      </c>
      <c r="Y45" s="7" t="s">
        <v>2608</v>
      </c>
      <c r="Z45" s="7" t="s">
        <v>2800</v>
      </c>
      <c r="AE45" t="s">
        <v>1686</v>
      </c>
      <c r="AF45" t="s">
        <v>1687</v>
      </c>
      <c r="AW45" t="s">
        <v>3057</v>
      </c>
      <c r="AX45" t="s">
        <v>3369</v>
      </c>
      <c r="BA45" t="s">
        <v>3658</v>
      </c>
      <c r="BB45" t="s">
        <v>3659</v>
      </c>
    </row>
    <row r="46" spans="1:54" x14ac:dyDescent="0.25">
      <c r="A46" s="5" t="s">
        <v>147</v>
      </c>
      <c r="B46" s="5" t="s">
        <v>148</v>
      </c>
      <c r="J46" t="s">
        <v>380</v>
      </c>
      <c r="K46" s="12" t="s">
        <v>573</v>
      </c>
      <c r="M46" t="s">
        <v>727</v>
      </c>
      <c r="N46" t="s">
        <v>612</v>
      </c>
      <c r="S46" s="5" t="s">
        <v>1280</v>
      </c>
      <c r="T46" t="s">
        <v>1459</v>
      </c>
      <c r="Y46" s="7" t="s">
        <v>2609</v>
      </c>
      <c r="Z46" s="7" t="s">
        <v>2801</v>
      </c>
      <c r="AE46" t="s">
        <v>1688</v>
      </c>
      <c r="AF46" t="s">
        <v>1689</v>
      </c>
      <c r="AW46" t="s">
        <v>3058</v>
      </c>
      <c r="AX46" t="s">
        <v>3370</v>
      </c>
      <c r="BA46" t="s">
        <v>3660</v>
      </c>
      <c r="BB46" t="s">
        <v>3661</v>
      </c>
    </row>
    <row r="47" spans="1:54" x14ac:dyDescent="0.25">
      <c r="A47" s="5" t="s">
        <v>149</v>
      </c>
      <c r="B47" s="5" t="s">
        <v>150</v>
      </c>
      <c r="J47" t="s">
        <v>381</v>
      </c>
      <c r="K47" s="12" t="s">
        <v>574</v>
      </c>
      <c r="M47" t="s">
        <v>728</v>
      </c>
      <c r="N47" t="s">
        <v>613</v>
      </c>
      <c r="S47" s="5" t="s">
        <v>1281</v>
      </c>
      <c r="T47" t="s">
        <v>1460</v>
      </c>
      <c r="Y47" s="7" t="s">
        <v>2610</v>
      </c>
      <c r="Z47" s="7" t="s">
        <v>2802</v>
      </c>
      <c r="AE47" t="s">
        <v>1690</v>
      </c>
      <c r="AF47" t="s">
        <v>1691</v>
      </c>
      <c r="AW47" t="s">
        <v>3059</v>
      </c>
      <c r="AX47" t="s">
        <v>3371</v>
      </c>
      <c r="BA47" t="s">
        <v>3662</v>
      </c>
      <c r="BB47" t="s">
        <v>3663</v>
      </c>
    </row>
    <row r="48" spans="1:54" x14ac:dyDescent="0.25">
      <c r="A48" s="5" t="s">
        <v>151</v>
      </c>
      <c r="B48" s="5" t="s">
        <v>152</v>
      </c>
      <c r="J48" t="s">
        <v>382</v>
      </c>
      <c r="K48" s="12" t="s">
        <v>575</v>
      </c>
      <c r="M48" t="s">
        <v>729</v>
      </c>
      <c r="N48" t="s">
        <v>614</v>
      </c>
      <c r="S48" s="5" t="s">
        <v>1282</v>
      </c>
      <c r="T48" t="s">
        <v>1461</v>
      </c>
      <c r="Y48" s="7" t="s">
        <v>2611</v>
      </c>
      <c r="Z48" s="7" t="s">
        <v>2803</v>
      </c>
      <c r="AE48" t="s">
        <v>1692</v>
      </c>
      <c r="AF48" t="s">
        <v>1693</v>
      </c>
      <c r="AW48" t="s">
        <v>3060</v>
      </c>
      <c r="AX48" t="s">
        <v>3372</v>
      </c>
      <c r="BA48" t="s">
        <v>3664</v>
      </c>
      <c r="BB48" t="s">
        <v>3665</v>
      </c>
    </row>
    <row r="49" spans="1:54" x14ac:dyDescent="0.25">
      <c r="A49" s="5" t="s">
        <v>153</v>
      </c>
      <c r="B49" s="5" t="s">
        <v>154</v>
      </c>
      <c r="J49" t="s">
        <v>383</v>
      </c>
      <c r="K49" s="12" t="s">
        <v>576</v>
      </c>
      <c r="M49" t="s">
        <v>730</v>
      </c>
      <c r="N49" t="s">
        <v>615</v>
      </c>
      <c r="S49" s="5" t="s">
        <v>1283</v>
      </c>
      <c r="T49" t="s">
        <v>1462</v>
      </c>
      <c r="Y49" s="7" t="s">
        <v>2612</v>
      </c>
      <c r="Z49" s="7" t="s">
        <v>2804</v>
      </c>
      <c r="AE49" t="s">
        <v>1694</v>
      </c>
      <c r="AF49" t="s">
        <v>1695</v>
      </c>
      <c r="AW49" t="s">
        <v>3061</v>
      </c>
      <c r="AX49" t="s">
        <v>3373</v>
      </c>
      <c r="BA49" t="s">
        <v>3666</v>
      </c>
      <c r="BB49" t="s">
        <v>3667</v>
      </c>
    </row>
    <row r="50" spans="1:54" x14ac:dyDescent="0.25">
      <c r="A50" s="5" t="s">
        <v>155</v>
      </c>
      <c r="B50" s="5" t="s">
        <v>156</v>
      </c>
      <c r="J50" t="s">
        <v>384</v>
      </c>
      <c r="K50" s="12" t="s">
        <v>577</v>
      </c>
      <c r="M50" t="s">
        <v>731</v>
      </c>
      <c r="N50" t="s">
        <v>616</v>
      </c>
      <c r="S50" s="5" t="s">
        <v>1284</v>
      </c>
      <c r="T50" t="s">
        <v>1463</v>
      </c>
      <c r="Y50" s="7" t="s">
        <v>2613</v>
      </c>
      <c r="Z50" s="7" t="s">
        <v>2805</v>
      </c>
      <c r="AE50" t="s">
        <v>1696</v>
      </c>
      <c r="AF50" t="s">
        <v>1697</v>
      </c>
      <c r="AW50" t="s">
        <v>3062</v>
      </c>
      <c r="AX50" t="s">
        <v>3374</v>
      </c>
      <c r="BA50" t="s">
        <v>3668</v>
      </c>
      <c r="BB50" t="s">
        <v>3669</v>
      </c>
    </row>
    <row r="51" spans="1:54" x14ac:dyDescent="0.25">
      <c r="A51" s="5" t="s">
        <v>157</v>
      </c>
      <c r="B51" s="5" t="s">
        <v>158</v>
      </c>
      <c r="J51" t="s">
        <v>385</v>
      </c>
      <c r="K51" s="12" t="s">
        <v>578</v>
      </c>
      <c r="M51" t="s">
        <v>732</v>
      </c>
      <c r="N51" t="s">
        <v>617</v>
      </c>
      <c r="S51" s="5" t="s">
        <v>1285</v>
      </c>
      <c r="T51" t="s">
        <v>1464</v>
      </c>
      <c r="Y51" s="7" t="s">
        <v>2614</v>
      </c>
      <c r="Z51" s="7" t="s">
        <v>2806</v>
      </c>
      <c r="AE51" t="s">
        <v>1698</v>
      </c>
      <c r="AF51" t="s">
        <v>1699</v>
      </c>
      <c r="AW51" t="s">
        <v>3063</v>
      </c>
      <c r="AX51" t="s">
        <v>3375</v>
      </c>
      <c r="BA51" t="s">
        <v>3670</v>
      </c>
      <c r="BB51" t="s">
        <v>3671</v>
      </c>
    </row>
    <row r="52" spans="1:54" x14ac:dyDescent="0.25">
      <c r="A52" s="5" t="s">
        <v>159</v>
      </c>
      <c r="B52" s="5" t="s">
        <v>160</v>
      </c>
      <c r="J52" t="s">
        <v>386</v>
      </c>
      <c r="K52" s="12" t="s">
        <v>579</v>
      </c>
      <c r="M52" t="s">
        <v>733</v>
      </c>
      <c r="N52" t="s">
        <v>618</v>
      </c>
      <c r="S52" s="5" t="s">
        <v>1286</v>
      </c>
      <c r="T52" t="s">
        <v>1465</v>
      </c>
      <c r="Y52" s="7" t="s">
        <v>2615</v>
      </c>
      <c r="Z52" s="7" t="s">
        <v>2807</v>
      </c>
      <c r="AE52" t="s">
        <v>1700</v>
      </c>
      <c r="AF52" t="s">
        <v>1701</v>
      </c>
      <c r="AW52" t="s">
        <v>3064</v>
      </c>
      <c r="AX52" t="s">
        <v>3376</v>
      </c>
      <c r="BA52" t="s">
        <v>3672</v>
      </c>
      <c r="BB52" t="s">
        <v>3673</v>
      </c>
    </row>
    <row r="53" spans="1:54" x14ac:dyDescent="0.25">
      <c r="A53" s="5" t="s">
        <v>161</v>
      </c>
      <c r="B53" s="5" t="s">
        <v>162</v>
      </c>
      <c r="J53" t="s">
        <v>387</v>
      </c>
      <c r="K53" s="12" t="s">
        <v>580</v>
      </c>
      <c r="M53" t="s">
        <v>734</v>
      </c>
      <c r="N53" t="s">
        <v>619</v>
      </c>
      <c r="S53" s="5" t="s">
        <v>1287</v>
      </c>
      <c r="T53" t="s">
        <v>1466</v>
      </c>
      <c r="Y53" s="7" t="s">
        <v>2616</v>
      </c>
      <c r="Z53" s="7" t="s">
        <v>2808</v>
      </c>
      <c r="AE53" t="s">
        <v>1702</v>
      </c>
      <c r="AF53" t="s">
        <v>1703</v>
      </c>
      <c r="AW53" t="s">
        <v>3065</v>
      </c>
      <c r="AX53" t="s">
        <v>3377</v>
      </c>
      <c r="BA53" t="s">
        <v>3674</v>
      </c>
      <c r="BB53" t="s">
        <v>3675</v>
      </c>
    </row>
    <row r="54" spans="1:54" x14ac:dyDescent="0.25">
      <c r="A54" s="5" t="s">
        <v>163</v>
      </c>
      <c r="B54" s="5" t="s">
        <v>164</v>
      </c>
      <c r="J54" t="s">
        <v>388</v>
      </c>
      <c r="K54" s="12" t="s">
        <v>591</v>
      </c>
      <c r="M54" t="s">
        <v>735</v>
      </c>
      <c r="N54" t="s">
        <v>620</v>
      </c>
      <c r="S54" s="5" t="s">
        <v>1288</v>
      </c>
      <c r="T54" t="s">
        <v>1467</v>
      </c>
      <c r="Y54" s="7" t="s">
        <v>2617</v>
      </c>
      <c r="Z54" s="7" t="s">
        <v>2809</v>
      </c>
      <c r="AE54" t="s">
        <v>1704</v>
      </c>
      <c r="AF54" t="s">
        <v>1705</v>
      </c>
      <c r="AW54" t="s">
        <v>3066</v>
      </c>
      <c r="AX54" t="s">
        <v>3378</v>
      </c>
      <c r="BA54" t="s">
        <v>3676</v>
      </c>
      <c r="BB54" t="s">
        <v>3677</v>
      </c>
    </row>
    <row r="55" spans="1:54" x14ac:dyDescent="0.25">
      <c r="A55" s="5" t="s">
        <v>165</v>
      </c>
      <c r="B55" s="5" t="s">
        <v>166</v>
      </c>
      <c r="J55" t="s">
        <v>389</v>
      </c>
      <c r="K55" s="12" t="s">
        <v>592</v>
      </c>
      <c r="M55" t="s">
        <v>736</v>
      </c>
      <c r="N55" t="s">
        <v>1004</v>
      </c>
      <c r="S55" s="5" t="s">
        <v>1289</v>
      </c>
      <c r="T55" t="s">
        <v>1468</v>
      </c>
      <c r="Y55" s="7" t="s">
        <v>2618</v>
      </c>
      <c r="Z55" s="7" t="s">
        <v>2810</v>
      </c>
      <c r="AE55" t="s">
        <v>1706</v>
      </c>
      <c r="AF55" t="s">
        <v>1707</v>
      </c>
      <c r="AW55" t="s">
        <v>3067</v>
      </c>
      <c r="AX55" t="s">
        <v>3379</v>
      </c>
      <c r="BA55" t="s">
        <v>3678</v>
      </c>
      <c r="BB55" t="s">
        <v>3679</v>
      </c>
    </row>
    <row r="56" spans="1:54" x14ac:dyDescent="0.25">
      <c r="A56" s="5" t="s">
        <v>167</v>
      </c>
      <c r="B56" s="5" t="s">
        <v>168</v>
      </c>
      <c r="J56" t="s">
        <v>390</v>
      </c>
      <c r="K56" s="12" t="s">
        <v>595</v>
      </c>
      <c r="M56" t="s">
        <v>737</v>
      </c>
      <c r="N56" t="s">
        <v>621</v>
      </c>
      <c r="S56" s="5" t="s">
        <v>1290</v>
      </c>
      <c r="T56" t="s">
        <v>1469</v>
      </c>
      <c r="Y56" s="7" t="s">
        <v>2619</v>
      </c>
      <c r="Z56" s="7" t="s">
        <v>2811</v>
      </c>
      <c r="AE56" t="s">
        <v>1708</v>
      </c>
      <c r="AF56" t="s">
        <v>1709</v>
      </c>
      <c r="AW56" t="s">
        <v>3068</v>
      </c>
      <c r="AX56" t="s">
        <v>2828</v>
      </c>
      <c r="BA56" t="s">
        <v>3680</v>
      </c>
      <c r="BB56" t="s">
        <v>3681</v>
      </c>
    </row>
    <row r="57" spans="1:54" x14ac:dyDescent="0.25">
      <c r="A57" s="5" t="s">
        <v>169</v>
      </c>
      <c r="B57" s="5" t="s">
        <v>170</v>
      </c>
      <c r="J57" t="s">
        <v>391</v>
      </c>
      <c r="K57" s="12" t="s">
        <v>598</v>
      </c>
      <c r="M57" t="s">
        <v>738</v>
      </c>
      <c r="N57" t="s">
        <v>622</v>
      </c>
      <c r="S57" s="5" t="s">
        <v>1291</v>
      </c>
      <c r="T57" t="s">
        <v>1470</v>
      </c>
      <c r="Y57" s="7" t="s">
        <v>2620</v>
      </c>
      <c r="Z57" s="7" t="s">
        <v>2812</v>
      </c>
      <c r="AE57" t="s">
        <v>1710</v>
      </c>
      <c r="AF57" t="s">
        <v>1711</v>
      </c>
      <c r="AW57" t="s">
        <v>3069</v>
      </c>
      <c r="AX57" t="s">
        <v>2829</v>
      </c>
      <c r="BA57" t="s">
        <v>3682</v>
      </c>
      <c r="BB57" t="s">
        <v>3683</v>
      </c>
    </row>
    <row r="58" spans="1:54" x14ac:dyDescent="0.25">
      <c r="A58" s="5" t="s">
        <v>171</v>
      </c>
      <c r="B58" s="5" t="s">
        <v>172</v>
      </c>
      <c r="J58" t="s">
        <v>392</v>
      </c>
      <c r="K58" s="12" t="s">
        <v>599</v>
      </c>
      <c r="M58" t="s">
        <v>739</v>
      </c>
      <c r="N58" t="s">
        <v>623</v>
      </c>
      <c r="S58" s="5" t="s">
        <v>1292</v>
      </c>
      <c r="T58" t="s">
        <v>1471</v>
      </c>
      <c r="Y58" s="7" t="s">
        <v>2621</v>
      </c>
      <c r="Z58" s="7" t="s">
        <v>2813</v>
      </c>
      <c r="AE58" t="s">
        <v>1712</v>
      </c>
      <c r="AF58" t="s">
        <v>1713</v>
      </c>
      <c r="AW58" t="s">
        <v>3070</v>
      </c>
      <c r="AX58" t="s">
        <v>3380</v>
      </c>
      <c r="BA58" t="s">
        <v>3684</v>
      </c>
      <c r="BB58" t="s">
        <v>3685</v>
      </c>
    </row>
    <row r="59" spans="1:54" x14ac:dyDescent="0.25">
      <c r="A59" s="5" t="s">
        <v>173</v>
      </c>
      <c r="B59" s="5" t="s">
        <v>174</v>
      </c>
      <c r="J59" t="s">
        <v>393</v>
      </c>
      <c r="K59" s="12" t="s">
        <v>601</v>
      </c>
      <c r="M59" t="s">
        <v>740</v>
      </c>
      <c r="N59" t="s">
        <v>624</v>
      </c>
      <c r="S59" s="5" t="s">
        <v>1293</v>
      </c>
      <c r="T59" t="s">
        <v>1472</v>
      </c>
      <c r="Y59" s="7" t="s">
        <v>2622</v>
      </c>
      <c r="Z59" s="7" t="s">
        <v>2814</v>
      </c>
      <c r="AE59" t="s">
        <v>1714</v>
      </c>
      <c r="AF59" t="s">
        <v>1715</v>
      </c>
      <c r="AW59" t="s">
        <v>3071</v>
      </c>
      <c r="AX59" t="s">
        <v>3381</v>
      </c>
      <c r="BA59" t="s">
        <v>3686</v>
      </c>
      <c r="BB59" t="s">
        <v>3687</v>
      </c>
    </row>
    <row r="60" spans="1:54" x14ac:dyDescent="0.25">
      <c r="A60" s="5" t="s">
        <v>175</v>
      </c>
      <c r="B60" s="5" t="s">
        <v>176</v>
      </c>
      <c r="J60" t="s">
        <v>394</v>
      </c>
      <c r="K60" s="12" t="s">
        <v>610</v>
      </c>
      <c r="M60" t="s">
        <v>741</v>
      </c>
      <c r="N60" t="s">
        <v>625</v>
      </c>
      <c r="S60" s="5" t="s">
        <v>1294</v>
      </c>
      <c r="T60" t="s">
        <v>1473</v>
      </c>
      <c r="Y60" s="7" t="s">
        <v>2623</v>
      </c>
      <c r="Z60" s="7" t="s">
        <v>2815</v>
      </c>
      <c r="AE60" t="s">
        <v>1716</v>
      </c>
      <c r="AF60" t="s">
        <v>1717</v>
      </c>
      <c r="AW60" t="s">
        <v>3072</v>
      </c>
      <c r="AX60" t="s">
        <v>3382</v>
      </c>
      <c r="BA60" t="s">
        <v>3688</v>
      </c>
      <c r="BB60" t="s">
        <v>3689</v>
      </c>
    </row>
    <row r="61" spans="1:54" x14ac:dyDescent="0.25">
      <c r="A61" s="5" t="s">
        <v>177</v>
      </c>
      <c r="B61" s="5" t="s">
        <v>178</v>
      </c>
      <c r="J61" t="s">
        <v>395</v>
      </c>
      <c r="K61" s="12" t="s">
        <v>626</v>
      </c>
      <c r="M61" t="s">
        <v>742</v>
      </c>
      <c r="N61" t="s">
        <v>626</v>
      </c>
      <c r="S61" s="5" t="s">
        <v>1295</v>
      </c>
      <c r="T61" t="s">
        <v>1474</v>
      </c>
      <c r="Y61" s="7" t="s">
        <v>2624</v>
      </c>
      <c r="Z61" s="7" t="s">
        <v>2816</v>
      </c>
      <c r="AE61" t="s">
        <v>1718</v>
      </c>
      <c r="AF61" t="s">
        <v>1719</v>
      </c>
      <c r="AW61" t="s">
        <v>3073</v>
      </c>
      <c r="AX61" t="s">
        <v>3383</v>
      </c>
      <c r="BA61" t="s">
        <v>3690</v>
      </c>
      <c r="BB61" t="s">
        <v>3691</v>
      </c>
    </row>
    <row r="62" spans="1:54" x14ac:dyDescent="0.25">
      <c r="A62" s="5" t="s">
        <v>179</v>
      </c>
      <c r="B62" s="5" t="s">
        <v>180</v>
      </c>
      <c r="J62" t="s">
        <v>396</v>
      </c>
      <c r="K62" s="12" t="s">
        <v>628</v>
      </c>
      <c r="M62" t="s">
        <v>743</v>
      </c>
      <c r="N62" t="s">
        <v>627</v>
      </c>
      <c r="S62" s="5" t="s">
        <v>1296</v>
      </c>
      <c r="T62" t="s">
        <v>1475</v>
      </c>
      <c r="Y62" s="7" t="s">
        <v>2625</v>
      </c>
      <c r="Z62" s="7" t="s">
        <v>2817</v>
      </c>
      <c r="AE62" t="s">
        <v>1720</v>
      </c>
      <c r="AF62" t="s">
        <v>1721</v>
      </c>
      <c r="AW62" t="s">
        <v>3074</v>
      </c>
      <c r="AX62" t="s">
        <v>3384</v>
      </c>
      <c r="BA62" t="s">
        <v>3692</v>
      </c>
      <c r="BB62" t="s">
        <v>3693</v>
      </c>
    </row>
    <row r="63" spans="1:54" x14ac:dyDescent="0.25">
      <c r="A63" s="5" t="s">
        <v>181</v>
      </c>
      <c r="B63" s="5" t="s">
        <v>182</v>
      </c>
      <c r="J63" t="s">
        <v>397</v>
      </c>
      <c r="K63" s="12" t="s">
        <v>632</v>
      </c>
      <c r="M63" t="s">
        <v>744</v>
      </c>
      <c r="N63" t="s">
        <v>628</v>
      </c>
      <c r="S63" s="5" t="s">
        <v>1297</v>
      </c>
      <c r="T63" t="s">
        <v>1476</v>
      </c>
      <c r="Y63" s="7" t="s">
        <v>2626</v>
      </c>
      <c r="Z63" s="7" t="s">
        <v>2818</v>
      </c>
      <c r="AE63" t="s">
        <v>1722</v>
      </c>
      <c r="AF63" t="s">
        <v>1723</v>
      </c>
      <c r="AW63" t="s">
        <v>3075</v>
      </c>
      <c r="AX63" t="s">
        <v>3385</v>
      </c>
      <c r="BA63" t="s">
        <v>3694</v>
      </c>
      <c r="BB63" t="s">
        <v>3695</v>
      </c>
    </row>
    <row r="64" spans="1:54" x14ac:dyDescent="0.25">
      <c r="A64" s="5" t="s">
        <v>183</v>
      </c>
      <c r="B64" s="5" t="s">
        <v>184</v>
      </c>
      <c r="J64" t="s">
        <v>398</v>
      </c>
      <c r="K64" s="12" t="s">
        <v>633</v>
      </c>
      <c r="M64" t="s">
        <v>745</v>
      </c>
      <c r="N64" t="s">
        <v>629</v>
      </c>
      <c r="S64" s="5" t="s">
        <v>1298</v>
      </c>
      <c r="T64" t="s">
        <v>1477</v>
      </c>
      <c r="Y64" s="7" t="s">
        <v>2627</v>
      </c>
      <c r="Z64" s="7" t="s">
        <v>2819</v>
      </c>
      <c r="AE64" t="s">
        <v>1724</v>
      </c>
      <c r="AF64" t="s">
        <v>1725</v>
      </c>
      <c r="AW64" t="s">
        <v>3076</v>
      </c>
      <c r="AX64" t="s">
        <v>3386</v>
      </c>
      <c r="BA64" t="s">
        <v>3696</v>
      </c>
      <c r="BB64" t="s">
        <v>3697</v>
      </c>
    </row>
    <row r="65" spans="1:54" x14ac:dyDescent="0.25">
      <c r="A65" s="5" t="s">
        <v>185</v>
      </c>
      <c r="B65" s="5" t="s">
        <v>186</v>
      </c>
      <c r="J65" t="s">
        <v>399</v>
      </c>
      <c r="K65" s="12" t="s">
        <v>634</v>
      </c>
      <c r="M65" t="s">
        <v>746</v>
      </c>
      <c r="N65" t="s">
        <v>630</v>
      </c>
      <c r="S65" s="5" t="s">
        <v>1299</v>
      </c>
      <c r="T65" t="s">
        <v>1478</v>
      </c>
      <c r="Y65" s="7" t="s">
        <v>2628</v>
      </c>
      <c r="Z65" s="7" t="s">
        <v>2820</v>
      </c>
      <c r="AE65" t="s">
        <v>1726</v>
      </c>
      <c r="AF65" t="s">
        <v>1727</v>
      </c>
      <c r="AW65" t="s">
        <v>3077</v>
      </c>
      <c r="AX65" t="s">
        <v>3387</v>
      </c>
      <c r="BA65" t="s">
        <v>3698</v>
      </c>
      <c r="BB65" t="s">
        <v>3699</v>
      </c>
    </row>
    <row r="66" spans="1:54" x14ac:dyDescent="0.25">
      <c r="A66" s="5" t="s">
        <v>187</v>
      </c>
      <c r="B66" s="5" t="s">
        <v>188</v>
      </c>
      <c r="J66" t="s">
        <v>400</v>
      </c>
      <c r="K66" s="12" t="s">
        <v>638</v>
      </c>
      <c r="M66" t="s">
        <v>747</v>
      </c>
      <c r="N66" t="s">
        <v>1005</v>
      </c>
      <c r="S66" s="5" t="s">
        <v>1300</v>
      </c>
      <c r="T66" t="s">
        <v>1479</v>
      </c>
      <c r="Y66" s="7" t="s">
        <v>2629</v>
      </c>
      <c r="Z66" s="7" t="s">
        <v>2821</v>
      </c>
      <c r="AE66" t="s">
        <v>1728</v>
      </c>
      <c r="AF66" t="s">
        <v>1729</v>
      </c>
      <c r="AW66" t="s">
        <v>3078</v>
      </c>
      <c r="AX66" t="s">
        <v>3388</v>
      </c>
      <c r="BA66" t="s">
        <v>3700</v>
      </c>
      <c r="BB66" t="s">
        <v>3701</v>
      </c>
    </row>
    <row r="67" spans="1:54" x14ac:dyDescent="0.25">
      <c r="A67" s="5" t="s">
        <v>189</v>
      </c>
      <c r="B67" s="5" t="s">
        <v>190</v>
      </c>
      <c r="J67" t="s">
        <v>401</v>
      </c>
      <c r="K67" s="12" t="s">
        <v>639</v>
      </c>
      <c r="M67" t="s">
        <v>748</v>
      </c>
      <c r="N67" t="s">
        <v>631</v>
      </c>
      <c r="S67" s="5" t="s">
        <v>1301</v>
      </c>
      <c r="T67" t="s">
        <v>1480</v>
      </c>
      <c r="Y67" s="7" t="s">
        <v>2630</v>
      </c>
      <c r="Z67" s="7" t="s">
        <v>2822</v>
      </c>
      <c r="AE67" t="s">
        <v>1730</v>
      </c>
      <c r="AF67" t="s">
        <v>1731</v>
      </c>
      <c r="AW67" t="s">
        <v>3079</v>
      </c>
      <c r="AX67" t="s">
        <v>3389</v>
      </c>
      <c r="BA67" t="s">
        <v>3702</v>
      </c>
      <c r="BB67" t="s">
        <v>3703</v>
      </c>
    </row>
    <row r="68" spans="1:54" x14ac:dyDescent="0.25">
      <c r="A68" s="5" t="s">
        <v>191</v>
      </c>
      <c r="B68" s="5" t="s">
        <v>192</v>
      </c>
      <c r="J68" t="s">
        <v>402</v>
      </c>
      <c r="K68" s="12" t="s">
        <v>642</v>
      </c>
      <c r="M68" t="s">
        <v>749</v>
      </c>
      <c r="N68" t="s">
        <v>632</v>
      </c>
      <c r="S68" s="5" t="s">
        <v>1302</v>
      </c>
      <c r="T68" t="s">
        <v>1481</v>
      </c>
      <c r="Y68" s="7" t="s">
        <v>2631</v>
      </c>
      <c r="Z68" s="7" t="s">
        <v>2823</v>
      </c>
      <c r="AE68" t="s">
        <v>1732</v>
      </c>
      <c r="AF68" t="s">
        <v>1733</v>
      </c>
      <c r="AW68" t="s">
        <v>3080</v>
      </c>
      <c r="AX68" t="s">
        <v>3390</v>
      </c>
      <c r="BA68" t="s">
        <v>3704</v>
      </c>
      <c r="BB68" t="s">
        <v>3705</v>
      </c>
    </row>
    <row r="69" spans="1:54" x14ac:dyDescent="0.25">
      <c r="A69" s="5" t="s">
        <v>193</v>
      </c>
      <c r="B69" s="5" t="s">
        <v>194</v>
      </c>
      <c r="J69" t="s">
        <v>403</v>
      </c>
      <c r="K69" s="12" t="s">
        <v>643</v>
      </c>
      <c r="M69" t="s">
        <v>750</v>
      </c>
      <c r="N69" t="s">
        <v>633</v>
      </c>
      <c r="S69" s="5" t="s">
        <v>1303</v>
      </c>
      <c r="T69" t="s">
        <v>1482</v>
      </c>
      <c r="Y69" s="7" t="s">
        <v>2632</v>
      </c>
      <c r="Z69" s="7" t="s">
        <v>2824</v>
      </c>
      <c r="AE69" t="s">
        <v>1734</v>
      </c>
      <c r="AF69" t="s">
        <v>1735</v>
      </c>
      <c r="AW69" t="s">
        <v>3081</v>
      </c>
      <c r="AX69" t="s">
        <v>3391</v>
      </c>
      <c r="BA69" t="s">
        <v>3706</v>
      </c>
      <c r="BB69" t="s">
        <v>3707</v>
      </c>
    </row>
    <row r="70" spans="1:54" x14ac:dyDescent="0.25">
      <c r="A70" s="5" t="s">
        <v>195</v>
      </c>
      <c r="B70" s="5" t="s">
        <v>196</v>
      </c>
      <c r="J70" t="s">
        <v>404</v>
      </c>
      <c r="K70" s="12" t="s">
        <v>648</v>
      </c>
      <c r="M70" t="s">
        <v>751</v>
      </c>
      <c r="N70" t="s">
        <v>634</v>
      </c>
      <c r="S70" s="5" t="s">
        <v>1304</v>
      </c>
      <c r="T70" t="s">
        <v>1483</v>
      </c>
      <c r="Y70" s="7" t="s">
        <v>2633</v>
      </c>
      <c r="Z70" s="7" t="s">
        <v>2825</v>
      </c>
      <c r="AE70" t="s">
        <v>1736</v>
      </c>
      <c r="AF70" t="s">
        <v>1737</v>
      </c>
      <c r="AW70" t="s">
        <v>3082</v>
      </c>
      <c r="AX70" t="s">
        <v>3392</v>
      </c>
      <c r="BA70" t="s">
        <v>3708</v>
      </c>
      <c r="BB70" t="s">
        <v>3709</v>
      </c>
    </row>
    <row r="71" spans="1:54" x14ac:dyDescent="0.25">
      <c r="A71" s="5" t="s">
        <v>197</v>
      </c>
      <c r="B71" s="5" t="s">
        <v>198</v>
      </c>
      <c r="J71" t="s">
        <v>405</v>
      </c>
      <c r="K71" s="12" t="s">
        <v>654</v>
      </c>
      <c r="M71" t="s">
        <v>752</v>
      </c>
      <c r="N71" t="s">
        <v>635</v>
      </c>
      <c r="S71" s="5" t="s">
        <v>1305</v>
      </c>
      <c r="T71" t="s">
        <v>1484</v>
      </c>
      <c r="Y71" s="7" t="s">
        <v>2634</v>
      </c>
      <c r="Z71" s="7" t="s">
        <v>2826</v>
      </c>
      <c r="AE71" t="s">
        <v>1738</v>
      </c>
      <c r="AF71" t="s">
        <v>1739</v>
      </c>
      <c r="AW71" t="s">
        <v>3083</v>
      </c>
      <c r="AX71" t="s">
        <v>3393</v>
      </c>
      <c r="BA71" t="s">
        <v>3710</v>
      </c>
      <c r="BB71" t="s">
        <v>3711</v>
      </c>
    </row>
    <row r="72" spans="1:54" x14ac:dyDescent="0.25">
      <c r="A72" s="5" t="s">
        <v>199</v>
      </c>
      <c r="B72" s="5" t="s">
        <v>200</v>
      </c>
      <c r="J72" t="s">
        <v>406</v>
      </c>
      <c r="K72" s="12" t="s">
        <v>655</v>
      </c>
      <c r="M72" t="s">
        <v>753</v>
      </c>
      <c r="N72" t="s">
        <v>636</v>
      </c>
      <c r="S72" s="5" t="s">
        <v>1306</v>
      </c>
      <c r="T72" t="s">
        <v>1485</v>
      </c>
      <c r="Y72" s="7" t="s">
        <v>2635</v>
      </c>
      <c r="Z72" s="7" t="s">
        <v>2827</v>
      </c>
      <c r="AE72" t="s">
        <v>1740</v>
      </c>
      <c r="AF72" t="s">
        <v>1741</v>
      </c>
      <c r="AW72" t="s">
        <v>3084</v>
      </c>
      <c r="AX72" t="s">
        <v>3394</v>
      </c>
      <c r="BA72" t="s">
        <v>3712</v>
      </c>
      <c r="BB72" t="s">
        <v>3713</v>
      </c>
    </row>
    <row r="73" spans="1:54" x14ac:dyDescent="0.25">
      <c r="A73" s="5" t="s">
        <v>201</v>
      </c>
      <c r="B73" s="5" t="s">
        <v>202</v>
      </c>
      <c r="J73" t="s">
        <v>407</v>
      </c>
      <c r="K73" s="12" t="s">
        <v>656</v>
      </c>
      <c r="M73" t="s">
        <v>754</v>
      </c>
      <c r="N73" t="s">
        <v>637</v>
      </c>
      <c r="S73" s="5" t="s">
        <v>1307</v>
      </c>
      <c r="T73" t="s">
        <v>1486</v>
      </c>
      <c r="Y73" s="7" t="s">
        <v>2636</v>
      </c>
      <c r="Z73" s="7" t="s">
        <v>2828</v>
      </c>
      <c r="AE73" t="s">
        <v>1742</v>
      </c>
      <c r="AF73" t="s">
        <v>1743</v>
      </c>
      <c r="AW73" t="s">
        <v>3085</v>
      </c>
      <c r="AX73" t="s">
        <v>3395</v>
      </c>
      <c r="BA73" t="s">
        <v>3714</v>
      </c>
      <c r="BB73" t="s">
        <v>3715</v>
      </c>
    </row>
    <row r="74" spans="1:54" x14ac:dyDescent="0.25">
      <c r="A74" s="5" t="s">
        <v>203</v>
      </c>
      <c r="B74" s="5" t="s">
        <v>204</v>
      </c>
      <c r="J74" t="s">
        <v>408</v>
      </c>
      <c r="K74" s="12" t="s">
        <v>657</v>
      </c>
      <c r="M74" t="s">
        <v>755</v>
      </c>
      <c r="N74" t="s">
        <v>638</v>
      </c>
      <c r="S74" s="5" t="s">
        <v>1308</v>
      </c>
      <c r="T74" t="s">
        <v>1487</v>
      </c>
      <c r="Y74" s="7" t="s">
        <v>2637</v>
      </c>
      <c r="Z74" s="7" t="s">
        <v>2829</v>
      </c>
      <c r="AE74" t="s">
        <v>1744</v>
      </c>
      <c r="AF74" t="s">
        <v>1745</v>
      </c>
      <c r="AW74" t="s">
        <v>3086</v>
      </c>
      <c r="AX74" t="s">
        <v>3396</v>
      </c>
      <c r="BA74" t="s">
        <v>3716</v>
      </c>
      <c r="BB74" t="s">
        <v>3717</v>
      </c>
    </row>
    <row r="75" spans="1:54" x14ac:dyDescent="0.25">
      <c r="A75" s="5" t="s">
        <v>205</v>
      </c>
      <c r="B75" s="5" t="s">
        <v>206</v>
      </c>
      <c r="J75" t="s">
        <v>409</v>
      </c>
      <c r="K75" s="12" t="s">
        <v>658</v>
      </c>
      <c r="M75" t="s">
        <v>756</v>
      </c>
      <c r="N75" t="s">
        <v>639</v>
      </c>
      <c r="S75" s="5" t="s">
        <v>1309</v>
      </c>
      <c r="T75" t="s">
        <v>1488</v>
      </c>
      <c r="Y75" s="7" t="s">
        <v>2638</v>
      </c>
      <c r="Z75" s="7" t="s">
        <v>2830</v>
      </c>
      <c r="AE75" t="s">
        <v>1746</v>
      </c>
      <c r="AF75" t="s">
        <v>1747</v>
      </c>
      <c r="AW75" t="s">
        <v>3087</v>
      </c>
      <c r="AX75" t="s">
        <v>3397</v>
      </c>
      <c r="BA75" t="s">
        <v>3718</v>
      </c>
      <c r="BB75" t="s">
        <v>3719</v>
      </c>
    </row>
    <row r="76" spans="1:54" x14ac:dyDescent="0.25">
      <c r="A76" s="5" t="s">
        <v>4083</v>
      </c>
      <c r="B76" s="5" t="s">
        <v>122</v>
      </c>
      <c r="J76" t="s">
        <v>410</v>
      </c>
      <c r="K76" s="12" t="s">
        <v>659</v>
      </c>
      <c r="M76" t="s">
        <v>757</v>
      </c>
      <c r="N76" t="s">
        <v>640</v>
      </c>
      <c r="S76" s="5" t="s">
        <v>1310</v>
      </c>
      <c r="T76" t="s">
        <v>1489</v>
      </c>
      <c r="Y76" s="7" t="s">
        <v>2639</v>
      </c>
      <c r="Z76" s="7" t="s">
        <v>2831</v>
      </c>
      <c r="AE76" t="s">
        <v>1748</v>
      </c>
      <c r="AF76" t="s">
        <v>1749</v>
      </c>
      <c r="AW76" t="s">
        <v>3088</v>
      </c>
      <c r="AX76" t="s">
        <v>3398</v>
      </c>
      <c r="BA76" t="s">
        <v>3720</v>
      </c>
      <c r="BB76" t="s">
        <v>3721</v>
      </c>
    </row>
    <row ht="30" r="77" spans="1:54" x14ac:dyDescent="0.25">
      <c r="A77" s="5" t="s">
        <v>207</v>
      </c>
      <c r="B77" s="5" t="s">
        <v>208</v>
      </c>
      <c r="J77" t="s">
        <v>411</v>
      </c>
      <c r="K77" s="12" t="s">
        <v>660</v>
      </c>
      <c r="M77" t="s">
        <v>758</v>
      </c>
      <c r="N77" t="s">
        <v>1006</v>
      </c>
      <c r="S77" s="5" t="s">
        <v>1311</v>
      </c>
      <c r="T77" t="s">
        <v>1490</v>
      </c>
      <c r="Y77" s="7" t="s">
        <v>2640</v>
      </c>
      <c r="Z77" s="7" t="s">
        <v>2832</v>
      </c>
      <c r="AE77" t="s">
        <v>1750</v>
      </c>
      <c r="AF77" t="s">
        <v>1751</v>
      </c>
      <c r="AW77" t="s">
        <v>3089</v>
      </c>
      <c r="AX77" t="s">
        <v>3399</v>
      </c>
      <c r="BA77" t="s">
        <v>3722</v>
      </c>
      <c r="BB77" t="s">
        <v>3723</v>
      </c>
    </row>
    <row ht="30" r="78" spans="1:54" x14ac:dyDescent="0.25">
      <c r="A78" s="5" t="s">
        <v>209</v>
      </c>
      <c r="B78" s="5" t="s">
        <v>210</v>
      </c>
      <c r="J78" t="s">
        <v>412</v>
      </c>
      <c r="K78" s="12" t="s">
        <v>661</v>
      </c>
      <c r="M78" t="s">
        <v>759</v>
      </c>
      <c r="N78" t="s">
        <v>641</v>
      </c>
      <c r="S78" s="5" t="s">
        <v>1312</v>
      </c>
      <c r="T78" t="s">
        <v>1491</v>
      </c>
      <c r="Y78" s="7" t="s">
        <v>2641</v>
      </c>
      <c r="Z78" s="7" t="s">
        <v>2833</v>
      </c>
      <c r="AE78" t="s">
        <v>1752</v>
      </c>
      <c r="AF78" t="s">
        <v>1753</v>
      </c>
      <c r="AW78" t="s">
        <v>3090</v>
      </c>
      <c r="AX78" t="s">
        <v>3400</v>
      </c>
      <c r="BA78" t="s">
        <v>3724</v>
      </c>
      <c r="BB78" t="s">
        <v>3725</v>
      </c>
    </row>
    <row r="79" spans="1:54" x14ac:dyDescent="0.25">
      <c r="A79" s="5" t="s">
        <v>211</v>
      </c>
      <c r="B79" s="5" t="s">
        <v>212</v>
      </c>
      <c r="J79" t="s">
        <v>413</v>
      </c>
      <c r="K79" s="12" t="s">
        <v>662</v>
      </c>
      <c r="M79" t="s">
        <v>760</v>
      </c>
      <c r="N79" t="s">
        <v>642</v>
      </c>
      <c r="S79" s="5" t="s">
        <v>1313</v>
      </c>
      <c r="T79" t="s">
        <v>1492</v>
      </c>
      <c r="Y79" s="7" t="s">
        <v>2642</v>
      </c>
      <c r="Z79" s="7" t="s">
        <v>2834</v>
      </c>
      <c r="AE79" t="s">
        <v>1754</v>
      </c>
      <c r="AF79" t="s">
        <v>1755</v>
      </c>
      <c r="AW79" t="s">
        <v>3091</v>
      </c>
      <c r="AX79" t="s">
        <v>3401</v>
      </c>
      <c r="BA79" t="s">
        <v>3726</v>
      </c>
      <c r="BB79" t="s">
        <v>3727</v>
      </c>
    </row>
    <row r="80" spans="1:54" x14ac:dyDescent="0.25">
      <c r="A80" s="5" t="s">
        <v>213</v>
      </c>
      <c r="B80" s="5" t="s">
        <v>214</v>
      </c>
      <c r="J80" t="s">
        <v>414</v>
      </c>
      <c r="K80" s="12" t="s">
        <v>663</v>
      </c>
      <c r="M80" t="s">
        <v>761</v>
      </c>
      <c r="N80" t="s">
        <v>643</v>
      </c>
      <c r="S80" s="5" t="s">
        <v>1314</v>
      </c>
      <c r="T80" t="s">
        <v>1493</v>
      </c>
      <c r="Y80" s="7" t="s">
        <v>2643</v>
      </c>
      <c r="Z80" s="7" t="s">
        <v>2835</v>
      </c>
      <c r="AE80" t="s">
        <v>1756</v>
      </c>
      <c r="AF80" t="s">
        <v>1757</v>
      </c>
      <c r="AW80" t="s">
        <v>3092</v>
      </c>
      <c r="AX80" t="s">
        <v>3402</v>
      </c>
      <c r="BA80" t="s">
        <v>3728</v>
      </c>
      <c r="BB80" t="s">
        <v>3729</v>
      </c>
    </row>
    <row r="81" spans="1:54" x14ac:dyDescent="0.25">
      <c r="A81" s="5" t="s">
        <v>215</v>
      </c>
      <c r="B81" s="5" t="s">
        <v>216</v>
      </c>
      <c r="J81" t="s">
        <v>415</v>
      </c>
      <c r="K81" s="12" t="s">
        <v>664</v>
      </c>
      <c r="M81" t="s">
        <v>762</v>
      </c>
      <c r="N81" t="s">
        <v>644</v>
      </c>
      <c r="S81" s="5" t="s">
        <v>1315</v>
      </c>
      <c r="T81" t="s">
        <v>1494</v>
      </c>
      <c r="Y81" s="7" t="s">
        <v>2644</v>
      </c>
      <c r="Z81" s="7" t="s">
        <v>2836</v>
      </c>
      <c r="AE81" t="s">
        <v>1758</v>
      </c>
      <c r="AF81" t="s">
        <v>1759</v>
      </c>
      <c r="AW81" t="s">
        <v>3093</v>
      </c>
      <c r="AX81" t="s">
        <v>3403</v>
      </c>
      <c r="BA81" t="s">
        <v>3730</v>
      </c>
      <c r="BB81" t="s">
        <v>3731</v>
      </c>
    </row>
    <row r="82" spans="1:54" x14ac:dyDescent="0.25">
      <c r="A82" s="5" t="s">
        <v>217</v>
      </c>
      <c r="B82" s="5" t="s">
        <v>218</v>
      </c>
      <c r="J82" t="s">
        <v>416</v>
      </c>
      <c r="K82" s="12" t="s">
        <v>665</v>
      </c>
      <c r="M82" t="s">
        <v>763</v>
      </c>
      <c r="N82" t="s">
        <v>645</v>
      </c>
      <c r="S82" s="5" t="s">
        <v>1316</v>
      </c>
      <c r="T82" t="s">
        <v>1495</v>
      </c>
      <c r="Y82" s="7" t="s">
        <v>2645</v>
      </c>
      <c r="Z82" s="7" t="s">
        <v>2837</v>
      </c>
      <c r="AE82" t="s">
        <v>1760</v>
      </c>
      <c r="AF82" t="s">
        <v>1761</v>
      </c>
      <c r="AW82" t="s">
        <v>3094</v>
      </c>
      <c r="AX82" t="s">
        <v>3404</v>
      </c>
      <c r="BA82" t="s">
        <v>3732</v>
      </c>
      <c r="BB82" t="s">
        <v>3733</v>
      </c>
    </row>
    <row r="83" spans="1:54" x14ac:dyDescent="0.25">
      <c r="A83" s="5" t="s">
        <v>219</v>
      </c>
      <c r="B83" s="5" t="s">
        <v>220</v>
      </c>
      <c r="J83" t="s">
        <v>417</v>
      </c>
      <c r="K83" s="12" t="s">
        <v>666</v>
      </c>
      <c r="M83" t="s">
        <v>764</v>
      </c>
      <c r="N83" t="s">
        <v>646</v>
      </c>
      <c r="S83" s="5" t="s">
        <v>1317</v>
      </c>
      <c r="T83" t="s">
        <v>1496</v>
      </c>
      <c r="Y83" s="7" t="s">
        <v>2646</v>
      </c>
      <c r="Z83" s="7" t="s">
        <v>2838</v>
      </c>
      <c r="AE83" t="s">
        <v>1762</v>
      </c>
      <c r="AF83" t="s">
        <v>1763</v>
      </c>
      <c r="AW83" t="s">
        <v>3095</v>
      </c>
      <c r="AX83" t="s">
        <v>3405</v>
      </c>
      <c r="BA83" t="s">
        <v>3734</v>
      </c>
      <c r="BB83" t="s">
        <v>3735</v>
      </c>
    </row>
    <row r="84" spans="1:54" x14ac:dyDescent="0.25">
      <c r="A84" s="5" t="s">
        <v>221</v>
      </c>
      <c r="B84" s="5" t="s">
        <v>222</v>
      </c>
      <c r="J84" t="s">
        <v>418</v>
      </c>
      <c r="K84" s="12" t="s">
        <v>667</v>
      </c>
      <c r="M84" t="s">
        <v>765</v>
      </c>
      <c r="N84" t="s">
        <v>647</v>
      </c>
      <c r="S84" s="5" t="s">
        <v>1318</v>
      </c>
      <c r="T84" t="s">
        <v>1497</v>
      </c>
      <c r="Y84" s="7" t="s">
        <v>2647</v>
      </c>
      <c r="Z84" s="7" t="s">
        <v>2839</v>
      </c>
      <c r="AE84" t="s">
        <v>1764</v>
      </c>
      <c r="AF84" t="s">
        <v>1765</v>
      </c>
      <c r="AW84" t="s">
        <v>3096</v>
      </c>
      <c r="AX84" t="s">
        <v>3406</v>
      </c>
      <c r="BA84" t="s">
        <v>3736</v>
      </c>
      <c r="BB84" t="s">
        <v>3737</v>
      </c>
    </row>
    <row r="85" spans="1:54" x14ac:dyDescent="0.25">
      <c r="A85" s="5" t="s">
        <v>223</v>
      </c>
      <c r="B85" s="5" t="s">
        <v>224</v>
      </c>
      <c r="J85" t="s">
        <v>419</v>
      </c>
      <c r="K85" s="12" t="s">
        <v>668</v>
      </c>
      <c r="M85" t="s">
        <v>766</v>
      </c>
      <c r="N85" t="s">
        <v>648</v>
      </c>
      <c r="S85" s="5" t="s">
        <v>1319</v>
      </c>
      <c r="T85" t="s">
        <v>1498</v>
      </c>
      <c r="Y85" s="7" t="s">
        <v>2648</v>
      </c>
      <c r="Z85" s="7" t="s">
        <v>2840</v>
      </c>
      <c r="AE85" t="s">
        <v>1766</v>
      </c>
      <c r="AF85" t="s">
        <v>1767</v>
      </c>
      <c r="AW85" t="s">
        <v>3097</v>
      </c>
      <c r="AX85" t="s">
        <v>3407</v>
      </c>
      <c r="BA85" t="s">
        <v>3738</v>
      </c>
      <c r="BB85" t="s">
        <v>3739</v>
      </c>
    </row>
    <row r="86" spans="1:54" x14ac:dyDescent="0.25">
      <c r="A86" s="5" t="s">
        <v>225</v>
      </c>
      <c r="B86" s="5" t="s">
        <v>225</v>
      </c>
      <c r="J86" t="s">
        <v>420</v>
      </c>
      <c r="K86" s="12" t="s">
        <v>669</v>
      </c>
      <c r="M86" t="s">
        <v>767</v>
      </c>
      <c r="N86" t="s">
        <v>649</v>
      </c>
      <c r="S86" s="5" t="s">
        <v>1320</v>
      </c>
      <c r="T86" t="s">
        <v>1499</v>
      </c>
      <c r="Y86" s="7" t="s">
        <v>2649</v>
      </c>
      <c r="Z86" s="7" t="s">
        <v>2841</v>
      </c>
      <c r="AE86" t="s">
        <v>1768</v>
      </c>
      <c r="AF86" t="s">
        <v>1769</v>
      </c>
      <c r="AW86" t="s">
        <v>3098</v>
      </c>
      <c r="AX86" t="s">
        <v>3408</v>
      </c>
      <c r="BA86" t="s">
        <v>3740</v>
      </c>
      <c r="BB86" t="s">
        <v>3741</v>
      </c>
    </row>
    <row r="87" spans="1:54" x14ac:dyDescent="0.25">
      <c r="A87" s="5" t="s">
        <v>226</v>
      </c>
      <c r="B87" s="5" t="s">
        <v>227</v>
      </c>
      <c r="J87" t="s">
        <v>421</v>
      </c>
      <c r="K87" s="12" t="s">
        <v>670</v>
      </c>
      <c r="M87" t="s">
        <v>768</v>
      </c>
      <c r="N87" t="s">
        <v>650</v>
      </c>
      <c r="S87" s="5" t="s">
        <v>1321</v>
      </c>
      <c r="T87" t="s">
        <v>1500</v>
      </c>
      <c r="Y87" s="7" t="s">
        <v>2650</v>
      </c>
      <c r="Z87" s="7" t="s">
        <v>2842</v>
      </c>
      <c r="AE87" t="s">
        <v>1770</v>
      </c>
      <c r="AF87" t="s">
        <v>1771</v>
      </c>
      <c r="AW87" t="s">
        <v>3099</v>
      </c>
      <c r="AX87" t="s">
        <v>3409</v>
      </c>
      <c r="BA87" t="s">
        <v>3742</v>
      </c>
      <c r="BB87" t="s">
        <v>3743</v>
      </c>
    </row>
    <row r="88" spans="1:54" x14ac:dyDescent="0.25">
      <c r="A88" s="5" t="s">
        <v>228</v>
      </c>
      <c r="B88" s="5" t="s">
        <v>228</v>
      </c>
      <c r="J88" t="s">
        <v>422</v>
      </c>
      <c r="K88" s="12" t="s">
        <v>671</v>
      </c>
      <c r="M88" t="s">
        <v>769</v>
      </c>
      <c r="N88" t="s">
        <v>1007</v>
      </c>
      <c r="S88" s="5" t="s">
        <v>1322</v>
      </c>
      <c r="T88" t="s">
        <v>1501</v>
      </c>
      <c r="Y88" s="7" t="s">
        <v>2651</v>
      </c>
      <c r="Z88" s="7" t="s">
        <v>2843</v>
      </c>
      <c r="AE88" t="s">
        <v>1772</v>
      </c>
      <c r="AF88" t="s">
        <v>1773</v>
      </c>
      <c r="AW88" t="s">
        <v>3100</v>
      </c>
      <c r="AX88" t="s">
        <v>3410</v>
      </c>
      <c r="BA88" t="s">
        <v>3744</v>
      </c>
      <c r="BB88" t="s">
        <v>3745</v>
      </c>
    </row>
    <row r="89" spans="1:54" x14ac:dyDescent="0.25">
      <c r="A89" s="5" t="s">
        <v>229</v>
      </c>
      <c r="B89" s="5" t="s">
        <v>230</v>
      </c>
      <c r="J89" t="s">
        <v>423</v>
      </c>
      <c r="K89" s="12" t="s">
        <v>672</v>
      </c>
      <c r="M89" t="s">
        <v>770</v>
      </c>
      <c r="N89" t="s">
        <v>651</v>
      </c>
      <c r="S89" s="5" t="s">
        <v>1323</v>
      </c>
      <c r="T89" t="s">
        <v>1502</v>
      </c>
      <c r="Y89" s="7" t="s">
        <v>2652</v>
      </c>
      <c r="Z89" s="7" t="s">
        <v>2844</v>
      </c>
      <c r="AE89" t="s">
        <v>1774</v>
      </c>
      <c r="AF89" t="s">
        <v>1775</v>
      </c>
      <c r="AW89" t="s">
        <v>3101</v>
      </c>
      <c r="AX89" t="s">
        <v>3411</v>
      </c>
      <c r="BA89" t="s">
        <v>3746</v>
      </c>
      <c r="BB89" t="s">
        <v>3747</v>
      </c>
    </row>
    <row ht="30" r="90" spans="1:54" x14ac:dyDescent="0.25">
      <c r="A90" s="5" t="s">
        <v>231</v>
      </c>
      <c r="B90" s="5" t="s">
        <v>231</v>
      </c>
      <c r="J90" t="s">
        <v>424</v>
      </c>
      <c r="K90" s="12" t="s">
        <v>673</v>
      </c>
      <c r="M90" t="s">
        <v>771</v>
      </c>
      <c r="N90" t="s">
        <v>652</v>
      </c>
      <c r="S90" s="5" t="s">
        <v>1324</v>
      </c>
      <c r="T90" t="s">
        <v>1503</v>
      </c>
      <c r="Y90" s="7" t="s">
        <v>2653</v>
      </c>
      <c r="Z90" s="7" t="s">
        <v>2845</v>
      </c>
      <c r="AE90" t="s">
        <v>1776</v>
      </c>
      <c r="AF90" t="s">
        <v>1777</v>
      </c>
      <c r="AW90" t="s">
        <v>3102</v>
      </c>
      <c r="AX90" t="s">
        <v>3412</v>
      </c>
      <c r="BA90" t="s">
        <v>3748</v>
      </c>
      <c r="BB90" t="s">
        <v>3749</v>
      </c>
    </row>
    <row ht="30" r="91" spans="1:54" x14ac:dyDescent="0.25">
      <c r="A91" s="5" t="s">
        <v>232</v>
      </c>
      <c r="B91" s="5" t="s">
        <v>232</v>
      </c>
      <c r="J91" t="s">
        <v>425</v>
      </c>
      <c r="K91" s="12" t="s">
        <v>674</v>
      </c>
      <c r="M91" t="s">
        <v>772</v>
      </c>
      <c r="N91" t="s">
        <v>653</v>
      </c>
      <c r="S91" s="5" t="s">
        <v>1325</v>
      </c>
      <c r="T91" t="s">
        <v>1504</v>
      </c>
      <c r="Y91" s="7" t="s">
        <v>2654</v>
      </c>
      <c r="Z91" s="7" t="s">
        <v>2846</v>
      </c>
      <c r="AE91" t="s">
        <v>1778</v>
      </c>
      <c r="AF91" t="s">
        <v>1779</v>
      </c>
      <c r="AW91" t="s">
        <v>3103</v>
      </c>
      <c r="AX91" t="s">
        <v>3413</v>
      </c>
      <c r="BA91" t="s">
        <v>3750</v>
      </c>
      <c r="BB91" t="s">
        <v>3751</v>
      </c>
    </row>
    <row r="92" spans="1:54" x14ac:dyDescent="0.25">
      <c r="A92" s="5" t="s">
        <v>233</v>
      </c>
      <c r="B92" s="5" t="s">
        <v>234</v>
      </c>
      <c r="J92" t="s">
        <v>426</v>
      </c>
      <c r="K92" s="12" t="s">
        <v>675</v>
      </c>
      <c r="M92" t="s">
        <v>773</v>
      </c>
      <c r="N92" t="s">
        <v>1008</v>
      </c>
      <c r="S92" s="5" t="s">
        <v>1326</v>
      </c>
      <c r="T92" t="s">
        <v>1505</v>
      </c>
      <c r="Y92" s="7" t="s">
        <v>2655</v>
      </c>
      <c r="Z92" s="7" t="s">
        <v>2847</v>
      </c>
      <c r="AE92" t="s">
        <v>1780</v>
      </c>
      <c r="AF92" t="s">
        <v>1781</v>
      </c>
      <c r="AW92" t="s">
        <v>3104</v>
      </c>
      <c r="AX92" t="s">
        <v>3414</v>
      </c>
      <c r="BA92" t="s">
        <v>3752</v>
      </c>
      <c r="BB92" t="s">
        <v>3753</v>
      </c>
    </row>
    <row r="93" spans="1:54" x14ac:dyDescent="0.25">
      <c r="A93" s="5" t="s">
        <v>235</v>
      </c>
      <c r="B93" s="5" t="s">
        <v>235</v>
      </c>
      <c r="J93" t="s">
        <v>427</v>
      </c>
      <c r="K93" s="12" t="s">
        <v>676</v>
      </c>
      <c r="M93" t="s">
        <v>774</v>
      </c>
      <c r="N93" t="s">
        <v>1009</v>
      </c>
      <c r="S93" s="5" t="s">
        <v>1327</v>
      </c>
      <c r="T93" t="s">
        <v>1506</v>
      </c>
      <c r="Y93" s="7" t="s">
        <v>2656</v>
      </c>
      <c r="Z93" s="7" t="s">
        <v>2848</v>
      </c>
      <c r="AE93" t="s">
        <v>1782</v>
      </c>
      <c r="AF93" t="s">
        <v>1783</v>
      </c>
      <c r="AW93" t="s">
        <v>3105</v>
      </c>
      <c r="AX93" t="s">
        <v>3415</v>
      </c>
      <c r="BA93" t="s">
        <v>3754</v>
      </c>
      <c r="BB93" t="s">
        <v>3755</v>
      </c>
    </row>
    <row r="94" spans="1:54" x14ac:dyDescent="0.25">
      <c r="A94" s="5" t="s">
        <v>236</v>
      </c>
      <c r="B94" s="5" t="s">
        <v>237</v>
      </c>
      <c r="J94" t="s">
        <v>428</v>
      </c>
      <c r="K94" s="12" t="s">
        <v>677</v>
      </c>
      <c r="M94" t="s">
        <v>775</v>
      </c>
      <c r="N94" t="s">
        <v>1010</v>
      </c>
      <c r="S94" s="5" t="s">
        <v>1328</v>
      </c>
      <c r="T94" t="s">
        <v>1507</v>
      </c>
      <c r="Y94" s="7" t="s">
        <v>2657</v>
      </c>
      <c r="Z94" s="7" t="s">
        <v>2849</v>
      </c>
      <c r="AE94" t="s">
        <v>1784</v>
      </c>
      <c r="AF94" t="s">
        <v>1785</v>
      </c>
      <c r="AW94" t="s">
        <v>3106</v>
      </c>
      <c r="AX94" t="s">
        <v>3416</v>
      </c>
      <c r="BA94" t="s">
        <v>3756</v>
      </c>
      <c r="BB94" t="s">
        <v>3757</v>
      </c>
    </row>
    <row r="95" spans="1:54" x14ac:dyDescent="0.25">
      <c r="A95" s="5" t="s">
        <v>238</v>
      </c>
      <c r="B95" s="5" t="s">
        <v>239</v>
      </c>
      <c r="J95" t="s">
        <v>429</v>
      </c>
      <c r="K95" s="12" t="s">
        <v>678</v>
      </c>
      <c r="M95" t="s">
        <v>776</v>
      </c>
      <c r="N95" t="s">
        <v>1011</v>
      </c>
      <c r="S95" s="5" t="s">
        <v>1329</v>
      </c>
      <c r="T95" t="s">
        <v>1508</v>
      </c>
      <c r="Y95" s="7" t="s">
        <v>2658</v>
      </c>
      <c r="Z95" s="7" t="s">
        <v>2850</v>
      </c>
      <c r="AE95" t="s">
        <v>1786</v>
      </c>
      <c r="AF95" t="s">
        <v>1787</v>
      </c>
      <c r="AW95" t="s">
        <v>3107</v>
      </c>
      <c r="AX95" t="s">
        <v>3417</v>
      </c>
      <c r="BA95" t="s">
        <v>3758</v>
      </c>
      <c r="BB95" t="s">
        <v>3759</v>
      </c>
    </row>
    <row r="96" spans="1:54" x14ac:dyDescent="0.25">
      <c r="A96" s="5" t="s">
        <v>4084</v>
      </c>
      <c r="B96" s="5" t="s">
        <v>4085</v>
      </c>
      <c r="J96" t="s">
        <v>431</v>
      </c>
      <c r="K96" s="12" t="s">
        <v>430</v>
      </c>
      <c r="M96" t="s">
        <v>777</v>
      </c>
      <c r="N96" t="s">
        <v>1012</v>
      </c>
      <c r="S96" s="5" t="s">
        <v>1330</v>
      </c>
      <c r="T96" t="s">
        <v>1509</v>
      </c>
      <c r="Y96" s="7" t="s">
        <v>2659</v>
      </c>
      <c r="Z96" s="7" t="s">
        <v>2851</v>
      </c>
      <c r="AE96" t="s">
        <v>1788</v>
      </c>
      <c r="AF96" t="s">
        <v>1789</v>
      </c>
      <c r="AW96" t="s">
        <v>3108</v>
      </c>
      <c r="AX96" t="s">
        <v>3418</v>
      </c>
      <c r="BA96" t="s">
        <v>3760</v>
      </c>
      <c r="BB96" t="s">
        <v>3761</v>
      </c>
    </row>
    <row r="97" spans="1:106" x14ac:dyDescent="0.25">
      <c r="A97" s="5" t="s">
        <v>4086</v>
      </c>
      <c r="B97" s="5" t="s">
        <v>4087</v>
      </c>
      <c r="J97" t="s">
        <v>338</v>
      </c>
      <c r="K97" s="12" t="s">
        <v>432</v>
      </c>
      <c r="M97" t="s">
        <v>778</v>
      </c>
      <c r="N97" t="s">
        <v>1013</v>
      </c>
      <c r="S97" s="5" t="s">
        <v>1331</v>
      </c>
      <c r="T97" t="s">
        <v>1510</v>
      </c>
      <c r="Y97" s="7" t="s">
        <v>2660</v>
      </c>
      <c r="Z97" s="7" t="s">
        <v>2852</v>
      </c>
      <c r="AE97" t="s">
        <v>1790</v>
      </c>
      <c r="AF97" t="s">
        <v>1791</v>
      </c>
      <c r="AW97" t="s">
        <v>3109</v>
      </c>
      <c r="AX97" t="s">
        <v>3419</v>
      </c>
      <c r="BA97" t="s">
        <v>3762</v>
      </c>
      <c r="BB97" t="s">
        <v>3763</v>
      </c>
    </row>
    <row r="98" spans="1:106" x14ac:dyDescent="0.25">
      <c r="A98" s="5" t="s">
        <v>4088</v>
      </c>
      <c r="B98" s="5" t="s">
        <v>4089</v>
      </c>
      <c r="J98" t="s">
        <v>339</v>
      </c>
      <c r="K98" s="12" t="s">
        <v>433</v>
      </c>
      <c r="M98" t="s">
        <v>779</v>
      </c>
      <c r="N98" t="s">
        <v>1014</v>
      </c>
      <c r="S98" s="5" t="s">
        <v>1332</v>
      </c>
      <c r="T98" t="s">
        <v>1511</v>
      </c>
      <c r="Y98" s="7" t="s">
        <v>2661</v>
      </c>
      <c r="Z98" s="7" t="s">
        <v>2853</v>
      </c>
      <c r="AE98" t="s">
        <v>1792</v>
      </c>
      <c r="AF98" t="s">
        <v>1793</v>
      </c>
      <c r="AW98" t="s">
        <v>3110</v>
      </c>
      <c r="AX98" t="s">
        <v>3420</v>
      </c>
      <c r="BA98" t="s">
        <v>3764</v>
      </c>
      <c r="BB98" t="s">
        <v>3765</v>
      </c>
    </row>
    <row r="99" spans="1:106" x14ac:dyDescent="0.25">
      <c r="A99" s="5" t="s">
        <v>4090</v>
      </c>
      <c r="B99" s="5" t="s">
        <v>4091</v>
      </c>
      <c r="J99" t="s">
        <v>435</v>
      </c>
      <c r="K99" s="12" t="s">
        <v>434</v>
      </c>
      <c r="M99" t="s">
        <v>780</v>
      </c>
      <c r="N99" t="s">
        <v>1015</v>
      </c>
      <c r="S99" s="5" t="s">
        <v>1333</v>
      </c>
      <c r="T99" t="s">
        <v>1512</v>
      </c>
      <c r="Y99" s="7" t="s">
        <v>2662</v>
      </c>
      <c r="Z99" s="7" t="s">
        <v>2854</v>
      </c>
      <c r="AE99" t="s">
        <v>1794</v>
      </c>
      <c r="AF99" t="s">
        <v>1795</v>
      </c>
      <c r="AW99" t="s">
        <v>3111</v>
      </c>
      <c r="AX99" t="s">
        <v>3421</v>
      </c>
      <c r="BA99" t="s">
        <v>3766</v>
      </c>
      <c r="BB99" t="s">
        <v>3767</v>
      </c>
    </row>
    <row r="100" spans="1:106" x14ac:dyDescent="0.25">
      <c r="A100" s="5" t="s">
        <v>4092</v>
      </c>
      <c r="B100" s="5" t="s">
        <v>4093</v>
      </c>
      <c r="J100" t="s">
        <v>437</v>
      </c>
      <c r="K100" s="12" t="s">
        <v>436</v>
      </c>
      <c r="M100" t="s">
        <v>781</v>
      </c>
      <c r="N100" t="s">
        <v>1016</v>
      </c>
      <c r="S100" s="5" t="s">
        <v>1334</v>
      </c>
      <c r="T100" t="s">
        <v>1513</v>
      </c>
      <c r="Y100" s="7" t="s">
        <v>2663</v>
      </c>
      <c r="Z100" s="7" t="s">
        <v>2855</v>
      </c>
      <c r="AE100" t="s">
        <v>1796</v>
      </c>
      <c r="AF100" t="s">
        <v>1797</v>
      </c>
      <c r="AW100" t="s">
        <v>3112</v>
      </c>
      <c r="AX100" t="s">
        <v>3422</v>
      </c>
      <c r="BA100" t="s">
        <v>3768</v>
      </c>
      <c r="BB100" t="s">
        <v>3769</v>
      </c>
    </row>
    <row r="101" spans="1:106" x14ac:dyDescent="0.25">
      <c r="A101" s="5"/>
      <c r="J101" t="s">
        <v>439</v>
      </c>
      <c r="K101" s="12" t="s">
        <v>438</v>
      </c>
      <c r="M101" t="s">
        <v>782</v>
      </c>
      <c r="N101" t="s">
        <v>1017</v>
      </c>
      <c r="S101" s="5" t="s">
        <v>1335</v>
      </c>
      <c r="T101" t="s">
        <v>1514</v>
      </c>
      <c r="Y101" s="7" t="s">
        <v>2664</v>
      </c>
      <c r="Z101" s="7" t="s">
        <v>2856</v>
      </c>
      <c r="AE101" t="s">
        <v>1798</v>
      </c>
      <c r="AF101" t="s">
        <v>1799</v>
      </c>
      <c r="AW101" t="s">
        <v>3113</v>
      </c>
      <c r="AX101" t="s">
        <v>3423</v>
      </c>
      <c r="BA101" t="s">
        <v>3770</v>
      </c>
      <c r="BB101" t="s">
        <v>3771</v>
      </c>
    </row>
    <row r="102" spans="1:106" x14ac:dyDescent="0.25">
      <c r="J102" t="s">
        <v>441</v>
      </c>
      <c r="K102" s="12" t="s">
        <v>440</v>
      </c>
      <c r="M102" t="s">
        <v>783</v>
      </c>
      <c r="N102" t="s">
        <v>1018</v>
      </c>
      <c r="S102" s="5" t="s">
        <v>3304</v>
      </c>
      <c r="T102" t="s">
        <v>3305</v>
      </c>
      <c r="Y102" s="7" t="s">
        <v>2665</v>
      </c>
      <c r="Z102" s="7" t="s">
        <v>2857</v>
      </c>
      <c r="AE102" t="s">
        <v>1800</v>
      </c>
      <c r="AF102" t="s">
        <v>1801</v>
      </c>
      <c r="AW102" t="s">
        <v>3114</v>
      </c>
      <c r="AX102" t="s">
        <v>3424</v>
      </c>
      <c r="BA102" t="s">
        <v>3772</v>
      </c>
      <c r="BB102" t="s">
        <v>3773</v>
      </c>
      <c r="BI102" t="s">
        <v>3286</v>
      </c>
      <c r="BJ102" t="s">
        <v>3286</v>
      </c>
      <c r="CS102" t="s">
        <v>3286</v>
      </c>
      <c r="CT102" t="s">
        <v>3286</v>
      </c>
      <c r="DA102" t="s">
        <v>3286</v>
      </c>
      <c r="DB102" t="s">
        <v>3286</v>
      </c>
    </row>
    <row ht="30" r="103" spans="1:106" x14ac:dyDescent="0.25">
      <c r="J103" t="s">
        <v>443</v>
      </c>
      <c r="K103" s="12" t="s">
        <v>442</v>
      </c>
      <c r="M103" t="s">
        <v>784</v>
      </c>
      <c r="N103" t="s">
        <v>1019</v>
      </c>
      <c r="S103" t="s">
        <v>1336</v>
      </c>
      <c r="T103" t="s">
        <v>1515</v>
      </c>
      <c r="Y103" s="7" t="s">
        <v>2666</v>
      </c>
      <c r="Z103" s="7" t="s">
        <v>2858</v>
      </c>
      <c r="AE103" t="s">
        <v>1802</v>
      </c>
      <c r="AF103" t="s">
        <v>1803</v>
      </c>
      <c r="AW103" t="s">
        <v>3115</v>
      </c>
      <c r="AX103" t="s">
        <v>3425</v>
      </c>
      <c r="BA103" t="s">
        <v>3774</v>
      </c>
      <c r="BB103" t="s">
        <v>3775</v>
      </c>
    </row>
    <row ht="30" r="104" spans="1:106" x14ac:dyDescent="0.25">
      <c r="J104" t="s">
        <v>344</v>
      </c>
      <c r="K104" s="12" t="s">
        <v>444</v>
      </c>
      <c r="M104" t="s">
        <v>785</v>
      </c>
      <c r="N104" t="s">
        <v>1020</v>
      </c>
      <c r="S104" t="s">
        <v>1337</v>
      </c>
      <c r="T104" t="s">
        <v>1516</v>
      </c>
      <c r="Y104" s="7" t="s">
        <v>2667</v>
      </c>
      <c r="Z104" s="7" t="s">
        <v>2859</v>
      </c>
      <c r="AE104" t="s">
        <v>1804</v>
      </c>
      <c r="AF104" t="s">
        <v>1805</v>
      </c>
      <c r="AW104" t="s">
        <v>3116</v>
      </c>
      <c r="AX104" t="s">
        <v>3426</v>
      </c>
      <c r="BA104" t="s">
        <v>3776</v>
      </c>
      <c r="BB104" t="s">
        <v>3777</v>
      </c>
    </row>
    <row r="105" spans="1:106" x14ac:dyDescent="0.25">
      <c r="J105" t="s">
        <v>446</v>
      </c>
      <c r="K105" s="12" t="s">
        <v>445</v>
      </c>
      <c r="M105" t="s">
        <v>786</v>
      </c>
      <c r="N105" t="s">
        <v>1021</v>
      </c>
      <c r="S105" t="s">
        <v>1338</v>
      </c>
      <c r="T105" t="s">
        <v>1517</v>
      </c>
      <c r="Y105" s="7" t="s">
        <v>2668</v>
      </c>
      <c r="Z105" s="7" t="s">
        <v>2860</v>
      </c>
      <c r="AE105" t="s">
        <v>1806</v>
      </c>
      <c r="AF105" t="s">
        <v>1807</v>
      </c>
      <c r="AW105" t="s">
        <v>3117</v>
      </c>
      <c r="AX105" t="s">
        <v>3427</v>
      </c>
      <c r="BA105" t="s">
        <v>3778</v>
      </c>
      <c r="BB105" t="s">
        <v>3779</v>
      </c>
    </row>
    <row r="106" spans="1:106" x14ac:dyDescent="0.25">
      <c r="J106" t="s">
        <v>448</v>
      </c>
      <c r="K106" s="12" t="s">
        <v>447</v>
      </c>
      <c r="M106" t="s">
        <v>787</v>
      </c>
      <c r="N106" t="s">
        <v>1022</v>
      </c>
      <c r="S106" t="s">
        <v>1339</v>
      </c>
      <c r="T106" t="s">
        <v>1518</v>
      </c>
      <c r="Y106" s="7" t="s">
        <v>2669</v>
      </c>
      <c r="Z106" s="7" t="s">
        <v>2861</v>
      </c>
      <c r="AE106" t="s">
        <v>1808</v>
      </c>
      <c r="AF106" t="s">
        <v>1809</v>
      </c>
      <c r="AW106" t="s">
        <v>3118</v>
      </c>
      <c r="AX106" t="s">
        <v>3428</v>
      </c>
      <c r="BA106" t="s">
        <v>3780</v>
      </c>
      <c r="BB106" t="s">
        <v>3781</v>
      </c>
    </row>
    <row r="107" spans="1:106" x14ac:dyDescent="0.25">
      <c r="J107" t="s">
        <v>450</v>
      </c>
      <c r="K107" s="12" t="s">
        <v>449</v>
      </c>
      <c r="M107" t="s">
        <v>788</v>
      </c>
      <c r="N107" t="s">
        <v>1023</v>
      </c>
      <c r="S107" t="s">
        <v>1340</v>
      </c>
      <c r="T107" t="s">
        <v>1519</v>
      </c>
      <c r="Y107" s="7" t="s">
        <v>2670</v>
      </c>
      <c r="Z107" s="7" t="s">
        <v>2862</v>
      </c>
      <c r="AE107" t="s">
        <v>1810</v>
      </c>
      <c r="AF107" t="s">
        <v>1811</v>
      </c>
      <c r="AW107" t="s">
        <v>3119</v>
      </c>
      <c r="AX107" t="s">
        <v>3429</v>
      </c>
      <c r="BA107" t="s">
        <v>3782</v>
      </c>
      <c r="BB107" t="s">
        <v>3783</v>
      </c>
    </row>
    <row r="108" spans="1:106" x14ac:dyDescent="0.25">
      <c r="J108" t="s">
        <v>452</v>
      </c>
      <c r="K108" s="12" t="s">
        <v>451</v>
      </c>
      <c r="M108" t="s">
        <v>789</v>
      </c>
      <c r="N108" t="s">
        <v>1024</v>
      </c>
      <c r="S108" t="s">
        <v>1341</v>
      </c>
      <c r="T108" t="s">
        <v>1520</v>
      </c>
      <c r="Y108" s="7" t="s">
        <v>2671</v>
      </c>
      <c r="Z108" s="7" t="s">
        <v>2863</v>
      </c>
      <c r="AE108" t="s">
        <v>1812</v>
      </c>
      <c r="AF108" t="s">
        <v>1813</v>
      </c>
      <c r="AW108" t="s">
        <v>3120</v>
      </c>
      <c r="AX108" t="s">
        <v>3430</v>
      </c>
      <c r="BA108" t="s">
        <v>3784</v>
      </c>
      <c r="BB108" t="s">
        <v>3785</v>
      </c>
    </row>
    <row ht="30" r="109" spans="1:106" x14ac:dyDescent="0.25">
      <c r="J109" t="s">
        <v>364</v>
      </c>
      <c r="K109" s="12" t="s">
        <v>453</v>
      </c>
      <c r="M109" t="s">
        <v>790</v>
      </c>
      <c r="N109" t="s">
        <v>1025</v>
      </c>
      <c r="S109" t="s">
        <v>1342</v>
      </c>
      <c r="T109" t="s">
        <v>1521</v>
      </c>
      <c r="Y109" s="7" t="s">
        <v>2672</v>
      </c>
      <c r="Z109" s="7" t="s">
        <v>2864</v>
      </c>
      <c r="AE109" t="s">
        <v>1814</v>
      </c>
      <c r="AF109" t="s">
        <v>1815</v>
      </c>
      <c r="AW109" t="s">
        <v>3121</v>
      </c>
      <c r="AX109" t="s">
        <v>3431</v>
      </c>
      <c r="BA109" t="s">
        <v>3786</v>
      </c>
      <c r="BB109" t="s">
        <v>3787</v>
      </c>
    </row>
    <row r="110" spans="1:106" x14ac:dyDescent="0.25">
      <c r="J110" t="s">
        <v>391</v>
      </c>
      <c r="K110" s="12" t="s">
        <v>454</v>
      </c>
      <c r="M110" t="s">
        <v>791</v>
      </c>
      <c r="N110" t="s">
        <v>1026</v>
      </c>
      <c r="S110" t="s">
        <v>1343</v>
      </c>
      <c r="T110" t="s">
        <v>1522</v>
      </c>
      <c r="Y110" s="7" t="s">
        <v>2673</v>
      </c>
      <c r="Z110" s="7" t="s">
        <v>2865</v>
      </c>
      <c r="AE110" t="s">
        <v>1816</v>
      </c>
      <c r="AF110" t="s">
        <v>1817</v>
      </c>
      <c r="AW110" t="s">
        <v>3122</v>
      </c>
      <c r="AX110" t="s">
        <v>3432</v>
      </c>
      <c r="BA110" t="s">
        <v>3788</v>
      </c>
      <c r="BB110" t="s">
        <v>3789</v>
      </c>
    </row>
    <row r="111" spans="1:106" x14ac:dyDescent="0.25">
      <c r="J111" t="s">
        <v>456</v>
      </c>
      <c r="K111" s="12" t="s">
        <v>455</v>
      </c>
      <c r="M111" t="s">
        <v>792</v>
      </c>
      <c r="N111" t="s">
        <v>1027</v>
      </c>
      <c r="S111" t="s">
        <v>1344</v>
      </c>
      <c r="T111" t="s">
        <v>1523</v>
      </c>
      <c r="Y111" s="7" t="s">
        <v>2674</v>
      </c>
      <c r="Z111" s="7" t="s">
        <v>2866</v>
      </c>
      <c r="AE111" t="s">
        <v>1818</v>
      </c>
      <c r="AF111" t="s">
        <v>1819</v>
      </c>
      <c r="AW111" t="s">
        <v>3123</v>
      </c>
      <c r="AX111" t="s">
        <v>3433</v>
      </c>
      <c r="BA111" t="s">
        <v>3790</v>
      </c>
      <c r="BB111" t="s">
        <v>3791</v>
      </c>
    </row>
    <row r="112" spans="1:106" x14ac:dyDescent="0.25">
      <c r="J112" t="s">
        <v>458</v>
      </c>
      <c r="K112" s="12" t="s">
        <v>457</v>
      </c>
      <c r="M112" t="s">
        <v>793</v>
      </c>
      <c r="N112" t="s">
        <v>1028</v>
      </c>
      <c r="S112" t="s">
        <v>1345</v>
      </c>
      <c r="T112" t="s">
        <v>1524</v>
      </c>
      <c r="Y112" s="7" t="s">
        <v>2675</v>
      </c>
      <c r="Z112" s="7" t="s">
        <v>2867</v>
      </c>
      <c r="AE112" t="s">
        <v>1820</v>
      </c>
      <c r="AF112" t="s">
        <v>1821</v>
      </c>
      <c r="AW112" t="s">
        <v>3124</v>
      </c>
      <c r="AX112" t="s">
        <v>3434</v>
      </c>
      <c r="BA112" t="s">
        <v>3792</v>
      </c>
      <c r="BB112" t="s">
        <v>3793</v>
      </c>
    </row>
    <row r="113" spans="10:54" x14ac:dyDescent="0.25">
      <c r="J113" t="s">
        <v>460</v>
      </c>
      <c r="K113" s="12" t="s">
        <v>459</v>
      </c>
      <c r="M113" t="s">
        <v>794</v>
      </c>
      <c r="N113" t="s">
        <v>1029</v>
      </c>
      <c r="S113" t="s">
        <v>1346</v>
      </c>
      <c r="T113" t="s">
        <v>1525</v>
      </c>
      <c r="Y113" s="7" t="s">
        <v>2676</v>
      </c>
      <c r="Z113" s="7" t="s">
        <v>2868</v>
      </c>
      <c r="AE113" t="s">
        <v>1822</v>
      </c>
      <c r="AF113" t="s">
        <v>1823</v>
      </c>
      <c r="AW113" t="s">
        <v>3125</v>
      </c>
      <c r="AX113" t="s">
        <v>3435</v>
      </c>
      <c r="BA113" t="s">
        <v>3794</v>
      </c>
      <c r="BB113" t="s">
        <v>3795</v>
      </c>
    </row>
    <row r="114" spans="10:54" x14ac:dyDescent="0.25">
      <c r="J114" t="s">
        <v>408</v>
      </c>
      <c r="K114" s="12" t="s">
        <v>461</v>
      </c>
      <c r="M114" t="s">
        <v>795</v>
      </c>
      <c r="N114" t="s">
        <v>1030</v>
      </c>
      <c r="S114" t="s">
        <v>1347</v>
      </c>
      <c r="T114" t="s">
        <v>1526</v>
      </c>
      <c r="Y114" s="7" t="s">
        <v>2677</v>
      </c>
      <c r="Z114" s="7" t="s">
        <v>2869</v>
      </c>
      <c r="AE114" t="s">
        <v>1822</v>
      </c>
      <c r="AF114" t="s">
        <v>1824</v>
      </c>
      <c r="AW114" t="s">
        <v>3126</v>
      </c>
      <c r="AX114" t="s">
        <v>3436</v>
      </c>
      <c r="BA114" t="s">
        <v>3796</v>
      </c>
      <c r="BB114" t="s">
        <v>3797</v>
      </c>
    </row>
    <row ht="30" r="115" spans="10:54" x14ac:dyDescent="0.25">
      <c r="J115" t="s">
        <v>463</v>
      </c>
      <c r="K115" s="12" t="s">
        <v>462</v>
      </c>
      <c r="M115" t="s">
        <v>796</v>
      </c>
      <c r="N115" t="s">
        <v>1031</v>
      </c>
      <c r="S115" t="s">
        <v>1348</v>
      </c>
      <c r="T115" t="s">
        <v>1527</v>
      </c>
      <c r="Y115" s="7" t="s">
        <v>2678</v>
      </c>
      <c r="Z115" s="7" t="s">
        <v>2870</v>
      </c>
      <c r="AE115" t="s">
        <v>1825</v>
      </c>
      <c r="AF115" t="s">
        <v>1826</v>
      </c>
      <c r="AW115" t="s">
        <v>3127</v>
      </c>
      <c r="AX115" t="s">
        <v>3437</v>
      </c>
      <c r="BA115" t="s">
        <v>3798</v>
      </c>
      <c r="BB115" t="s">
        <v>3799</v>
      </c>
    </row>
    <row ht="30" r="116" spans="10:54" x14ac:dyDescent="0.25">
      <c r="J116" t="s">
        <v>465</v>
      </c>
      <c r="K116" s="12" t="s">
        <v>464</v>
      </c>
      <c r="M116" t="s">
        <v>797</v>
      </c>
      <c r="N116" t="s">
        <v>1032</v>
      </c>
      <c r="S116" t="s">
        <v>1349</v>
      </c>
      <c r="T116" t="s">
        <v>1528</v>
      </c>
      <c r="Y116" s="7" t="s">
        <v>2679</v>
      </c>
      <c r="Z116" s="7" t="s">
        <v>2871</v>
      </c>
      <c r="AE116" t="s">
        <v>1827</v>
      </c>
      <c r="AF116" t="s">
        <v>1828</v>
      </c>
      <c r="AW116" t="s">
        <v>3128</v>
      </c>
      <c r="AX116" t="s">
        <v>3438</v>
      </c>
      <c r="BA116" t="s">
        <v>3800</v>
      </c>
      <c r="BB116" t="s">
        <v>3801</v>
      </c>
    </row>
    <row r="117" spans="10:54" x14ac:dyDescent="0.25">
      <c r="J117" t="s">
        <v>467</v>
      </c>
      <c r="K117" s="12" t="s">
        <v>466</v>
      </c>
      <c r="M117" t="s">
        <v>798</v>
      </c>
      <c r="N117" t="s">
        <v>1033</v>
      </c>
      <c r="S117" t="s">
        <v>1350</v>
      </c>
      <c r="T117" t="s">
        <v>1529</v>
      </c>
      <c r="Y117" s="7" t="s">
        <v>2680</v>
      </c>
      <c r="Z117" s="7" t="s">
        <v>2872</v>
      </c>
      <c r="AE117" t="s">
        <v>1829</v>
      </c>
      <c r="AF117" t="s">
        <v>1830</v>
      </c>
      <c r="AW117" t="s">
        <v>3129</v>
      </c>
      <c r="AX117" t="s">
        <v>3439</v>
      </c>
      <c r="BA117" t="s">
        <v>3802</v>
      </c>
      <c r="BB117" t="s">
        <v>3803</v>
      </c>
    </row>
    <row r="118" spans="10:54" x14ac:dyDescent="0.25">
      <c r="J118" t="s">
        <v>469</v>
      </c>
      <c r="K118" s="12" t="s">
        <v>468</v>
      </c>
      <c r="M118" t="s">
        <v>799</v>
      </c>
      <c r="N118" t="s">
        <v>1034</v>
      </c>
      <c r="S118" t="s">
        <v>1351</v>
      </c>
      <c r="T118" t="s">
        <v>1530</v>
      </c>
      <c r="Y118" s="7" t="s">
        <v>2681</v>
      </c>
      <c r="Z118" s="7" t="s">
        <v>2873</v>
      </c>
      <c r="AE118" t="s">
        <v>1831</v>
      </c>
      <c r="AF118" t="s">
        <v>1832</v>
      </c>
      <c r="AW118" t="s">
        <v>3130</v>
      </c>
      <c r="AX118" t="s">
        <v>3440</v>
      </c>
      <c r="BA118" t="s">
        <v>3804</v>
      </c>
      <c r="BB118" t="s">
        <v>3805</v>
      </c>
    </row>
    <row r="119" spans="10:54" x14ac:dyDescent="0.25">
      <c r="J119" t="s">
        <v>431</v>
      </c>
      <c r="K119" s="12" t="s">
        <v>470</v>
      </c>
      <c r="M119" t="s">
        <v>800</v>
      </c>
      <c r="N119" t="s">
        <v>1035</v>
      </c>
      <c r="S119" t="s">
        <v>1352</v>
      </c>
      <c r="T119" t="s">
        <v>1531</v>
      </c>
      <c r="Y119" s="7" t="s">
        <v>2682</v>
      </c>
      <c r="Z119" s="7" t="s">
        <v>2874</v>
      </c>
      <c r="AE119" t="s">
        <v>1833</v>
      </c>
      <c r="AF119" t="s">
        <v>1834</v>
      </c>
      <c r="AW119" t="s">
        <v>3131</v>
      </c>
      <c r="AX119" t="s">
        <v>3441</v>
      </c>
      <c r="BA119" t="s">
        <v>3806</v>
      </c>
      <c r="BB119" t="s">
        <v>3807</v>
      </c>
    </row>
    <row r="120" spans="10:54" x14ac:dyDescent="0.25">
      <c r="J120" t="s">
        <v>471</v>
      </c>
      <c r="K120" s="12" t="s">
        <v>594</v>
      </c>
      <c r="M120" t="s">
        <v>801</v>
      </c>
      <c r="N120" t="s">
        <v>1036</v>
      </c>
      <c r="S120" t="s">
        <v>1353</v>
      </c>
      <c r="T120" t="s">
        <v>1532</v>
      </c>
      <c r="Y120" s="7" t="s">
        <v>2683</v>
      </c>
      <c r="Z120" s="7" t="s">
        <v>2875</v>
      </c>
      <c r="AE120" t="s">
        <v>1835</v>
      </c>
      <c r="AF120" t="s">
        <v>1836</v>
      </c>
      <c r="AW120" t="s">
        <v>3132</v>
      </c>
      <c r="AX120" t="s">
        <v>3442</v>
      </c>
      <c r="BA120" t="s">
        <v>3808</v>
      </c>
      <c r="BB120" t="s">
        <v>3809</v>
      </c>
    </row>
    <row r="121" spans="10:54" x14ac:dyDescent="0.25">
      <c r="J121" t="s">
        <v>471</v>
      </c>
      <c r="K121" s="12" t="s">
        <v>472</v>
      </c>
      <c r="M121" t="s">
        <v>802</v>
      </c>
      <c r="N121" t="s">
        <v>1037</v>
      </c>
      <c r="S121" t="s">
        <v>1354</v>
      </c>
      <c r="T121" t="s">
        <v>1533</v>
      </c>
      <c r="Y121" s="7" t="s">
        <v>2684</v>
      </c>
      <c r="Z121" s="7" t="s">
        <v>2876</v>
      </c>
      <c r="AE121" t="s">
        <v>1837</v>
      </c>
      <c r="AF121" t="s">
        <v>1838</v>
      </c>
      <c r="AW121" t="s">
        <v>3133</v>
      </c>
      <c r="AX121" t="s">
        <v>3443</v>
      </c>
      <c r="BA121" t="s">
        <v>3810</v>
      </c>
      <c r="BB121" t="s">
        <v>3811</v>
      </c>
    </row>
    <row r="122" spans="10:54" x14ac:dyDescent="0.25">
      <c r="J122" t="s">
        <v>474</v>
      </c>
      <c r="K122" s="12" t="s">
        <v>473</v>
      </c>
      <c r="M122" t="s">
        <v>803</v>
      </c>
      <c r="N122" t="s">
        <v>654</v>
      </c>
      <c r="S122" t="s">
        <v>1355</v>
      </c>
      <c r="T122" t="s">
        <v>1534</v>
      </c>
      <c r="Y122" s="7" t="s">
        <v>2685</v>
      </c>
      <c r="Z122" s="7" t="s">
        <v>2877</v>
      </c>
      <c r="AE122" t="s">
        <v>1839</v>
      </c>
      <c r="AF122" t="s">
        <v>1840</v>
      </c>
      <c r="AW122" t="s">
        <v>3134</v>
      </c>
      <c r="AX122" t="s">
        <v>3444</v>
      </c>
      <c r="BA122" t="s">
        <v>3812</v>
      </c>
      <c r="BB122" t="s">
        <v>3813</v>
      </c>
    </row>
    <row r="123" spans="10:54" x14ac:dyDescent="0.25">
      <c r="J123" t="s">
        <v>475</v>
      </c>
      <c r="K123" s="12" t="s">
        <v>679</v>
      </c>
      <c r="M123" t="s">
        <v>804</v>
      </c>
      <c r="N123" t="s">
        <v>681</v>
      </c>
      <c r="S123" t="s">
        <v>1356</v>
      </c>
      <c r="T123" t="s">
        <v>1535</v>
      </c>
      <c r="Y123" s="7" t="s">
        <v>2686</v>
      </c>
      <c r="Z123" s="7" t="s">
        <v>2878</v>
      </c>
      <c r="AE123" t="s">
        <v>1841</v>
      </c>
      <c r="AF123" t="s">
        <v>1842</v>
      </c>
      <c r="AW123" t="s">
        <v>3135</v>
      </c>
      <c r="AX123" t="s">
        <v>3445</v>
      </c>
      <c r="BA123" t="s">
        <v>3814</v>
      </c>
      <c r="BB123" t="s">
        <v>3815</v>
      </c>
    </row>
    <row r="124" spans="10:54" x14ac:dyDescent="0.25">
      <c r="J124" t="s">
        <v>477</v>
      </c>
      <c r="K124" s="12" t="s">
        <v>476</v>
      </c>
      <c r="M124" t="s">
        <v>805</v>
      </c>
      <c r="N124" t="s">
        <v>1038</v>
      </c>
      <c r="S124" t="s">
        <v>1357</v>
      </c>
      <c r="T124" t="s">
        <v>1536</v>
      </c>
      <c r="Y124" s="7" t="s">
        <v>2687</v>
      </c>
      <c r="Z124" s="7" t="s">
        <v>2879</v>
      </c>
      <c r="AE124" t="s">
        <v>1843</v>
      </c>
      <c r="AF124" t="s">
        <v>1844</v>
      </c>
      <c r="AW124" t="s">
        <v>3136</v>
      </c>
      <c r="AX124" t="s">
        <v>3446</v>
      </c>
      <c r="BA124" t="s">
        <v>3816</v>
      </c>
      <c r="BB124" t="s">
        <v>3817</v>
      </c>
    </row>
    <row r="125" spans="10:54" x14ac:dyDescent="0.25">
      <c r="J125" t="s">
        <v>479</v>
      </c>
      <c r="K125" s="12" t="s">
        <v>680</v>
      </c>
      <c r="M125" t="s">
        <v>806</v>
      </c>
      <c r="N125" t="s">
        <v>1039</v>
      </c>
      <c r="S125" t="s">
        <v>1358</v>
      </c>
      <c r="T125" t="s">
        <v>1537</v>
      </c>
      <c r="Y125" s="7" t="s">
        <v>2688</v>
      </c>
      <c r="Z125" s="7" t="s">
        <v>2880</v>
      </c>
      <c r="AE125" t="s">
        <v>1845</v>
      </c>
      <c r="AF125" t="s">
        <v>1846</v>
      </c>
      <c r="AW125" t="s">
        <v>3137</v>
      </c>
      <c r="AX125" t="s">
        <v>3447</v>
      </c>
      <c r="BA125" t="s">
        <v>3818</v>
      </c>
      <c r="BB125" t="s">
        <v>3819</v>
      </c>
    </row>
    <row r="126" spans="10:54" x14ac:dyDescent="0.25">
      <c r="J126" t="s">
        <v>481</v>
      </c>
      <c r="K126" s="12" t="s">
        <v>480</v>
      </c>
      <c r="M126" t="s">
        <v>807</v>
      </c>
      <c r="N126" t="s">
        <v>1040</v>
      </c>
      <c r="S126" t="s">
        <v>1359</v>
      </c>
      <c r="T126" t="s">
        <v>1538</v>
      </c>
      <c r="Y126" s="7" t="s">
        <v>2689</v>
      </c>
      <c r="Z126" s="7" t="s">
        <v>2881</v>
      </c>
      <c r="AE126" t="s">
        <v>1847</v>
      </c>
      <c r="AF126" t="s">
        <v>1848</v>
      </c>
      <c r="AW126" t="s">
        <v>3138</v>
      </c>
      <c r="AX126" t="s">
        <v>3448</v>
      </c>
      <c r="BA126" t="s">
        <v>3820</v>
      </c>
      <c r="BB126" t="s">
        <v>3821</v>
      </c>
    </row>
    <row r="127" spans="10:54" x14ac:dyDescent="0.25">
      <c r="J127" t="s">
        <v>483</v>
      </c>
      <c r="K127" s="12" t="s">
        <v>482</v>
      </c>
      <c r="M127" t="s">
        <v>808</v>
      </c>
      <c r="N127" t="s">
        <v>1041</v>
      </c>
      <c r="S127" t="s">
        <v>1360</v>
      </c>
      <c r="T127" t="s">
        <v>1539</v>
      </c>
      <c r="Y127" s="7" t="s">
        <v>2690</v>
      </c>
      <c r="Z127" s="7" t="s">
        <v>2882</v>
      </c>
      <c r="AE127" t="s">
        <v>1849</v>
      </c>
      <c r="AF127" t="s">
        <v>1850</v>
      </c>
      <c r="AW127" t="s">
        <v>3139</v>
      </c>
      <c r="AX127" t="s">
        <v>3449</v>
      </c>
      <c r="BA127" t="s">
        <v>3822</v>
      </c>
      <c r="BB127" t="s">
        <v>3823</v>
      </c>
    </row>
    <row r="128" spans="10:54" x14ac:dyDescent="0.25">
      <c r="J128" t="s">
        <v>485</v>
      </c>
      <c r="K128" s="12" t="s">
        <v>484</v>
      </c>
      <c r="M128" t="s">
        <v>809</v>
      </c>
      <c r="N128" t="s">
        <v>1042</v>
      </c>
      <c r="S128" t="s">
        <v>1361</v>
      </c>
      <c r="T128" t="s">
        <v>1540</v>
      </c>
      <c r="Y128" s="7" t="s">
        <v>2691</v>
      </c>
      <c r="Z128" s="7" t="s">
        <v>2883</v>
      </c>
      <c r="AE128" t="s">
        <v>1851</v>
      </c>
      <c r="AF128" t="s">
        <v>1852</v>
      </c>
      <c r="AW128" t="s">
        <v>3140</v>
      </c>
      <c r="AX128" t="s">
        <v>3450</v>
      </c>
      <c r="BA128" t="s">
        <v>3824</v>
      </c>
      <c r="BB128" t="s">
        <v>3825</v>
      </c>
    </row>
    <row r="129" spans="10:54" x14ac:dyDescent="0.25">
      <c r="J129" t="s">
        <v>487</v>
      </c>
      <c r="K129" s="12" t="s">
        <v>486</v>
      </c>
      <c r="M129" t="s">
        <v>810</v>
      </c>
      <c r="N129" t="s">
        <v>1043</v>
      </c>
      <c r="S129" t="s">
        <v>1362</v>
      </c>
      <c r="T129" t="s">
        <v>1541</v>
      </c>
      <c r="Y129" s="7" t="s">
        <v>2692</v>
      </c>
      <c r="Z129" s="7" t="s">
        <v>2884</v>
      </c>
      <c r="AE129" t="s">
        <v>1853</v>
      </c>
      <c r="AF129" t="s">
        <v>1854</v>
      </c>
      <c r="AW129" t="s">
        <v>3141</v>
      </c>
      <c r="AX129" t="s">
        <v>3451</v>
      </c>
      <c r="BA129" t="s">
        <v>3826</v>
      </c>
      <c r="BB129" t="s">
        <v>3827</v>
      </c>
    </row>
    <row r="130" spans="10:54" x14ac:dyDescent="0.25">
      <c r="J130" t="s">
        <v>489</v>
      </c>
      <c r="K130" s="12" t="s">
        <v>488</v>
      </c>
      <c r="M130" t="s">
        <v>811</v>
      </c>
      <c r="N130" t="s">
        <v>1044</v>
      </c>
      <c r="S130" t="s">
        <v>1363</v>
      </c>
      <c r="T130" t="s">
        <v>1542</v>
      </c>
      <c r="Y130" s="7" t="s">
        <v>2693</v>
      </c>
      <c r="Z130" s="7" t="s">
        <v>2885</v>
      </c>
      <c r="AE130" t="s">
        <v>1855</v>
      </c>
      <c r="AF130" t="s">
        <v>1856</v>
      </c>
      <c r="AW130" t="s">
        <v>3142</v>
      </c>
      <c r="AX130" t="s">
        <v>3452</v>
      </c>
      <c r="BA130" t="s">
        <v>3828</v>
      </c>
      <c r="BB130" t="s">
        <v>3829</v>
      </c>
    </row>
    <row r="131" spans="10:54" x14ac:dyDescent="0.25">
      <c r="J131" t="s">
        <v>491</v>
      </c>
      <c r="K131" s="12" t="s">
        <v>490</v>
      </c>
      <c r="M131" t="s">
        <v>812</v>
      </c>
      <c r="N131" t="s">
        <v>1045</v>
      </c>
      <c r="S131" t="s">
        <v>1364</v>
      </c>
      <c r="T131" t="s">
        <v>1543</v>
      </c>
      <c r="Y131" s="7" t="s">
        <v>2694</v>
      </c>
      <c r="Z131" s="7" t="s">
        <v>2886</v>
      </c>
      <c r="AE131" t="s">
        <v>1857</v>
      </c>
      <c r="AF131" t="s">
        <v>1858</v>
      </c>
      <c r="AW131" t="s">
        <v>3143</v>
      </c>
      <c r="AX131" t="s">
        <v>3453</v>
      </c>
      <c r="BA131" t="s">
        <v>3830</v>
      </c>
      <c r="BB131" t="s">
        <v>3831</v>
      </c>
    </row>
    <row r="132" spans="10:54" x14ac:dyDescent="0.25">
      <c r="J132" t="s">
        <v>492</v>
      </c>
      <c r="K132" s="12" t="s">
        <v>492</v>
      </c>
      <c r="M132" t="s">
        <v>813</v>
      </c>
      <c r="N132" t="s">
        <v>1046</v>
      </c>
      <c r="S132" t="s">
        <v>1365</v>
      </c>
      <c r="T132" t="s">
        <v>1544</v>
      </c>
      <c r="Y132" s="7" t="s">
        <v>2695</v>
      </c>
      <c r="Z132" s="7" t="s">
        <v>2887</v>
      </c>
      <c r="AE132" t="s">
        <v>1859</v>
      </c>
      <c r="AF132" t="s">
        <v>1860</v>
      </c>
      <c r="AW132" t="s">
        <v>3144</v>
      </c>
      <c r="AX132" t="s">
        <v>3454</v>
      </c>
      <c r="BA132" t="s">
        <v>3832</v>
      </c>
      <c r="BB132" t="s">
        <v>3833</v>
      </c>
    </row>
    <row r="133" spans="10:54" x14ac:dyDescent="0.25">
      <c r="J133" t="s">
        <v>494</v>
      </c>
      <c r="K133" s="12" t="s">
        <v>493</v>
      </c>
      <c r="M133" t="s">
        <v>814</v>
      </c>
      <c r="N133" t="s">
        <v>1047</v>
      </c>
      <c r="S133" t="s">
        <v>1366</v>
      </c>
      <c r="T133" t="s">
        <v>1545</v>
      </c>
      <c r="Y133" s="7" t="s">
        <v>2696</v>
      </c>
      <c r="Z133" s="7" t="s">
        <v>2888</v>
      </c>
      <c r="AE133" t="s">
        <v>1861</v>
      </c>
      <c r="AF133" t="s">
        <v>1862</v>
      </c>
      <c r="AW133" t="s">
        <v>3145</v>
      </c>
      <c r="AX133" t="s">
        <v>3455</v>
      </c>
      <c r="BA133" t="s">
        <v>3834</v>
      </c>
      <c r="BB133" t="s">
        <v>3835</v>
      </c>
    </row>
    <row r="134" spans="10:54" x14ac:dyDescent="0.25">
      <c r="J134" t="s">
        <v>496</v>
      </c>
      <c r="K134" s="12" t="s">
        <v>495</v>
      </c>
      <c r="M134" t="s">
        <v>815</v>
      </c>
      <c r="N134" t="s">
        <v>1048</v>
      </c>
      <c r="S134" t="s">
        <v>1367</v>
      </c>
      <c r="T134" t="s">
        <v>1546</v>
      </c>
      <c r="Y134" s="7" t="s">
        <v>2697</v>
      </c>
      <c r="Z134" s="7" t="s">
        <v>2889</v>
      </c>
      <c r="AE134" t="s">
        <v>1863</v>
      </c>
      <c r="AF134" t="s">
        <v>1864</v>
      </c>
      <c r="AW134" t="s">
        <v>3146</v>
      </c>
      <c r="AX134" t="s">
        <v>3456</v>
      </c>
      <c r="BA134" t="s">
        <v>3836</v>
      </c>
      <c r="BB134" t="s">
        <v>3837</v>
      </c>
    </row>
    <row r="135" spans="10:54" x14ac:dyDescent="0.25">
      <c r="J135" t="s">
        <v>498</v>
      </c>
      <c r="K135" s="12" t="s">
        <v>497</v>
      </c>
      <c r="M135" t="s">
        <v>816</v>
      </c>
      <c r="N135" t="s">
        <v>1049</v>
      </c>
      <c r="S135" t="s">
        <v>1368</v>
      </c>
      <c r="T135" t="s">
        <v>1547</v>
      </c>
      <c r="Y135" s="7" t="s">
        <v>2698</v>
      </c>
      <c r="Z135" s="7" t="s">
        <v>2890</v>
      </c>
      <c r="AE135" t="s">
        <v>1865</v>
      </c>
      <c r="AF135" t="s">
        <v>1866</v>
      </c>
      <c r="AW135" t="s">
        <v>3147</v>
      </c>
      <c r="AX135" t="s">
        <v>3457</v>
      </c>
      <c r="BA135" t="s">
        <v>3838</v>
      </c>
      <c r="BB135" t="s">
        <v>3839</v>
      </c>
    </row>
    <row r="136" spans="10:54" x14ac:dyDescent="0.25">
      <c r="J136" t="s">
        <v>500</v>
      </c>
      <c r="K136" s="12" t="s">
        <v>499</v>
      </c>
      <c r="M136" t="s">
        <v>817</v>
      </c>
      <c r="N136" t="s">
        <v>1050</v>
      </c>
      <c r="S136" t="s">
        <v>1369</v>
      </c>
      <c r="T136" t="s">
        <v>1548</v>
      </c>
      <c r="Y136" s="7" t="s">
        <v>2699</v>
      </c>
      <c r="Z136" s="7" t="s">
        <v>2891</v>
      </c>
      <c r="AE136" t="s">
        <v>1867</v>
      </c>
      <c r="AF136" t="s">
        <v>1868</v>
      </c>
      <c r="AW136" t="s">
        <v>3148</v>
      </c>
      <c r="AX136" t="s">
        <v>3458</v>
      </c>
      <c r="BA136" t="s">
        <v>3840</v>
      </c>
      <c r="BB136" t="s">
        <v>3841</v>
      </c>
    </row>
    <row r="137" spans="10:54" x14ac:dyDescent="0.25">
      <c r="J137" t="s">
        <v>502</v>
      </c>
      <c r="K137" s="12" t="s">
        <v>501</v>
      </c>
      <c r="M137" t="s">
        <v>818</v>
      </c>
      <c r="N137" t="s">
        <v>1051</v>
      </c>
      <c r="S137" t="s">
        <v>1370</v>
      </c>
      <c r="T137" t="s">
        <v>1549</v>
      </c>
      <c r="Y137" s="7" t="s">
        <v>2700</v>
      </c>
      <c r="Z137" s="7" t="s">
        <v>2892</v>
      </c>
      <c r="AE137" t="s">
        <v>1869</v>
      </c>
      <c r="AF137" t="s">
        <v>1870</v>
      </c>
      <c r="AW137" t="s">
        <v>3149</v>
      </c>
      <c r="AX137" t="s">
        <v>3459</v>
      </c>
      <c r="BA137" t="s">
        <v>3842</v>
      </c>
      <c r="BB137" t="s">
        <v>3843</v>
      </c>
    </row>
    <row ht="30" r="138" spans="10:54" x14ac:dyDescent="0.25">
      <c r="J138" t="s">
        <v>504</v>
      </c>
      <c r="K138" s="12" t="s">
        <v>503</v>
      </c>
      <c r="M138" t="s">
        <v>819</v>
      </c>
      <c r="N138" t="s">
        <v>1052</v>
      </c>
      <c r="S138" t="s">
        <v>1371</v>
      </c>
      <c r="T138" t="s">
        <v>1550</v>
      </c>
      <c r="Y138" s="7" t="s">
        <v>2701</v>
      </c>
      <c r="Z138" s="7" t="s">
        <v>2893</v>
      </c>
      <c r="AE138" t="s">
        <v>1871</v>
      </c>
      <c r="AF138" t="s">
        <v>1872</v>
      </c>
      <c r="AW138" t="s">
        <v>3150</v>
      </c>
      <c r="AX138" t="s">
        <v>3460</v>
      </c>
      <c r="BA138" t="s">
        <v>3844</v>
      </c>
      <c r="BB138" t="s">
        <v>3845</v>
      </c>
    </row>
    <row r="139" spans="10:54" x14ac:dyDescent="0.25">
      <c r="J139" t="s">
        <v>506</v>
      </c>
      <c r="K139" s="12" t="s">
        <v>505</v>
      </c>
      <c r="M139" t="s">
        <v>820</v>
      </c>
      <c r="N139" t="s">
        <v>1053</v>
      </c>
      <c r="S139" t="s">
        <v>1372</v>
      </c>
      <c r="T139" t="s">
        <v>1551</v>
      </c>
      <c r="Y139" s="7" t="s">
        <v>2702</v>
      </c>
      <c r="Z139" s="7" t="s">
        <v>2894</v>
      </c>
      <c r="AE139" t="s">
        <v>1873</v>
      </c>
      <c r="AF139" t="s">
        <v>1874</v>
      </c>
      <c r="AW139" t="s">
        <v>3151</v>
      </c>
      <c r="AX139" t="s">
        <v>3461</v>
      </c>
      <c r="BA139" t="s">
        <v>3846</v>
      </c>
      <c r="BB139" t="s">
        <v>3847</v>
      </c>
    </row>
    <row r="140" spans="10:54" x14ac:dyDescent="0.25">
      <c r="J140" t="s">
        <v>508</v>
      </c>
      <c r="K140" s="12" t="s">
        <v>507</v>
      </c>
      <c r="M140" t="s">
        <v>821</v>
      </c>
      <c r="N140" t="s">
        <v>1054</v>
      </c>
      <c r="S140" t="s">
        <v>1373</v>
      </c>
      <c r="T140" t="s">
        <v>1552</v>
      </c>
      <c r="Y140" s="7" t="s">
        <v>2703</v>
      </c>
      <c r="Z140" s="7" t="s">
        <v>2895</v>
      </c>
      <c r="AE140" t="s">
        <v>1875</v>
      </c>
      <c r="AF140" t="s">
        <v>1876</v>
      </c>
      <c r="AW140" t="s">
        <v>3152</v>
      </c>
      <c r="AX140" t="s">
        <v>3462</v>
      </c>
      <c r="BA140" t="s">
        <v>3848</v>
      </c>
      <c r="BB140" t="s">
        <v>3849</v>
      </c>
    </row>
    <row r="141" spans="10:54" x14ac:dyDescent="0.25">
      <c r="J141" t="s">
        <v>510</v>
      </c>
      <c r="K141" s="12" t="s">
        <v>509</v>
      </c>
      <c r="M141" t="s">
        <v>822</v>
      </c>
      <c r="N141" t="s">
        <v>1055</v>
      </c>
      <c r="S141" t="s">
        <v>1374</v>
      </c>
      <c r="T141" t="s">
        <v>1553</v>
      </c>
      <c r="Y141" s="7" t="s">
        <v>2704</v>
      </c>
      <c r="Z141" s="7" t="s">
        <v>2896</v>
      </c>
      <c r="AE141" t="s">
        <v>1877</v>
      </c>
      <c r="AF141" t="s">
        <v>1878</v>
      </c>
      <c r="AW141" t="s">
        <v>3153</v>
      </c>
      <c r="AX141" t="s">
        <v>3463</v>
      </c>
      <c r="BA141" t="s">
        <v>3850</v>
      </c>
      <c r="BB141" t="s">
        <v>3851</v>
      </c>
    </row>
    <row r="142" spans="10:54" x14ac:dyDescent="0.25">
      <c r="J142" t="s">
        <v>511</v>
      </c>
      <c r="K142" s="12" t="s">
        <v>681</v>
      </c>
      <c r="M142" t="s">
        <v>823</v>
      </c>
      <c r="N142" t="s">
        <v>1056</v>
      </c>
      <c r="S142" t="s">
        <v>1375</v>
      </c>
      <c r="T142" t="s">
        <v>1554</v>
      </c>
      <c r="Y142" s="7" t="s">
        <v>2705</v>
      </c>
      <c r="Z142" s="7" t="s">
        <v>2897</v>
      </c>
      <c r="AE142" t="s">
        <v>1879</v>
      </c>
      <c r="AF142" t="s">
        <v>1880</v>
      </c>
      <c r="AW142" t="s">
        <v>3154</v>
      </c>
      <c r="AX142" t="s">
        <v>3464</v>
      </c>
      <c r="BA142" t="s">
        <v>3852</v>
      </c>
      <c r="BB142" t="s">
        <v>3853</v>
      </c>
    </row>
    <row r="143" spans="10:54" x14ac:dyDescent="0.25">
      <c r="J143" t="s">
        <v>513</v>
      </c>
      <c r="K143" s="12" t="s">
        <v>512</v>
      </c>
      <c r="M143" t="s">
        <v>824</v>
      </c>
      <c r="N143" t="s">
        <v>1057</v>
      </c>
      <c r="S143" t="s">
        <v>1376</v>
      </c>
      <c r="T143" t="s">
        <v>1555</v>
      </c>
      <c r="Y143" s="7" t="s">
        <v>2706</v>
      </c>
      <c r="Z143" s="7" t="s">
        <v>2898</v>
      </c>
      <c r="AE143" t="s">
        <v>1881</v>
      </c>
      <c r="AF143" t="s">
        <v>1882</v>
      </c>
      <c r="AW143" t="s">
        <v>3155</v>
      </c>
      <c r="AX143" t="s">
        <v>3465</v>
      </c>
      <c r="BA143" t="s">
        <v>3854</v>
      </c>
      <c r="BB143" t="s">
        <v>3855</v>
      </c>
    </row>
    <row r="144" spans="10:54" x14ac:dyDescent="0.25">
      <c r="J144" t="s">
        <v>514</v>
      </c>
      <c r="K144" s="12" t="s">
        <v>514</v>
      </c>
      <c r="M144" t="s">
        <v>825</v>
      </c>
      <c r="N144" t="s">
        <v>1058</v>
      </c>
      <c r="S144" t="s">
        <v>1377</v>
      </c>
      <c r="T144" t="s">
        <v>1556</v>
      </c>
      <c r="Y144" s="7" t="s">
        <v>2707</v>
      </c>
      <c r="Z144" s="7" t="s">
        <v>2899</v>
      </c>
      <c r="AE144" t="s">
        <v>1883</v>
      </c>
      <c r="AF144" t="s">
        <v>1884</v>
      </c>
      <c r="AW144" t="s">
        <v>3156</v>
      </c>
      <c r="AX144" t="s">
        <v>3466</v>
      </c>
      <c r="BA144" t="s">
        <v>3856</v>
      </c>
      <c r="BB144" t="s">
        <v>3857</v>
      </c>
    </row>
    <row r="145" spans="10:54" x14ac:dyDescent="0.25">
      <c r="J145" t="s">
        <v>516</v>
      </c>
      <c r="K145" s="12" t="s">
        <v>515</v>
      </c>
      <c r="M145" t="s">
        <v>826</v>
      </c>
      <c r="N145" t="s">
        <v>1059</v>
      </c>
      <c r="S145" t="s">
        <v>1378</v>
      </c>
      <c r="T145" t="s">
        <v>1557</v>
      </c>
      <c r="Y145" s="7" t="s">
        <v>2708</v>
      </c>
      <c r="Z145" s="7" t="s">
        <v>2900</v>
      </c>
      <c r="AE145" t="s">
        <v>1885</v>
      </c>
      <c r="AF145" t="s">
        <v>1886</v>
      </c>
      <c r="AW145" t="s">
        <v>3157</v>
      </c>
      <c r="AX145" t="s">
        <v>3467</v>
      </c>
      <c r="BA145" t="s">
        <v>3858</v>
      </c>
      <c r="BB145" t="s">
        <v>3859</v>
      </c>
    </row>
    <row r="146" spans="10:54" x14ac:dyDescent="0.25">
      <c r="J146" t="s">
        <v>3287</v>
      </c>
      <c r="K146" s="12" t="s">
        <v>3288</v>
      </c>
      <c r="M146" t="s">
        <v>827</v>
      </c>
      <c r="N146" t="s">
        <v>1060</v>
      </c>
      <c r="S146" t="s">
        <v>1379</v>
      </c>
      <c r="T146" t="s">
        <v>1558</v>
      </c>
      <c r="Y146" s="7" t="s">
        <v>2709</v>
      </c>
      <c r="Z146" s="7" t="s">
        <v>2901</v>
      </c>
      <c r="AE146" t="s">
        <v>1887</v>
      </c>
      <c r="AF146" t="s">
        <v>1888</v>
      </c>
      <c r="AW146" t="s">
        <v>3158</v>
      </c>
      <c r="AX146" t="s">
        <v>3468</v>
      </c>
      <c r="BA146" t="s">
        <v>3860</v>
      </c>
      <c r="BB146" t="s">
        <v>3861</v>
      </c>
    </row>
    <row r="147" spans="10:54" x14ac:dyDescent="0.25">
      <c r="J147" t="s">
        <v>3289</v>
      </c>
      <c r="K147" s="12" t="s">
        <v>3289</v>
      </c>
      <c r="M147" t="s">
        <v>828</v>
      </c>
      <c r="N147" t="s">
        <v>1061</v>
      </c>
      <c r="S147" t="s">
        <v>1380</v>
      </c>
      <c r="T147" t="s">
        <v>1559</v>
      </c>
      <c r="Y147" s="7" t="s">
        <v>2710</v>
      </c>
      <c r="Z147" s="7" t="s">
        <v>2902</v>
      </c>
      <c r="AE147" t="s">
        <v>1889</v>
      </c>
      <c r="AF147" t="s">
        <v>1890</v>
      </c>
      <c r="AW147" t="s">
        <v>3159</v>
      </c>
      <c r="AX147" t="s">
        <v>3469</v>
      </c>
      <c r="BA147" t="s">
        <v>3862</v>
      </c>
      <c r="BB147" t="s">
        <v>3863</v>
      </c>
    </row>
    <row r="148" spans="10:54" x14ac:dyDescent="0.25">
      <c r="J148" t="s">
        <v>4094</v>
      </c>
      <c r="K148" s="12" t="s">
        <v>4095</v>
      </c>
      <c r="M148" t="s">
        <v>829</v>
      </c>
      <c r="N148" t="s">
        <v>1062</v>
      </c>
      <c r="S148" t="s">
        <v>1381</v>
      </c>
      <c r="T148" t="s">
        <v>1560</v>
      </c>
      <c r="Y148" s="7" t="s">
        <v>2711</v>
      </c>
      <c r="Z148" s="7" t="s">
        <v>2903</v>
      </c>
      <c r="AE148" t="s">
        <v>1891</v>
      </c>
      <c r="AF148" t="s">
        <v>1892</v>
      </c>
      <c r="AW148" t="s">
        <v>3160</v>
      </c>
      <c r="AX148" t="s">
        <v>3470</v>
      </c>
      <c r="BA148" t="s">
        <v>3864</v>
      </c>
      <c r="BB148" t="s">
        <v>3865</v>
      </c>
    </row>
    <row r="149" spans="10:54" x14ac:dyDescent="0.25">
      <c r="J149" t="s">
        <v>4096</v>
      </c>
      <c r="K149" s="12" t="s">
        <v>4097</v>
      </c>
      <c r="M149" t="s">
        <v>830</v>
      </c>
      <c r="N149" t="s">
        <v>1063</v>
      </c>
      <c r="S149" t="s">
        <v>1382</v>
      </c>
      <c r="T149" t="s">
        <v>1561</v>
      </c>
      <c r="Y149" s="7" t="s">
        <v>2712</v>
      </c>
      <c r="Z149" s="7" t="s">
        <v>2904</v>
      </c>
      <c r="AE149" t="s">
        <v>1893</v>
      </c>
      <c r="AF149" t="s">
        <v>1894</v>
      </c>
      <c r="AW149" t="s">
        <v>3161</v>
      </c>
      <c r="AX149" t="s">
        <v>3471</v>
      </c>
      <c r="BA149" t="s">
        <v>3866</v>
      </c>
      <c r="BB149" t="s">
        <v>3867</v>
      </c>
    </row>
    <row r="150" spans="10:54" x14ac:dyDescent="0.25">
      <c r="K150" s="6"/>
      <c r="M150" t="s">
        <v>831</v>
      </c>
      <c r="N150" t="s">
        <v>1064</v>
      </c>
      <c r="S150" t="s">
        <v>1383</v>
      </c>
      <c r="T150" t="s">
        <v>1562</v>
      </c>
      <c r="Y150" s="7" t="s">
        <v>2713</v>
      </c>
      <c r="Z150" s="7" t="s">
        <v>2905</v>
      </c>
      <c r="AE150" t="s">
        <v>1895</v>
      </c>
      <c r="AF150" t="s">
        <v>1896</v>
      </c>
      <c r="AW150" t="s">
        <v>3162</v>
      </c>
      <c r="AX150" t="s">
        <v>3472</v>
      </c>
      <c r="BA150" t="s">
        <v>3868</v>
      </c>
      <c r="BB150" t="s">
        <v>3869</v>
      </c>
    </row>
    <row r="151" spans="10:54" x14ac:dyDescent="0.25">
      <c r="K151" s="6"/>
      <c r="M151" t="s">
        <v>832</v>
      </c>
      <c r="N151" t="s">
        <v>1065</v>
      </c>
      <c r="S151" t="s">
        <v>1384</v>
      </c>
      <c r="T151" t="s">
        <v>1563</v>
      </c>
      <c r="Y151" s="7" t="s">
        <v>2714</v>
      </c>
      <c r="Z151" s="7" t="s">
        <v>2906</v>
      </c>
      <c r="AE151" t="s">
        <v>1897</v>
      </c>
      <c r="AF151" t="s">
        <v>1898</v>
      </c>
      <c r="AW151" t="s">
        <v>3163</v>
      </c>
      <c r="AX151" t="s">
        <v>3473</v>
      </c>
      <c r="BA151" t="s">
        <v>3870</v>
      </c>
      <c r="BB151" t="s">
        <v>3871</v>
      </c>
    </row>
    <row ht="30" r="152" spans="10:54" x14ac:dyDescent="0.25">
      <c r="K152" s="6"/>
      <c r="M152" t="s">
        <v>833</v>
      </c>
      <c r="N152" t="s">
        <v>1066</v>
      </c>
      <c r="S152" t="s">
        <v>1385</v>
      </c>
      <c r="T152" t="s">
        <v>1564</v>
      </c>
      <c r="Y152" s="7" t="s">
        <v>2715</v>
      </c>
      <c r="Z152" s="7" t="s">
        <v>2907</v>
      </c>
      <c r="AE152" t="s">
        <v>1899</v>
      </c>
      <c r="AF152" t="s">
        <v>1900</v>
      </c>
      <c r="AW152" t="s">
        <v>3164</v>
      </c>
      <c r="AX152" t="s">
        <v>3474</v>
      </c>
      <c r="BA152" t="s">
        <v>3872</v>
      </c>
      <c r="BB152" t="s">
        <v>3873</v>
      </c>
    </row>
    <row ht="30" r="153" spans="10:54" x14ac:dyDescent="0.25">
      <c r="K153" s="6"/>
      <c r="M153" t="s">
        <v>834</v>
      </c>
      <c r="N153" t="s">
        <v>1067</v>
      </c>
      <c r="S153" t="s">
        <v>1386</v>
      </c>
      <c r="T153" t="s">
        <v>1565</v>
      </c>
      <c r="Y153" s="7" t="s">
        <v>2716</v>
      </c>
      <c r="Z153" s="7" t="s">
        <v>2908</v>
      </c>
      <c r="AE153" t="s">
        <v>1901</v>
      </c>
      <c r="AF153" t="s">
        <v>1902</v>
      </c>
      <c r="AW153" t="s">
        <v>3165</v>
      </c>
      <c r="AX153" t="s">
        <v>3475</v>
      </c>
      <c r="BA153" t="s">
        <v>3874</v>
      </c>
      <c r="BB153" t="s">
        <v>3875</v>
      </c>
    </row>
    <row r="154" spans="10:54" x14ac:dyDescent="0.25">
      <c r="K154" s="6"/>
      <c r="M154" t="s">
        <v>835</v>
      </c>
      <c r="N154" t="s">
        <v>1068</v>
      </c>
      <c r="S154" t="s">
        <v>1387</v>
      </c>
      <c r="T154" t="s">
        <v>1566</v>
      </c>
      <c r="Y154" s="7" t="s">
        <v>2717</v>
      </c>
      <c r="Z154" s="7" t="s">
        <v>2909</v>
      </c>
      <c r="AE154" t="s">
        <v>1903</v>
      </c>
      <c r="AF154" t="s">
        <v>1904</v>
      </c>
      <c r="AW154" t="s">
        <v>3166</v>
      </c>
      <c r="AX154" t="s">
        <v>2878</v>
      </c>
      <c r="BA154" t="s">
        <v>3876</v>
      </c>
      <c r="BB154" t="s">
        <v>3877</v>
      </c>
    </row>
    <row r="155" spans="10:54" x14ac:dyDescent="0.25">
      <c r="K155" s="6"/>
      <c r="M155" t="s">
        <v>836</v>
      </c>
      <c r="N155" t="s">
        <v>1069</v>
      </c>
      <c r="S155" t="s">
        <v>1388</v>
      </c>
      <c r="T155" t="s">
        <v>1567</v>
      </c>
      <c r="Y155" s="7" t="s">
        <v>2718</v>
      </c>
      <c r="Z155" s="7" t="s">
        <v>2910</v>
      </c>
      <c r="AE155" t="s">
        <v>1905</v>
      </c>
      <c r="AF155" t="s">
        <v>1906</v>
      </c>
      <c r="AW155" t="s">
        <v>3167</v>
      </c>
      <c r="AX155" t="s">
        <v>2887</v>
      </c>
      <c r="BA155" t="s">
        <v>3878</v>
      </c>
      <c r="BB155" t="s">
        <v>3879</v>
      </c>
    </row>
    <row r="156" spans="10:54" x14ac:dyDescent="0.25">
      <c r="K156" s="6"/>
      <c r="M156" t="s">
        <v>837</v>
      </c>
      <c r="N156" t="s">
        <v>1070</v>
      </c>
      <c r="S156" t="s">
        <v>1389</v>
      </c>
      <c r="T156" t="s">
        <v>1568</v>
      </c>
      <c r="Y156" s="7" t="s">
        <v>2719</v>
      </c>
      <c r="Z156" s="7" t="s">
        <v>2911</v>
      </c>
      <c r="AE156" t="s">
        <v>1907</v>
      </c>
      <c r="AF156" t="s">
        <v>1908</v>
      </c>
      <c r="AW156" t="s">
        <v>3168</v>
      </c>
      <c r="AX156" t="s">
        <v>2882</v>
      </c>
      <c r="BA156" t="s">
        <v>3880</v>
      </c>
      <c r="BB156" t="s">
        <v>3881</v>
      </c>
    </row>
    <row r="157" spans="10:54" x14ac:dyDescent="0.25">
      <c r="K157" s="6"/>
      <c r="M157" t="s">
        <v>838</v>
      </c>
      <c r="N157" t="s">
        <v>1071</v>
      </c>
      <c r="S157" t="s">
        <v>1390</v>
      </c>
      <c r="T157" t="s">
        <v>1569</v>
      </c>
      <c r="Y157" s="7" t="s">
        <v>2720</v>
      </c>
      <c r="Z157" s="7" t="s">
        <v>2912</v>
      </c>
      <c r="AE157" t="s">
        <v>1909</v>
      </c>
      <c r="AF157" t="s">
        <v>1910</v>
      </c>
      <c r="AW157" t="s">
        <v>3169</v>
      </c>
      <c r="AX157" t="s">
        <v>3476</v>
      </c>
      <c r="BA157" t="s">
        <v>3882</v>
      </c>
      <c r="BB157" t="s">
        <v>3883</v>
      </c>
    </row>
    <row r="158" spans="10:54" x14ac:dyDescent="0.25">
      <c r="K158" s="6"/>
      <c r="M158" t="s">
        <v>839</v>
      </c>
      <c r="N158" t="s">
        <v>1072</v>
      </c>
      <c r="S158" t="s">
        <v>1391</v>
      </c>
      <c r="T158" t="s">
        <v>1570</v>
      </c>
      <c r="Y158" s="7" t="s">
        <v>2721</v>
      </c>
      <c r="Z158" s="7" t="s">
        <v>2913</v>
      </c>
      <c r="AE158" t="s">
        <v>1911</v>
      </c>
      <c r="AF158" t="s">
        <v>1912</v>
      </c>
      <c r="AW158" t="s">
        <v>3170</v>
      </c>
      <c r="AX158" t="s">
        <v>3477</v>
      </c>
      <c r="BA158" t="s">
        <v>3884</v>
      </c>
      <c r="BB158" t="s">
        <v>3885</v>
      </c>
    </row>
    <row r="159" spans="10:54" x14ac:dyDescent="0.25">
      <c r="K159" s="6"/>
      <c r="M159" t="s">
        <v>840</v>
      </c>
      <c r="N159" t="s">
        <v>1073</v>
      </c>
      <c r="S159" t="s">
        <v>1392</v>
      </c>
      <c r="T159" t="s">
        <v>1571</v>
      </c>
      <c r="Y159" s="7" t="s">
        <v>2722</v>
      </c>
      <c r="Z159" s="7" t="s">
        <v>2914</v>
      </c>
      <c r="AE159" t="s">
        <v>1913</v>
      </c>
      <c r="AF159" t="s">
        <v>1914</v>
      </c>
      <c r="AW159" t="s">
        <v>3169</v>
      </c>
      <c r="AX159" t="s">
        <v>2923</v>
      </c>
      <c r="BA159" t="s">
        <v>3886</v>
      </c>
      <c r="BB159" t="s">
        <v>3887</v>
      </c>
    </row>
    <row r="160" spans="10:54" x14ac:dyDescent="0.25">
      <c r="K160" s="6"/>
      <c r="M160" t="s">
        <v>841</v>
      </c>
      <c r="N160" t="s">
        <v>1074</v>
      </c>
      <c r="S160" t="s">
        <v>1393</v>
      </c>
      <c r="T160" t="s">
        <v>1572</v>
      </c>
      <c r="Y160" s="7" t="s">
        <v>2723</v>
      </c>
      <c r="Z160" s="7" t="s">
        <v>2915</v>
      </c>
      <c r="AE160" t="s">
        <v>1915</v>
      </c>
      <c r="AF160" t="s">
        <v>1916</v>
      </c>
      <c r="AW160" t="s">
        <v>3171</v>
      </c>
      <c r="AX160" t="s">
        <v>2925</v>
      </c>
      <c r="BA160" t="s">
        <v>3888</v>
      </c>
      <c r="BB160" t="s">
        <v>3889</v>
      </c>
    </row>
    <row r="161" spans="11:54" x14ac:dyDescent="0.25">
      <c r="K161" s="6"/>
      <c r="M161" t="s">
        <v>842</v>
      </c>
      <c r="N161" t="s">
        <v>1075</v>
      </c>
      <c r="S161" t="s">
        <v>1394</v>
      </c>
      <c r="T161" t="s">
        <v>1573</v>
      </c>
      <c r="Y161" s="7" t="s">
        <v>2724</v>
      </c>
      <c r="Z161" s="7" t="s">
        <v>2916</v>
      </c>
      <c r="AE161" t="s">
        <v>1917</v>
      </c>
      <c r="AF161" t="s">
        <v>1918</v>
      </c>
      <c r="AW161" t="s">
        <v>3172</v>
      </c>
      <c r="AX161" t="s">
        <v>3478</v>
      </c>
      <c r="BA161" t="s">
        <v>3890</v>
      </c>
      <c r="BB161" t="s">
        <v>3891</v>
      </c>
    </row>
    <row r="162" spans="11:54" x14ac:dyDescent="0.25">
      <c r="K162" s="6"/>
      <c r="M162" t="s">
        <v>843</v>
      </c>
      <c r="N162" t="s">
        <v>1076</v>
      </c>
      <c r="S162" t="s">
        <v>1395</v>
      </c>
      <c r="T162" t="s">
        <v>1574</v>
      </c>
      <c r="Y162" s="7" t="s">
        <v>2725</v>
      </c>
      <c r="Z162" s="7" t="s">
        <v>2917</v>
      </c>
      <c r="AE162" t="s">
        <v>1919</v>
      </c>
      <c r="AF162" t="s">
        <v>1920</v>
      </c>
      <c r="AW162" t="s">
        <v>3173</v>
      </c>
      <c r="AX162" t="s">
        <v>3479</v>
      </c>
      <c r="BA162" t="s">
        <v>3892</v>
      </c>
      <c r="BB162" t="s">
        <v>3893</v>
      </c>
    </row>
    <row r="163" spans="11:54" x14ac:dyDescent="0.25">
      <c r="K163" s="6"/>
      <c r="M163" t="s">
        <v>844</v>
      </c>
      <c r="N163" t="s">
        <v>1077</v>
      </c>
      <c r="S163" t="s">
        <v>1396</v>
      </c>
      <c r="T163" t="s">
        <v>1575</v>
      </c>
      <c r="Y163" s="7" t="s">
        <v>2726</v>
      </c>
      <c r="Z163" s="7" t="s">
        <v>2918</v>
      </c>
      <c r="AE163" t="s">
        <v>1921</v>
      </c>
      <c r="AF163" t="s">
        <v>1922</v>
      </c>
      <c r="AW163" t="s">
        <v>3174</v>
      </c>
      <c r="AX163" t="s">
        <v>3480</v>
      </c>
      <c r="BA163" t="s">
        <v>3894</v>
      </c>
      <c r="BB163" t="s">
        <v>3895</v>
      </c>
    </row>
    <row r="164" spans="11:54" x14ac:dyDescent="0.25">
      <c r="K164" s="6"/>
      <c r="M164" t="s">
        <v>845</v>
      </c>
      <c r="N164" t="s">
        <v>1078</v>
      </c>
      <c r="S164" t="s">
        <v>1397</v>
      </c>
      <c r="T164" t="s">
        <v>1576</v>
      </c>
      <c r="Y164" s="7" t="s">
        <v>2727</v>
      </c>
      <c r="Z164" s="7" t="s">
        <v>2919</v>
      </c>
      <c r="AE164" t="s">
        <v>1923</v>
      </c>
      <c r="AF164" t="s">
        <v>1924</v>
      </c>
      <c r="AW164" t="s">
        <v>3175</v>
      </c>
      <c r="AX164" t="s">
        <v>3481</v>
      </c>
      <c r="BA164" t="s">
        <v>3896</v>
      </c>
      <c r="BB164" t="s">
        <v>3897</v>
      </c>
    </row>
    <row r="165" spans="11:54" x14ac:dyDescent="0.25">
      <c r="K165" s="6"/>
      <c r="M165" t="s">
        <v>846</v>
      </c>
      <c r="N165" t="s">
        <v>1079</v>
      </c>
      <c r="S165" t="s">
        <v>1398</v>
      </c>
      <c r="T165" t="s">
        <v>1577</v>
      </c>
      <c r="Y165" s="7" t="s">
        <v>2728</v>
      </c>
      <c r="Z165" s="7" t="s">
        <v>2920</v>
      </c>
      <c r="AE165" t="s">
        <v>1925</v>
      </c>
      <c r="AF165" t="s">
        <v>1926</v>
      </c>
      <c r="AW165" t="s">
        <v>3176</v>
      </c>
      <c r="AX165" t="s">
        <v>3019</v>
      </c>
      <c r="BA165" t="s">
        <v>3898</v>
      </c>
      <c r="BB165" t="s">
        <v>3899</v>
      </c>
    </row>
    <row r="166" spans="11:54" x14ac:dyDescent="0.25">
      <c r="K166" s="6"/>
      <c r="M166" t="s">
        <v>847</v>
      </c>
      <c r="N166" t="s">
        <v>1080</v>
      </c>
      <c r="S166" t="s">
        <v>1399</v>
      </c>
      <c r="T166" t="s">
        <v>1578</v>
      </c>
      <c r="Y166" s="7" t="s">
        <v>2729</v>
      </c>
      <c r="Z166" s="7" t="s">
        <v>2921</v>
      </c>
      <c r="AE166" t="s">
        <v>1927</v>
      </c>
      <c r="AF166" t="s">
        <v>1928</v>
      </c>
      <c r="AW166" t="s">
        <v>3177</v>
      </c>
      <c r="AX166" t="s">
        <v>3482</v>
      </c>
      <c r="BA166" t="s">
        <v>3900</v>
      </c>
      <c r="BB166" t="s">
        <v>3901</v>
      </c>
    </row>
    <row r="167" spans="11:54" x14ac:dyDescent="0.25">
      <c r="K167" s="6"/>
      <c r="M167" t="s">
        <v>848</v>
      </c>
      <c r="N167" t="s">
        <v>1081</v>
      </c>
      <c r="S167" t="s">
        <v>1400</v>
      </c>
      <c r="T167" t="s">
        <v>1579</v>
      </c>
      <c r="Y167" s="7" t="s">
        <v>2730</v>
      </c>
      <c r="Z167" s="7" t="s">
        <v>2922</v>
      </c>
      <c r="AE167" t="s">
        <v>1929</v>
      </c>
      <c r="AF167" t="s">
        <v>1930</v>
      </c>
      <c r="AW167" t="s">
        <v>3178</v>
      </c>
      <c r="AX167" t="s">
        <v>3483</v>
      </c>
      <c r="BA167" t="s">
        <v>3902</v>
      </c>
      <c r="BB167" t="s">
        <v>3903</v>
      </c>
    </row>
    <row r="168" spans="11:54" x14ac:dyDescent="0.25">
      <c r="K168" s="6"/>
      <c r="M168" t="s">
        <v>849</v>
      </c>
      <c r="N168" t="s">
        <v>1082</v>
      </c>
      <c r="S168" t="s">
        <v>1401</v>
      </c>
      <c r="T168" t="s">
        <v>1580</v>
      </c>
      <c r="Y168" s="7" t="s">
        <v>2731</v>
      </c>
      <c r="Z168" s="7" t="s">
        <v>2923</v>
      </c>
      <c r="AE168" t="s">
        <v>1931</v>
      </c>
      <c r="AF168" t="s">
        <v>1932</v>
      </c>
      <c r="AW168" t="s">
        <v>3179</v>
      </c>
      <c r="AX168" t="s">
        <v>2924</v>
      </c>
      <c r="BA168" t="s">
        <v>3904</v>
      </c>
      <c r="BB168" t="s">
        <v>3905</v>
      </c>
    </row>
    <row r="169" spans="11:54" x14ac:dyDescent="0.25">
      <c r="K169" s="6"/>
      <c r="M169" t="s">
        <v>850</v>
      </c>
      <c r="N169" t="s">
        <v>1083</v>
      </c>
      <c r="S169" t="s">
        <v>1395</v>
      </c>
      <c r="T169" t="s">
        <v>1574</v>
      </c>
      <c r="Y169" s="7" t="s">
        <v>2732</v>
      </c>
      <c r="Z169" s="7" t="s">
        <v>2924</v>
      </c>
      <c r="AE169" t="s">
        <v>1933</v>
      </c>
      <c r="AF169" t="s">
        <v>1934</v>
      </c>
      <c r="AW169" t="s">
        <v>3180</v>
      </c>
      <c r="AX169" t="s">
        <v>2841</v>
      </c>
      <c r="BA169" t="s">
        <v>3906</v>
      </c>
      <c r="BB169" t="s">
        <v>3907</v>
      </c>
    </row>
    <row r="170" spans="11:54" x14ac:dyDescent="0.25">
      <c r="K170" s="6"/>
      <c r="M170" t="s">
        <v>851</v>
      </c>
      <c r="N170" t="s">
        <v>1084</v>
      </c>
      <c r="S170" t="s">
        <v>1396</v>
      </c>
      <c r="T170" t="s">
        <v>1575</v>
      </c>
      <c r="Y170" s="7" t="s">
        <v>2733</v>
      </c>
      <c r="Z170" s="7" t="s">
        <v>2925</v>
      </c>
      <c r="AE170" t="s">
        <v>1935</v>
      </c>
      <c r="AF170" t="s">
        <v>1936</v>
      </c>
      <c r="AW170" t="s">
        <v>3181</v>
      </c>
      <c r="AX170" t="s">
        <v>2842</v>
      </c>
      <c r="BA170" t="s">
        <v>3908</v>
      </c>
      <c r="BB170" t="s">
        <v>3909</v>
      </c>
    </row>
    <row r="171" spans="11:54" x14ac:dyDescent="0.25">
      <c r="K171" s="6"/>
      <c r="M171" t="s">
        <v>852</v>
      </c>
      <c r="N171" t="s">
        <v>1085</v>
      </c>
      <c r="S171" t="s">
        <v>1397</v>
      </c>
      <c r="T171" t="s">
        <v>1576</v>
      </c>
      <c r="Y171" s="7" t="s">
        <v>2734</v>
      </c>
      <c r="Z171" s="7" t="s">
        <v>2926</v>
      </c>
      <c r="AE171" t="s">
        <v>1937</v>
      </c>
      <c r="AF171" t="s">
        <v>1938</v>
      </c>
      <c r="AW171" t="s">
        <v>3182</v>
      </c>
      <c r="AX171" t="s">
        <v>2843</v>
      </c>
      <c r="BA171" t="s">
        <v>3910</v>
      </c>
      <c r="BB171" t="s">
        <v>3911</v>
      </c>
    </row>
    <row r="172" spans="11:54" x14ac:dyDescent="0.25">
      <c r="K172" s="6"/>
      <c r="M172" t="s">
        <v>853</v>
      </c>
      <c r="N172" t="s">
        <v>1086</v>
      </c>
      <c r="S172" t="s">
        <v>1398</v>
      </c>
      <c r="T172" t="s">
        <v>1577</v>
      </c>
      <c r="Y172" s="7" t="s">
        <v>2735</v>
      </c>
      <c r="Z172" s="7" t="s">
        <v>2927</v>
      </c>
      <c r="AE172" t="s">
        <v>1939</v>
      </c>
      <c r="AF172" t="s">
        <v>1940</v>
      </c>
      <c r="AW172" t="s">
        <v>3183</v>
      </c>
      <c r="AX172" t="s">
        <v>2844</v>
      </c>
      <c r="BA172" t="s">
        <v>3912</v>
      </c>
      <c r="BB172" t="s">
        <v>3913</v>
      </c>
    </row>
    <row r="173" spans="11:54" x14ac:dyDescent="0.25">
      <c r="K173" s="6"/>
      <c r="M173" t="s">
        <v>854</v>
      </c>
      <c r="N173" t="s">
        <v>1087</v>
      </c>
      <c r="S173" t="s">
        <v>1399</v>
      </c>
      <c r="T173" t="s">
        <v>1578</v>
      </c>
      <c r="Y173" s="7" t="s">
        <v>2736</v>
      </c>
      <c r="Z173" s="7" t="s">
        <v>2928</v>
      </c>
      <c r="AE173" t="s">
        <v>1941</v>
      </c>
      <c r="AF173" t="s">
        <v>1942</v>
      </c>
      <c r="AW173" t="s">
        <v>3184</v>
      </c>
      <c r="AX173" t="s">
        <v>3484</v>
      </c>
      <c r="BA173" t="s">
        <v>3914</v>
      </c>
      <c r="BB173" t="s">
        <v>3915</v>
      </c>
    </row>
    <row r="174" spans="11:54" x14ac:dyDescent="0.25">
      <c r="K174" s="6"/>
      <c r="M174" t="s">
        <v>855</v>
      </c>
      <c r="N174" t="s">
        <v>1088</v>
      </c>
      <c r="S174" t="s">
        <v>1400</v>
      </c>
      <c r="T174" t="s">
        <v>1579</v>
      </c>
      <c r="Y174" s="7" t="s">
        <v>2737</v>
      </c>
      <c r="Z174" s="7" t="s">
        <v>2929</v>
      </c>
      <c r="AE174" t="s">
        <v>1943</v>
      </c>
      <c r="AF174" t="s">
        <v>1944</v>
      </c>
      <c r="AW174" t="s">
        <v>3185</v>
      </c>
      <c r="AX174" t="s">
        <v>3485</v>
      </c>
      <c r="BA174" t="s">
        <v>3916</v>
      </c>
      <c r="BB174" t="s">
        <v>3917</v>
      </c>
    </row>
    <row r="175" spans="11:54" x14ac:dyDescent="0.25">
      <c r="K175" s="6"/>
      <c r="M175" t="s">
        <v>856</v>
      </c>
      <c r="N175" t="s">
        <v>1089</v>
      </c>
      <c r="S175" t="s">
        <v>1401</v>
      </c>
      <c r="T175" t="s">
        <v>1580</v>
      </c>
      <c r="Y175" s="7" t="s">
        <v>2738</v>
      </c>
      <c r="Z175" s="7" t="s">
        <v>2930</v>
      </c>
      <c r="AE175" t="s">
        <v>1945</v>
      </c>
      <c r="AF175" t="s">
        <v>1946</v>
      </c>
      <c r="AW175" t="s">
        <v>3186</v>
      </c>
      <c r="AX175" t="s">
        <v>3486</v>
      </c>
      <c r="BA175" t="s">
        <v>3918</v>
      </c>
      <c r="BB175" t="s">
        <v>3919</v>
      </c>
    </row>
    <row r="176" spans="11:54" x14ac:dyDescent="0.25">
      <c r="K176" s="6"/>
      <c r="M176" t="s">
        <v>857</v>
      </c>
      <c r="N176" t="s">
        <v>1090</v>
      </c>
      <c r="S176" s="5"/>
      <c r="Y176" s="7" t="s">
        <v>2739</v>
      </c>
      <c r="Z176" s="7" t="s">
        <v>2931</v>
      </c>
      <c r="AE176" t="s">
        <v>1947</v>
      </c>
      <c r="AF176" t="s">
        <v>1948</v>
      </c>
      <c r="AW176" t="s">
        <v>3187</v>
      </c>
      <c r="AX176" t="s">
        <v>3487</v>
      </c>
      <c r="BA176" t="s">
        <v>3920</v>
      </c>
      <c r="BB176" t="s">
        <v>3921</v>
      </c>
    </row>
    <row r="177" spans="11:54" x14ac:dyDescent="0.25">
      <c r="K177" s="6"/>
      <c r="M177" t="s">
        <v>858</v>
      </c>
      <c r="N177" t="s">
        <v>1091</v>
      </c>
      <c r="S177" s="5"/>
      <c r="Y177" s="7" t="s">
        <v>2740</v>
      </c>
      <c r="Z177" s="7" t="s">
        <v>2932</v>
      </c>
      <c r="AE177" t="s">
        <v>1949</v>
      </c>
      <c r="AF177" t="s">
        <v>1950</v>
      </c>
      <c r="AW177" t="s">
        <v>3188</v>
      </c>
      <c r="AX177" t="s">
        <v>3488</v>
      </c>
      <c r="BA177" t="s">
        <v>3922</v>
      </c>
      <c r="BB177" t="s">
        <v>3923</v>
      </c>
    </row>
    <row r="178" spans="11:54" x14ac:dyDescent="0.25">
      <c r="K178" s="6"/>
      <c r="M178" t="s">
        <v>859</v>
      </c>
      <c r="N178" t="s">
        <v>1092</v>
      </c>
      <c r="S178" s="5"/>
      <c r="Y178" s="7" t="s">
        <v>2741</v>
      </c>
      <c r="Z178" s="7" t="s">
        <v>2933</v>
      </c>
      <c r="AE178" t="s">
        <v>1951</v>
      </c>
      <c r="AF178" t="s">
        <v>1952</v>
      </c>
      <c r="AW178" t="s">
        <v>3189</v>
      </c>
      <c r="AX178" t="s">
        <v>3489</v>
      </c>
      <c r="BA178" t="s">
        <v>3924</v>
      </c>
      <c r="BB178" t="s">
        <v>3925</v>
      </c>
    </row>
    <row r="179" spans="11:54" x14ac:dyDescent="0.25">
      <c r="K179" s="6"/>
      <c r="M179" t="s">
        <v>860</v>
      </c>
      <c r="N179" t="s">
        <v>1093</v>
      </c>
      <c r="S179" s="5"/>
      <c r="Y179" s="7" t="s">
        <v>2742</v>
      </c>
      <c r="Z179" s="7" t="s">
        <v>2934</v>
      </c>
      <c r="AE179" t="s">
        <v>1953</v>
      </c>
      <c r="AF179" t="s">
        <v>1954</v>
      </c>
      <c r="AW179" t="s">
        <v>3190</v>
      </c>
      <c r="AX179" t="s">
        <v>3490</v>
      </c>
      <c r="BA179" t="s">
        <v>3926</v>
      </c>
      <c r="BB179" t="s">
        <v>3927</v>
      </c>
    </row>
    <row r="180" spans="11:54" x14ac:dyDescent="0.25">
      <c r="K180" s="6"/>
      <c r="M180" t="s">
        <v>861</v>
      </c>
      <c r="N180" t="s">
        <v>1094</v>
      </c>
      <c r="S180" s="5"/>
      <c r="Y180" s="7" t="s">
        <v>2743</v>
      </c>
      <c r="Z180" s="7" t="s">
        <v>2935</v>
      </c>
      <c r="AE180" t="s">
        <v>1955</v>
      </c>
      <c r="AF180" t="s">
        <v>1956</v>
      </c>
      <c r="AW180" t="s">
        <v>3191</v>
      </c>
      <c r="AX180" t="s">
        <v>3491</v>
      </c>
      <c r="BA180" t="s">
        <v>3928</v>
      </c>
      <c r="BB180" t="s">
        <v>3929</v>
      </c>
    </row>
    <row r="181" spans="11:54" x14ac:dyDescent="0.25">
      <c r="K181" s="6"/>
      <c r="M181" t="s">
        <v>862</v>
      </c>
      <c r="N181" t="s">
        <v>1095</v>
      </c>
      <c r="S181" s="5"/>
      <c r="Y181" s="7" t="s">
        <v>2744</v>
      </c>
      <c r="Z181" s="7" t="s">
        <v>2936</v>
      </c>
      <c r="AE181" t="s">
        <v>1957</v>
      </c>
      <c r="AF181" t="s">
        <v>1958</v>
      </c>
      <c r="AW181" t="s">
        <v>3193</v>
      </c>
      <c r="AX181" t="s">
        <v>3192</v>
      </c>
      <c r="BA181" t="s">
        <v>3930</v>
      </c>
      <c r="BB181" t="s">
        <v>3931</v>
      </c>
    </row>
    <row r="182" spans="11:54" x14ac:dyDescent="0.25">
      <c r="K182" s="6"/>
      <c r="M182" t="s">
        <v>863</v>
      </c>
      <c r="N182" t="s">
        <v>1096</v>
      </c>
      <c r="S182" s="5"/>
      <c r="Y182" s="7" t="s">
        <v>2745</v>
      </c>
      <c r="Z182" s="7" t="s">
        <v>2937</v>
      </c>
      <c r="AE182" t="s">
        <v>1959</v>
      </c>
      <c r="AF182" t="s">
        <v>1960</v>
      </c>
      <c r="AW182" t="s">
        <v>3194</v>
      </c>
      <c r="AX182" t="s">
        <v>3492</v>
      </c>
      <c r="BA182" t="s">
        <v>3932</v>
      </c>
      <c r="BB182" t="s">
        <v>3933</v>
      </c>
    </row>
    <row r="183" spans="11:54" x14ac:dyDescent="0.25">
      <c r="K183" s="6"/>
      <c r="M183" t="s">
        <v>864</v>
      </c>
      <c r="N183" t="s">
        <v>1097</v>
      </c>
      <c r="S183" s="5"/>
      <c r="Y183" s="7" t="s">
        <v>2746</v>
      </c>
      <c r="Z183" s="7" t="s">
        <v>2938</v>
      </c>
      <c r="AE183" t="s">
        <v>1961</v>
      </c>
      <c r="AF183" t="s">
        <v>1962</v>
      </c>
      <c r="AW183" t="s">
        <v>3195</v>
      </c>
      <c r="AX183" t="s">
        <v>3493</v>
      </c>
      <c r="BA183" t="s">
        <v>3934</v>
      </c>
      <c r="BB183" t="s">
        <v>3935</v>
      </c>
    </row>
    <row r="184" spans="11:54" x14ac:dyDescent="0.25">
      <c r="K184" s="6"/>
      <c r="M184" t="s">
        <v>865</v>
      </c>
      <c r="N184" t="s">
        <v>1098</v>
      </c>
      <c r="S184" s="5"/>
      <c r="Y184" s="7" t="s">
        <v>2747</v>
      </c>
      <c r="Z184" s="7" t="s">
        <v>2939</v>
      </c>
      <c r="AE184" t="s">
        <v>1963</v>
      </c>
      <c r="AF184" t="s">
        <v>1964</v>
      </c>
      <c r="AW184" t="s">
        <v>3196</v>
      </c>
      <c r="AX184" t="s">
        <v>3494</v>
      </c>
      <c r="BA184" t="s">
        <v>3936</v>
      </c>
      <c r="BB184" t="s">
        <v>3937</v>
      </c>
    </row>
    <row r="185" spans="11:54" x14ac:dyDescent="0.25">
      <c r="K185" s="6"/>
      <c r="M185" t="s">
        <v>866</v>
      </c>
      <c r="N185" t="s">
        <v>1099</v>
      </c>
      <c r="S185" s="5"/>
      <c r="Y185" s="7" t="s">
        <v>2748</v>
      </c>
      <c r="Z185" s="7" t="s">
        <v>2940</v>
      </c>
      <c r="AE185" t="s">
        <v>1965</v>
      </c>
      <c r="AF185" t="s">
        <v>1966</v>
      </c>
      <c r="AW185" t="s">
        <v>3197</v>
      </c>
      <c r="AX185" t="s">
        <v>3495</v>
      </c>
      <c r="BA185" t="s">
        <v>3938</v>
      </c>
      <c r="BB185" t="s">
        <v>3939</v>
      </c>
    </row>
    <row r="186" spans="11:54" x14ac:dyDescent="0.25">
      <c r="K186" s="6"/>
      <c r="M186" t="s">
        <v>867</v>
      </c>
      <c r="N186" t="s">
        <v>1100</v>
      </c>
      <c r="S186" s="5"/>
      <c r="Y186" s="7" t="s">
        <v>2749</v>
      </c>
      <c r="Z186" s="7" t="s">
        <v>2941</v>
      </c>
      <c r="AE186" t="s">
        <v>1967</v>
      </c>
      <c r="AF186" t="s">
        <v>1968</v>
      </c>
      <c r="AW186" t="s">
        <v>3198</v>
      </c>
      <c r="AX186" t="s">
        <v>3496</v>
      </c>
      <c r="BA186" t="s">
        <v>3940</v>
      </c>
      <c r="BB186" t="s">
        <v>3941</v>
      </c>
    </row>
    <row r="187" spans="11:54" x14ac:dyDescent="0.25">
      <c r="K187" s="6"/>
      <c r="M187" t="s">
        <v>868</v>
      </c>
      <c r="N187" t="s">
        <v>1101</v>
      </c>
      <c r="S187" s="5"/>
      <c r="Y187" s="7" t="s">
        <v>2750</v>
      </c>
      <c r="Z187" s="7" t="s">
        <v>2942</v>
      </c>
      <c r="AE187" t="s">
        <v>1969</v>
      </c>
      <c r="AF187" t="s">
        <v>1970</v>
      </c>
      <c r="AW187" t="s">
        <v>3199</v>
      </c>
      <c r="AX187" t="s">
        <v>3497</v>
      </c>
      <c r="BA187" t="s">
        <v>3942</v>
      </c>
      <c r="BB187" t="s">
        <v>3943</v>
      </c>
    </row>
    <row r="188" spans="11:54" x14ac:dyDescent="0.25">
      <c r="K188" s="6"/>
      <c r="M188" t="s">
        <v>869</v>
      </c>
      <c r="N188" t="s">
        <v>1102</v>
      </c>
      <c r="S188" s="5"/>
      <c r="Y188" s="7" t="s">
        <v>2751</v>
      </c>
      <c r="Z188" s="7" t="s">
        <v>2943</v>
      </c>
      <c r="AE188" t="s">
        <v>1971</v>
      </c>
      <c r="AF188" t="s">
        <v>1972</v>
      </c>
      <c r="AW188" t="s">
        <v>3200</v>
      </c>
      <c r="AX188" t="s">
        <v>3498</v>
      </c>
      <c r="BA188" t="s">
        <v>3944</v>
      </c>
      <c r="BB188" t="s">
        <v>3945</v>
      </c>
    </row>
    <row r="189" spans="11:54" x14ac:dyDescent="0.25">
      <c r="K189" s="6"/>
      <c r="M189" t="s">
        <v>870</v>
      </c>
      <c r="N189" t="s">
        <v>1103</v>
      </c>
      <c r="S189" s="5"/>
      <c r="Y189" s="7" t="s">
        <v>2752</v>
      </c>
      <c r="Z189" s="7" t="s">
        <v>2944</v>
      </c>
      <c r="AE189" t="s">
        <v>1973</v>
      </c>
      <c r="AF189" t="s">
        <v>1974</v>
      </c>
      <c r="AW189" t="s">
        <v>3201</v>
      </c>
      <c r="AX189" t="s">
        <v>3499</v>
      </c>
      <c r="BA189" t="s">
        <v>3946</v>
      </c>
      <c r="BB189" t="s">
        <v>3947</v>
      </c>
    </row>
    <row r="190" spans="11:54" x14ac:dyDescent="0.25">
      <c r="K190" s="6"/>
      <c r="M190" t="s">
        <v>871</v>
      </c>
      <c r="N190" t="s">
        <v>1104</v>
      </c>
      <c r="S190" s="5"/>
      <c r="Y190" s="7" t="s">
        <v>2753</v>
      </c>
      <c r="Z190" s="7" t="s">
        <v>2945</v>
      </c>
      <c r="AE190" t="s">
        <v>1975</v>
      </c>
      <c r="AF190" t="s">
        <v>1976</v>
      </c>
      <c r="AW190" t="s">
        <v>3202</v>
      </c>
      <c r="AX190" t="s">
        <v>3500</v>
      </c>
      <c r="BA190" t="s">
        <v>3948</v>
      </c>
      <c r="BB190" t="s">
        <v>3949</v>
      </c>
    </row>
    <row r="191" spans="11:54" x14ac:dyDescent="0.25">
      <c r="K191" s="6"/>
      <c r="M191" t="s">
        <v>872</v>
      </c>
      <c r="N191" t="s">
        <v>1105</v>
      </c>
      <c r="S191" s="5"/>
      <c r="Y191" s="7" t="s">
        <v>2754</v>
      </c>
      <c r="Z191" s="7" t="s">
        <v>2946</v>
      </c>
      <c r="AE191" t="s">
        <v>1977</v>
      </c>
      <c r="AF191" t="s">
        <v>1978</v>
      </c>
      <c r="AW191" t="s">
        <v>3203</v>
      </c>
      <c r="AX191" t="s">
        <v>3501</v>
      </c>
      <c r="BA191" t="s">
        <v>3950</v>
      </c>
      <c r="BB191" t="s">
        <v>3951</v>
      </c>
    </row>
    <row r="192" spans="11:54" x14ac:dyDescent="0.25">
      <c r="K192" s="6"/>
      <c r="M192" t="s">
        <v>873</v>
      </c>
      <c r="N192" t="s">
        <v>1106</v>
      </c>
      <c r="S192" s="5"/>
      <c r="Y192" s="7" t="s">
        <v>2755</v>
      </c>
      <c r="Z192" s="7" t="s">
        <v>2947</v>
      </c>
      <c r="AE192" t="s">
        <v>1979</v>
      </c>
      <c r="AF192" t="s">
        <v>1980</v>
      </c>
      <c r="AW192" t="s">
        <v>3204</v>
      </c>
      <c r="AX192" t="s">
        <v>3502</v>
      </c>
      <c r="BA192" t="s">
        <v>3952</v>
      </c>
      <c r="BB192" t="s">
        <v>3953</v>
      </c>
    </row>
    <row r="193" spans="11:54" x14ac:dyDescent="0.25">
      <c r="K193" s="6"/>
      <c r="M193" t="s">
        <v>874</v>
      </c>
      <c r="N193" t="s">
        <v>1107</v>
      </c>
      <c r="S193" s="5"/>
      <c r="Y193" s="7" t="s">
        <v>2756</v>
      </c>
      <c r="Z193" s="7" t="s">
        <v>2948</v>
      </c>
      <c r="AE193" t="s">
        <v>1981</v>
      </c>
      <c r="AF193" t="s">
        <v>1982</v>
      </c>
      <c r="AW193" t="s">
        <v>3205</v>
      </c>
      <c r="AX193" t="s">
        <v>3503</v>
      </c>
      <c r="BA193" t="s">
        <v>3954</v>
      </c>
      <c r="BB193" t="s">
        <v>3955</v>
      </c>
    </row>
    <row r="194" spans="11:54" x14ac:dyDescent="0.25">
      <c r="K194" s="6"/>
      <c r="M194" t="s">
        <v>875</v>
      </c>
      <c r="N194" t="s">
        <v>1108</v>
      </c>
      <c r="S194" s="5"/>
      <c r="AE194" t="s">
        <v>1983</v>
      </c>
      <c r="AF194" t="s">
        <v>1984</v>
      </c>
      <c r="AW194" t="s">
        <v>3206</v>
      </c>
      <c r="AX194" t="s">
        <v>3504</v>
      </c>
      <c r="BA194" t="s">
        <v>3956</v>
      </c>
      <c r="BB194" t="s">
        <v>3957</v>
      </c>
    </row>
    <row r="195" spans="11:54" x14ac:dyDescent="0.25">
      <c r="K195" s="6"/>
      <c r="M195" t="s">
        <v>876</v>
      </c>
      <c r="N195" t="s">
        <v>1109</v>
      </c>
      <c r="S195" s="5"/>
      <c r="AE195" t="s">
        <v>1985</v>
      </c>
      <c r="AF195" t="s">
        <v>1986</v>
      </c>
      <c r="AW195" t="s">
        <v>3207</v>
      </c>
      <c r="AX195" t="s">
        <v>3505</v>
      </c>
      <c r="BA195" t="s">
        <v>3958</v>
      </c>
      <c r="BB195" t="s">
        <v>3959</v>
      </c>
    </row>
    <row r="196" spans="11:54" x14ac:dyDescent="0.25">
      <c r="K196" s="6"/>
      <c r="M196" t="s">
        <v>877</v>
      </c>
      <c r="N196" t="s">
        <v>1110</v>
      </c>
      <c r="S196" s="5"/>
      <c r="AE196" t="s">
        <v>1987</v>
      </c>
      <c r="AF196" t="s">
        <v>1988</v>
      </c>
      <c r="AW196" t="s">
        <v>3208</v>
      </c>
      <c r="AX196" t="s">
        <v>3506</v>
      </c>
      <c r="BA196" t="s">
        <v>3960</v>
      </c>
      <c r="BB196" t="s">
        <v>3961</v>
      </c>
    </row>
    <row r="197" spans="11:54" x14ac:dyDescent="0.25">
      <c r="K197" s="6"/>
      <c r="M197" t="s">
        <v>878</v>
      </c>
      <c r="N197" t="s">
        <v>1111</v>
      </c>
      <c r="S197" s="5"/>
      <c r="AE197" t="s">
        <v>1989</v>
      </c>
      <c r="AF197" t="s">
        <v>1990</v>
      </c>
      <c r="AW197" t="s">
        <v>3209</v>
      </c>
      <c r="AX197" t="s">
        <v>3507</v>
      </c>
      <c r="BA197" t="s">
        <v>3962</v>
      </c>
      <c r="BB197" t="s">
        <v>3963</v>
      </c>
    </row>
    <row r="198" spans="11:54" x14ac:dyDescent="0.25">
      <c r="K198" s="6"/>
      <c r="M198" t="s">
        <v>879</v>
      </c>
      <c r="N198" t="s">
        <v>1112</v>
      </c>
      <c r="S198" s="5"/>
      <c r="AE198" t="s">
        <v>1991</v>
      </c>
      <c r="AF198" t="s">
        <v>1992</v>
      </c>
      <c r="AW198" t="s">
        <v>3210</v>
      </c>
      <c r="AX198" t="s">
        <v>3508</v>
      </c>
      <c r="BA198" t="s">
        <v>3964</v>
      </c>
      <c r="BB198" t="s">
        <v>3965</v>
      </c>
    </row>
    <row r="199" spans="11:54" x14ac:dyDescent="0.25">
      <c r="K199" s="6"/>
      <c r="M199" t="s">
        <v>880</v>
      </c>
      <c r="N199" t="s">
        <v>1113</v>
      </c>
      <c r="S199" s="5"/>
      <c r="AE199" t="s">
        <v>1993</v>
      </c>
      <c r="AF199" t="s">
        <v>1994</v>
      </c>
      <c r="AW199" t="s">
        <v>3211</v>
      </c>
      <c r="AX199" t="s">
        <v>3509</v>
      </c>
      <c r="BA199" t="s">
        <v>3966</v>
      </c>
      <c r="BB199" t="s">
        <v>3967</v>
      </c>
    </row>
    <row r="200" spans="11:54" x14ac:dyDescent="0.25">
      <c r="K200" s="6"/>
      <c r="M200" t="s">
        <v>881</v>
      </c>
      <c r="N200" t="s">
        <v>1114</v>
      </c>
      <c r="S200" s="5"/>
      <c r="AE200" t="s">
        <v>1995</v>
      </c>
      <c r="AF200" t="s">
        <v>1996</v>
      </c>
      <c r="AW200" t="s">
        <v>3212</v>
      </c>
      <c r="AX200" t="s">
        <v>3510</v>
      </c>
      <c r="BA200" t="s">
        <v>3968</v>
      </c>
      <c r="BB200" t="s">
        <v>3969</v>
      </c>
    </row>
    <row r="201" spans="11:54" x14ac:dyDescent="0.25">
      <c r="K201" s="6"/>
      <c r="M201" t="s">
        <v>882</v>
      </c>
      <c r="N201" t="s">
        <v>1115</v>
      </c>
      <c r="S201" s="5"/>
      <c r="AE201" t="s">
        <v>1997</v>
      </c>
      <c r="AF201" t="s">
        <v>1998</v>
      </c>
      <c r="AW201" t="s">
        <v>3213</v>
      </c>
      <c r="AX201" t="s">
        <v>3511</v>
      </c>
      <c r="BA201" t="s">
        <v>3970</v>
      </c>
      <c r="BB201" t="s">
        <v>3971</v>
      </c>
    </row>
    <row r="202" spans="11:54" x14ac:dyDescent="0.25">
      <c r="K202" s="6"/>
      <c r="M202" t="s">
        <v>883</v>
      </c>
      <c r="N202" t="s">
        <v>1116</v>
      </c>
      <c r="S202" s="5"/>
      <c r="AE202" t="s">
        <v>1999</v>
      </c>
      <c r="AF202" t="s">
        <v>2000</v>
      </c>
      <c r="AW202" t="s">
        <v>3214</v>
      </c>
      <c r="AX202" t="s">
        <v>3512</v>
      </c>
      <c r="BA202" t="s">
        <v>3972</v>
      </c>
      <c r="BB202" t="s">
        <v>3973</v>
      </c>
    </row>
    <row r="203" spans="11:54" x14ac:dyDescent="0.25">
      <c r="K203" s="6"/>
      <c r="M203" t="s">
        <v>884</v>
      </c>
      <c r="N203" t="s">
        <v>1117</v>
      </c>
      <c r="S203" s="5"/>
      <c r="AE203" t="s">
        <v>2001</v>
      </c>
      <c r="AF203" t="s">
        <v>2002</v>
      </c>
      <c r="AW203" t="s">
        <v>3215</v>
      </c>
      <c r="AX203" t="s">
        <v>3513</v>
      </c>
      <c r="BA203" t="s">
        <v>3974</v>
      </c>
      <c r="BB203" t="s">
        <v>3975</v>
      </c>
    </row>
    <row r="204" spans="11:54" x14ac:dyDescent="0.25">
      <c r="K204" s="6"/>
      <c r="M204" t="s">
        <v>885</v>
      </c>
      <c r="N204" t="s">
        <v>1118</v>
      </c>
      <c r="S204" s="5"/>
      <c r="AE204" t="s">
        <v>2003</v>
      </c>
      <c r="AF204" t="s">
        <v>2004</v>
      </c>
      <c r="AW204" t="s">
        <v>3216</v>
      </c>
      <c r="AX204" t="s">
        <v>3514</v>
      </c>
      <c r="BA204" t="s">
        <v>3976</v>
      </c>
      <c r="BB204" t="s">
        <v>3977</v>
      </c>
    </row>
    <row r="205" spans="11:54" x14ac:dyDescent="0.25">
      <c r="K205" s="6"/>
      <c r="M205" t="s">
        <v>886</v>
      </c>
      <c r="N205" t="s">
        <v>1119</v>
      </c>
      <c r="S205" s="5"/>
      <c r="AE205" t="s">
        <v>2005</v>
      </c>
      <c r="AF205" t="s">
        <v>2006</v>
      </c>
      <c r="AW205" t="s">
        <v>3217</v>
      </c>
      <c r="AX205" t="s">
        <v>3515</v>
      </c>
      <c r="BA205" t="s">
        <v>3978</v>
      </c>
      <c r="BB205" t="s">
        <v>3979</v>
      </c>
    </row>
    <row r="206" spans="11:54" x14ac:dyDescent="0.25">
      <c r="K206" s="6"/>
      <c r="M206" t="s">
        <v>887</v>
      </c>
      <c r="N206" t="s">
        <v>1120</v>
      </c>
      <c r="S206" s="5"/>
      <c r="AE206" t="s">
        <v>2007</v>
      </c>
      <c r="AF206" t="s">
        <v>2008</v>
      </c>
      <c r="AW206" t="s">
        <v>3218</v>
      </c>
      <c r="AX206" t="s">
        <v>3516</v>
      </c>
      <c r="BA206" t="s">
        <v>3980</v>
      </c>
      <c r="BB206" t="s">
        <v>3981</v>
      </c>
    </row>
    <row r="207" spans="11:54" x14ac:dyDescent="0.25">
      <c r="M207" t="s">
        <v>888</v>
      </c>
      <c r="N207" t="s">
        <v>1121</v>
      </c>
      <c r="S207" s="5"/>
      <c r="AE207" t="s">
        <v>2009</v>
      </c>
      <c r="AF207" t="s">
        <v>2010</v>
      </c>
      <c r="AW207" t="s">
        <v>3219</v>
      </c>
      <c r="AX207" t="s">
        <v>3517</v>
      </c>
      <c r="BA207" t="s">
        <v>3982</v>
      </c>
      <c r="BB207" t="s">
        <v>3983</v>
      </c>
    </row>
    <row r="208" spans="11:54" x14ac:dyDescent="0.25">
      <c r="M208" t="s">
        <v>889</v>
      </c>
      <c r="N208" t="s">
        <v>1122</v>
      </c>
      <c r="S208" s="5"/>
      <c r="AE208" t="s">
        <v>2011</v>
      </c>
      <c r="AF208" t="s">
        <v>2012</v>
      </c>
      <c r="AW208" t="s">
        <v>3220</v>
      </c>
      <c r="AX208" t="s">
        <v>3518</v>
      </c>
      <c r="BA208" t="s">
        <v>3984</v>
      </c>
      <c r="BB208" t="s">
        <v>3985</v>
      </c>
    </row>
    <row r="209" spans="13:54" x14ac:dyDescent="0.25">
      <c r="M209" t="s">
        <v>890</v>
      </c>
      <c r="N209" t="s">
        <v>1123</v>
      </c>
      <c r="S209" s="5"/>
      <c r="AE209" t="s">
        <v>2013</v>
      </c>
      <c r="AF209" t="s">
        <v>2014</v>
      </c>
      <c r="AW209" t="s">
        <v>3221</v>
      </c>
      <c r="AX209" t="s">
        <v>3519</v>
      </c>
      <c r="BA209" t="s">
        <v>3986</v>
      </c>
      <c r="BB209" t="s">
        <v>3987</v>
      </c>
    </row>
    <row r="210" spans="13:54" x14ac:dyDescent="0.25">
      <c r="M210" t="s">
        <v>891</v>
      </c>
      <c r="N210" t="s">
        <v>1124</v>
      </c>
      <c r="S210" s="5"/>
      <c r="AE210" t="s">
        <v>2015</v>
      </c>
      <c r="AF210" t="s">
        <v>2016</v>
      </c>
      <c r="AW210" t="s">
        <v>3222</v>
      </c>
      <c r="AX210" t="s">
        <v>3520</v>
      </c>
      <c r="BA210" t="s">
        <v>3988</v>
      </c>
      <c r="BB210" t="s">
        <v>3989</v>
      </c>
    </row>
    <row r="211" spans="13:54" x14ac:dyDescent="0.25">
      <c r="M211" t="s">
        <v>892</v>
      </c>
      <c r="N211" t="s">
        <v>1125</v>
      </c>
      <c r="S211" s="5"/>
      <c r="AE211" t="s">
        <v>2017</v>
      </c>
      <c r="AF211" t="s">
        <v>2018</v>
      </c>
      <c r="AW211" t="s">
        <v>3223</v>
      </c>
      <c r="AX211" t="s">
        <v>3521</v>
      </c>
      <c r="BA211" t="s">
        <v>3990</v>
      </c>
      <c r="BB211" t="s">
        <v>3991</v>
      </c>
    </row>
    <row r="212" spans="13:54" x14ac:dyDescent="0.25">
      <c r="M212" t="s">
        <v>893</v>
      </c>
      <c r="N212" t="s">
        <v>1126</v>
      </c>
      <c r="S212" s="5"/>
      <c r="AE212" t="s">
        <v>2019</v>
      </c>
      <c r="AF212" t="s">
        <v>2020</v>
      </c>
      <c r="AW212" t="s">
        <v>3224</v>
      </c>
      <c r="AX212" t="s">
        <v>3522</v>
      </c>
      <c r="BA212" t="s">
        <v>3992</v>
      </c>
      <c r="BB212" t="s">
        <v>3993</v>
      </c>
    </row>
    <row r="213" spans="13:54" x14ac:dyDescent="0.25">
      <c r="M213" t="s">
        <v>894</v>
      </c>
      <c r="N213" t="s">
        <v>1127</v>
      </c>
      <c r="S213" s="5"/>
      <c r="AE213" t="s">
        <v>2021</v>
      </c>
      <c r="AF213" t="s">
        <v>2022</v>
      </c>
      <c r="AW213" t="s">
        <v>3225</v>
      </c>
      <c r="AX213" t="s">
        <v>3523</v>
      </c>
      <c r="BA213" t="s">
        <v>3994</v>
      </c>
      <c r="BB213" t="s">
        <v>3995</v>
      </c>
    </row>
    <row r="214" spans="13:54" x14ac:dyDescent="0.25">
      <c r="M214" t="s">
        <v>895</v>
      </c>
      <c r="N214" t="s">
        <v>1128</v>
      </c>
      <c r="S214" s="5"/>
      <c r="AE214" t="s">
        <v>2023</v>
      </c>
      <c r="AF214" t="s">
        <v>2024</v>
      </c>
      <c r="AW214" t="s">
        <v>3226</v>
      </c>
      <c r="AX214" t="s">
        <v>3524</v>
      </c>
      <c r="BA214" t="s">
        <v>3996</v>
      </c>
      <c r="BB214" t="s">
        <v>3997</v>
      </c>
    </row>
    <row r="215" spans="13:54" x14ac:dyDescent="0.25">
      <c r="M215" t="s">
        <v>896</v>
      </c>
      <c r="N215" t="s">
        <v>1129</v>
      </c>
      <c r="S215" s="5"/>
      <c r="AE215" t="s">
        <v>2025</v>
      </c>
      <c r="AF215" t="s">
        <v>2026</v>
      </c>
      <c r="AW215" t="s">
        <v>3227</v>
      </c>
      <c r="AX215" t="s">
        <v>3525</v>
      </c>
      <c r="BA215" t="s">
        <v>3998</v>
      </c>
      <c r="BB215" t="s">
        <v>3999</v>
      </c>
    </row>
    <row r="216" spans="13:54" x14ac:dyDescent="0.25">
      <c r="M216" t="s">
        <v>897</v>
      </c>
      <c r="N216" t="s">
        <v>1130</v>
      </c>
      <c r="S216" s="5"/>
      <c r="AE216" t="s">
        <v>2027</v>
      </c>
      <c r="AF216" t="s">
        <v>2028</v>
      </c>
      <c r="AW216" t="s">
        <v>3228</v>
      </c>
      <c r="AX216" t="s">
        <v>3526</v>
      </c>
      <c r="BA216" t="s">
        <v>4000</v>
      </c>
      <c r="BB216" t="s">
        <v>4001</v>
      </c>
    </row>
    <row r="217" spans="13:54" x14ac:dyDescent="0.25">
      <c r="M217" t="s">
        <v>898</v>
      </c>
      <c r="N217" t="s">
        <v>1131</v>
      </c>
      <c r="S217" s="5"/>
      <c r="AE217" t="s">
        <v>2029</v>
      </c>
      <c r="AF217" t="s">
        <v>2030</v>
      </c>
      <c r="AW217" t="s">
        <v>3229</v>
      </c>
      <c r="AX217" t="s">
        <v>3527</v>
      </c>
      <c r="BA217" t="s">
        <v>4002</v>
      </c>
      <c r="BB217" t="s">
        <v>4003</v>
      </c>
    </row>
    <row r="218" spans="13:54" x14ac:dyDescent="0.25">
      <c r="M218" t="s">
        <v>899</v>
      </c>
      <c r="N218" t="s">
        <v>1132</v>
      </c>
      <c r="S218" s="5"/>
      <c r="AE218" t="s">
        <v>2031</v>
      </c>
      <c r="AF218" t="s">
        <v>2032</v>
      </c>
      <c r="AW218" t="s">
        <v>3230</v>
      </c>
      <c r="AX218" t="s">
        <v>3528</v>
      </c>
      <c r="BA218" t="s">
        <v>4004</v>
      </c>
      <c r="BB218" t="s">
        <v>4005</v>
      </c>
    </row>
    <row r="219" spans="13:54" x14ac:dyDescent="0.25">
      <c r="M219" t="s">
        <v>900</v>
      </c>
      <c r="N219" t="s">
        <v>1133</v>
      </c>
      <c r="S219" s="5"/>
      <c r="AE219" t="s">
        <v>2033</v>
      </c>
      <c r="AF219" t="s">
        <v>2034</v>
      </c>
      <c r="AW219" t="s">
        <v>3231</v>
      </c>
      <c r="AX219" t="s">
        <v>3529</v>
      </c>
      <c r="BA219" t="s">
        <v>4006</v>
      </c>
      <c r="BB219" t="s">
        <v>4007</v>
      </c>
    </row>
    <row r="220" spans="13:54" x14ac:dyDescent="0.25">
      <c r="M220" t="s">
        <v>901</v>
      </c>
      <c r="N220" t="s">
        <v>1134</v>
      </c>
      <c r="S220" s="5"/>
      <c r="AE220" t="s">
        <v>2035</v>
      </c>
      <c r="AF220" t="s">
        <v>2036</v>
      </c>
      <c r="AW220" t="s">
        <v>3232</v>
      </c>
      <c r="AX220" t="s">
        <v>3530</v>
      </c>
      <c r="BA220" t="s">
        <v>4008</v>
      </c>
      <c r="BB220" t="s">
        <v>4009</v>
      </c>
    </row>
    <row r="221" spans="13:54" x14ac:dyDescent="0.25">
      <c r="M221" t="s">
        <v>902</v>
      </c>
      <c r="N221" t="s">
        <v>1135</v>
      </c>
      <c r="S221" s="5"/>
      <c r="AE221" t="s">
        <v>2037</v>
      </c>
      <c r="AF221" t="s">
        <v>2038</v>
      </c>
      <c r="AW221" t="s">
        <v>3233</v>
      </c>
      <c r="AX221" t="s">
        <v>3531</v>
      </c>
      <c r="BA221" t="s">
        <v>4010</v>
      </c>
      <c r="BB221" t="s">
        <v>4011</v>
      </c>
    </row>
    <row r="222" spans="13:54" x14ac:dyDescent="0.25">
      <c r="M222" t="s">
        <v>903</v>
      </c>
      <c r="N222" t="s">
        <v>1136</v>
      </c>
      <c r="S222" s="5"/>
      <c r="AE222" t="s">
        <v>2039</v>
      </c>
      <c r="AF222" t="s">
        <v>2040</v>
      </c>
      <c r="AW222" t="s">
        <v>3234</v>
      </c>
      <c r="AX222" t="s">
        <v>3532</v>
      </c>
      <c r="BA222" t="s">
        <v>4012</v>
      </c>
      <c r="BB222" t="s">
        <v>4013</v>
      </c>
    </row>
    <row r="223" spans="13:54" x14ac:dyDescent="0.25">
      <c r="M223" t="s">
        <v>904</v>
      </c>
      <c r="N223" t="s">
        <v>1137</v>
      </c>
      <c r="S223" s="5"/>
      <c r="AE223" t="s">
        <v>2041</v>
      </c>
      <c r="AF223" t="s">
        <v>2042</v>
      </c>
      <c r="AW223" t="s">
        <v>3235</v>
      </c>
      <c r="AX223" t="s">
        <v>3533</v>
      </c>
      <c r="BA223" t="s">
        <v>4014</v>
      </c>
      <c r="BB223" t="s">
        <v>4015</v>
      </c>
    </row>
    <row r="224" spans="13:54" x14ac:dyDescent="0.25">
      <c r="M224" t="s">
        <v>905</v>
      </c>
      <c r="N224" t="s">
        <v>1138</v>
      </c>
      <c r="S224" s="5"/>
      <c r="AE224" t="s">
        <v>2043</v>
      </c>
      <c r="AF224" t="s">
        <v>2044</v>
      </c>
      <c r="AW224" t="s">
        <v>3236</v>
      </c>
      <c r="AX224" t="s">
        <v>3534</v>
      </c>
      <c r="BA224" t="s">
        <v>4016</v>
      </c>
      <c r="BB224" t="s">
        <v>4017</v>
      </c>
    </row>
    <row r="225" spans="13:54" x14ac:dyDescent="0.25">
      <c r="M225" t="s">
        <v>906</v>
      </c>
      <c r="N225" t="s">
        <v>1139</v>
      </c>
      <c r="S225" s="5"/>
      <c r="AE225" t="s">
        <v>2045</v>
      </c>
      <c r="AF225" t="s">
        <v>2046</v>
      </c>
      <c r="AW225" t="s">
        <v>3237</v>
      </c>
      <c r="AX225" t="s">
        <v>3535</v>
      </c>
      <c r="BA225" t="s">
        <v>4018</v>
      </c>
      <c r="BB225" t="s">
        <v>4019</v>
      </c>
    </row>
    <row r="226" spans="13:54" x14ac:dyDescent="0.25">
      <c r="M226" t="s">
        <v>907</v>
      </c>
      <c r="N226" t="s">
        <v>1140</v>
      </c>
      <c r="S226" s="5"/>
      <c r="AE226" t="s">
        <v>2047</v>
      </c>
      <c r="AF226" t="s">
        <v>2048</v>
      </c>
      <c r="AW226" t="s">
        <v>3238</v>
      </c>
      <c r="AX226" t="s">
        <v>3536</v>
      </c>
      <c r="BA226" t="s">
        <v>4020</v>
      </c>
      <c r="BB226" t="s">
        <v>4021</v>
      </c>
    </row>
    <row r="227" spans="13:54" x14ac:dyDescent="0.25">
      <c r="M227" t="s">
        <v>908</v>
      </c>
      <c r="N227" t="s">
        <v>1141</v>
      </c>
      <c r="S227" s="5"/>
      <c r="AE227" t="s">
        <v>2049</v>
      </c>
      <c r="AF227" t="s">
        <v>2050</v>
      </c>
      <c r="AW227" t="s">
        <v>3239</v>
      </c>
      <c r="AX227" t="s">
        <v>3537</v>
      </c>
      <c r="BA227" t="s">
        <v>4022</v>
      </c>
      <c r="BB227" t="s">
        <v>4023</v>
      </c>
    </row>
    <row r="228" spans="13:54" x14ac:dyDescent="0.25">
      <c r="M228" t="s">
        <v>909</v>
      </c>
      <c r="N228" t="s">
        <v>1142</v>
      </c>
      <c r="S228" s="5"/>
      <c r="AE228" t="s">
        <v>2051</v>
      </c>
      <c r="AF228" t="s">
        <v>2052</v>
      </c>
      <c r="AW228" t="s">
        <v>3240</v>
      </c>
      <c r="AX228" t="s">
        <v>3538</v>
      </c>
      <c r="BA228" t="s">
        <v>4024</v>
      </c>
      <c r="BB228" t="s">
        <v>4025</v>
      </c>
    </row>
    <row r="229" spans="13:54" x14ac:dyDescent="0.25">
      <c r="M229" t="s">
        <v>910</v>
      </c>
      <c r="N229" t="s">
        <v>1143</v>
      </c>
      <c r="S229" s="5"/>
      <c r="AE229" t="s">
        <v>2053</v>
      </c>
      <c r="AF229" t="s">
        <v>2054</v>
      </c>
      <c r="AW229" t="s">
        <v>3241</v>
      </c>
      <c r="AX229" t="s">
        <v>3539</v>
      </c>
      <c r="BA229" t="s">
        <v>4026</v>
      </c>
      <c r="BB229" t="s">
        <v>4027</v>
      </c>
    </row>
    <row r="230" spans="13:54" x14ac:dyDescent="0.25">
      <c r="M230" t="s">
        <v>911</v>
      </c>
      <c r="N230" t="s">
        <v>1144</v>
      </c>
      <c r="S230" s="5"/>
      <c r="AE230" t="s">
        <v>2055</v>
      </c>
      <c r="AF230" t="s">
        <v>2056</v>
      </c>
      <c r="AW230" t="s">
        <v>3242</v>
      </c>
      <c r="AX230" t="s">
        <v>3540</v>
      </c>
      <c r="BA230" t="s">
        <v>4028</v>
      </c>
      <c r="BB230" t="s">
        <v>4029</v>
      </c>
    </row>
    <row r="231" spans="13:54" x14ac:dyDescent="0.25">
      <c r="M231" t="s">
        <v>912</v>
      </c>
      <c r="N231" t="s">
        <v>1145</v>
      </c>
      <c r="S231" s="5"/>
      <c r="AE231" t="s">
        <v>2057</v>
      </c>
      <c r="AF231" t="s">
        <v>2058</v>
      </c>
      <c r="AW231" t="s">
        <v>3243</v>
      </c>
      <c r="AX231" t="s">
        <v>3541</v>
      </c>
      <c r="BA231" t="s">
        <v>4030</v>
      </c>
      <c r="BB231" t="s">
        <v>4031</v>
      </c>
    </row>
    <row r="232" spans="13:54" x14ac:dyDescent="0.25">
      <c r="M232" t="s">
        <v>913</v>
      </c>
      <c r="N232" t="s">
        <v>1146</v>
      </c>
      <c r="S232" s="5"/>
      <c r="AE232" t="s">
        <v>2059</v>
      </c>
      <c r="AF232" t="s">
        <v>2060</v>
      </c>
      <c r="AW232" t="s">
        <v>3244</v>
      </c>
      <c r="AX232" t="s">
        <v>3542</v>
      </c>
      <c r="BA232" t="s">
        <v>4032</v>
      </c>
      <c r="BB232" t="s">
        <v>4033</v>
      </c>
    </row>
    <row r="233" spans="13:54" x14ac:dyDescent="0.25">
      <c r="M233" t="s">
        <v>914</v>
      </c>
      <c r="N233" t="s">
        <v>1147</v>
      </c>
      <c r="S233" s="5"/>
      <c r="AE233" t="s">
        <v>2061</v>
      </c>
      <c r="AF233" t="s">
        <v>2062</v>
      </c>
      <c r="AW233" t="s">
        <v>3245</v>
      </c>
      <c r="AX233" t="s">
        <v>3543</v>
      </c>
      <c r="BA233" t="s">
        <v>4034</v>
      </c>
      <c r="BB233" t="s">
        <v>4035</v>
      </c>
    </row>
    <row r="234" spans="13:54" x14ac:dyDescent="0.25">
      <c r="M234" t="s">
        <v>915</v>
      </c>
      <c r="N234" t="s">
        <v>1148</v>
      </c>
      <c r="S234" s="5"/>
      <c r="AE234" t="s">
        <v>2063</v>
      </c>
      <c r="AF234" t="s">
        <v>2064</v>
      </c>
      <c r="AW234" t="s">
        <v>3246</v>
      </c>
      <c r="AX234" t="s">
        <v>3544</v>
      </c>
      <c r="BA234" t="s">
        <v>4036</v>
      </c>
      <c r="BB234" t="s">
        <v>4037</v>
      </c>
    </row>
    <row r="235" spans="13:54" x14ac:dyDescent="0.25">
      <c r="M235" t="s">
        <v>916</v>
      </c>
      <c r="N235" t="s">
        <v>1149</v>
      </c>
      <c r="S235" s="5"/>
      <c r="AE235" t="s">
        <v>2065</v>
      </c>
      <c r="AF235" t="s">
        <v>2066</v>
      </c>
      <c r="AW235" t="s">
        <v>3247</v>
      </c>
      <c r="AX235" t="s">
        <v>3545</v>
      </c>
      <c r="BA235" t="s">
        <v>4038</v>
      </c>
      <c r="BB235" t="s">
        <v>4039</v>
      </c>
    </row>
    <row r="236" spans="13:54" x14ac:dyDescent="0.25">
      <c r="M236" t="s">
        <v>917</v>
      </c>
      <c r="N236" t="s">
        <v>1150</v>
      </c>
      <c r="S236" s="5"/>
      <c r="AE236" t="s">
        <v>2067</v>
      </c>
      <c r="AF236" t="s">
        <v>2068</v>
      </c>
      <c r="AW236" t="s">
        <v>3248</v>
      </c>
      <c r="AX236" t="s">
        <v>3546</v>
      </c>
      <c r="BA236" t="s">
        <v>4040</v>
      </c>
      <c r="BB236" t="s">
        <v>4041</v>
      </c>
    </row>
    <row r="237" spans="13:54" x14ac:dyDescent="0.25">
      <c r="M237" t="s">
        <v>918</v>
      </c>
      <c r="N237" t="s">
        <v>1151</v>
      </c>
      <c r="S237" s="5"/>
      <c r="AE237" t="s">
        <v>2069</v>
      </c>
      <c r="AF237" t="s">
        <v>2070</v>
      </c>
      <c r="AW237" t="s">
        <v>3250</v>
      </c>
      <c r="AX237" t="s">
        <v>3249</v>
      </c>
      <c r="BA237" t="s">
        <v>4042</v>
      </c>
      <c r="BB237" t="s">
        <v>4043</v>
      </c>
    </row>
    <row r="238" spans="13:54" x14ac:dyDescent="0.25">
      <c r="M238" t="s">
        <v>919</v>
      </c>
      <c r="N238" t="s">
        <v>1152</v>
      </c>
      <c r="S238" s="5"/>
      <c r="AE238" t="s">
        <v>2071</v>
      </c>
      <c r="AF238" t="s">
        <v>2072</v>
      </c>
      <c r="AW238" t="s">
        <v>3547</v>
      </c>
      <c r="AX238" t="s">
        <v>3548</v>
      </c>
      <c r="BA238" t="s">
        <v>4044</v>
      </c>
      <c r="BB238" t="s">
        <v>4045</v>
      </c>
    </row>
    <row r="239" spans="13:54" x14ac:dyDescent="0.25">
      <c r="M239" t="s">
        <v>920</v>
      </c>
      <c r="N239" t="s">
        <v>1153</v>
      </c>
      <c r="S239" s="5"/>
      <c r="AE239" t="s">
        <v>2073</v>
      </c>
      <c r="AF239" t="s">
        <v>2074</v>
      </c>
      <c r="AW239" t="s">
        <v>604</v>
      </c>
      <c r="AX239" t="s">
        <v>3549</v>
      </c>
      <c r="BA239" t="s">
        <v>4046</v>
      </c>
      <c r="BB239" t="s">
        <v>4047</v>
      </c>
    </row>
    <row r="240" spans="13:54" x14ac:dyDescent="0.25">
      <c r="M240" t="s">
        <v>921</v>
      </c>
      <c r="N240" t="s">
        <v>1154</v>
      </c>
      <c r="S240" s="5"/>
      <c r="AE240" t="s">
        <v>2075</v>
      </c>
      <c r="AF240" t="s">
        <v>2076</v>
      </c>
      <c r="AW240" t="s">
        <v>3252</v>
      </c>
      <c r="AX240" t="s">
        <v>3251</v>
      </c>
      <c r="BA240" t="s">
        <v>4048</v>
      </c>
      <c r="BB240" t="s">
        <v>4049</v>
      </c>
    </row>
    <row r="241" spans="13:54" x14ac:dyDescent="0.25">
      <c r="M241" t="s">
        <v>922</v>
      </c>
      <c r="N241" t="s">
        <v>1155</v>
      </c>
      <c r="S241" s="5"/>
      <c r="AE241" t="s">
        <v>2077</v>
      </c>
      <c r="AF241" t="s">
        <v>2078</v>
      </c>
      <c r="AW241" t="s">
        <v>3254</v>
      </c>
      <c r="AX241" t="s">
        <v>3253</v>
      </c>
      <c r="BA241" t="s">
        <v>4050</v>
      </c>
      <c r="BB241" t="s">
        <v>4051</v>
      </c>
    </row>
    <row r="242" spans="13:54" x14ac:dyDescent="0.25">
      <c r="M242" t="s">
        <v>923</v>
      </c>
      <c r="N242" t="s">
        <v>1156</v>
      </c>
      <c r="S242" s="5"/>
      <c r="AE242" t="s">
        <v>2079</v>
      </c>
      <c r="AF242" t="s">
        <v>2080</v>
      </c>
      <c r="AW242" t="s">
        <v>3255</v>
      </c>
      <c r="AX242" t="s">
        <v>3255</v>
      </c>
      <c r="BA242" t="s">
        <v>4052</v>
      </c>
      <c r="BB242" t="s">
        <v>4053</v>
      </c>
    </row>
    <row r="243" spans="13:54" x14ac:dyDescent="0.25">
      <c r="M243" t="s">
        <v>924</v>
      </c>
      <c r="N243" t="s">
        <v>1157</v>
      </c>
      <c r="S243" s="5"/>
      <c r="AE243" t="s">
        <v>2081</v>
      </c>
      <c r="AF243" t="s">
        <v>2082</v>
      </c>
      <c r="AW243" t="s">
        <v>3257</v>
      </c>
      <c r="AX243" t="s">
        <v>3256</v>
      </c>
    </row>
    <row r="244" spans="13:54" x14ac:dyDescent="0.25">
      <c r="M244" t="s">
        <v>925</v>
      </c>
      <c r="N244" t="s">
        <v>1158</v>
      </c>
      <c r="S244" s="5"/>
      <c r="AE244" t="s">
        <v>2083</v>
      </c>
      <c r="AF244" t="s">
        <v>2084</v>
      </c>
      <c r="AW244" t="s">
        <v>3259</v>
      </c>
      <c r="AX244" t="s">
        <v>3258</v>
      </c>
    </row>
    <row r="245" spans="13:54" x14ac:dyDescent="0.25">
      <c r="M245" t="s">
        <v>926</v>
      </c>
      <c r="N245" t="s">
        <v>1159</v>
      </c>
      <c r="S245" s="5"/>
      <c r="AE245" t="s">
        <v>2085</v>
      </c>
      <c r="AF245" t="s">
        <v>2086</v>
      </c>
      <c r="AW245" t="s">
        <v>478</v>
      </c>
      <c r="AX245" t="s">
        <v>1002</v>
      </c>
    </row>
    <row r="246" spans="13:54" x14ac:dyDescent="0.25">
      <c r="M246" t="s">
        <v>927</v>
      </c>
      <c r="N246" t="s">
        <v>1160</v>
      </c>
      <c r="S246" s="5"/>
      <c r="AE246" t="s">
        <v>2087</v>
      </c>
      <c r="AF246" t="s">
        <v>2088</v>
      </c>
      <c r="AW246" t="s">
        <v>3260</v>
      </c>
      <c r="AX246" t="s">
        <v>3550</v>
      </c>
    </row>
    <row r="247" spans="13:54" x14ac:dyDescent="0.25">
      <c r="M247" t="s">
        <v>928</v>
      </c>
      <c r="N247" t="s">
        <v>1161</v>
      </c>
      <c r="S247" s="5"/>
      <c r="AE247" t="s">
        <v>2089</v>
      </c>
      <c r="AF247" t="s">
        <v>2090</v>
      </c>
      <c r="AW247" t="s">
        <v>3261</v>
      </c>
      <c r="AX247" t="s">
        <v>3551</v>
      </c>
    </row>
    <row r="248" spans="13:54" x14ac:dyDescent="0.25">
      <c r="M248" t="s">
        <v>929</v>
      </c>
      <c r="N248" t="s">
        <v>1162</v>
      </c>
      <c r="S248" s="5"/>
      <c r="AE248" t="s">
        <v>2091</v>
      </c>
      <c r="AF248" t="s">
        <v>2092</v>
      </c>
      <c r="AW248" t="s">
        <v>3250</v>
      </c>
      <c r="AX248" t="s">
        <v>3262</v>
      </c>
    </row>
    <row r="249" spans="13:54" x14ac:dyDescent="0.25">
      <c r="M249" t="s">
        <v>930</v>
      </c>
      <c r="N249" t="s">
        <v>1163</v>
      </c>
      <c r="S249" s="5"/>
      <c r="AE249" t="s">
        <v>2093</v>
      </c>
      <c r="AF249" t="s">
        <v>2094</v>
      </c>
      <c r="AW249" t="s">
        <v>3264</v>
      </c>
      <c r="AX249" t="s">
        <v>3263</v>
      </c>
    </row>
    <row r="250" spans="13:54" x14ac:dyDescent="0.25">
      <c r="M250" t="s">
        <v>931</v>
      </c>
      <c r="N250" t="s">
        <v>1164</v>
      </c>
      <c r="S250" s="5"/>
      <c r="AE250" t="s">
        <v>2095</v>
      </c>
      <c r="AF250" t="s">
        <v>2096</v>
      </c>
      <c r="AW250" t="s">
        <v>3266</v>
      </c>
      <c r="AX250" t="s">
        <v>3265</v>
      </c>
    </row>
    <row r="251" spans="13:54" x14ac:dyDescent="0.25">
      <c r="M251" t="s">
        <v>932</v>
      </c>
      <c r="N251" t="s">
        <v>1165</v>
      </c>
      <c r="S251" s="5"/>
      <c r="AE251" t="s">
        <v>2097</v>
      </c>
      <c r="AF251" t="s">
        <v>2098</v>
      </c>
      <c r="AW251" t="s">
        <v>3267</v>
      </c>
      <c r="AX251" t="s">
        <v>3552</v>
      </c>
    </row>
    <row r="252" spans="13:54" x14ac:dyDescent="0.25">
      <c r="M252" t="s">
        <v>933</v>
      </c>
      <c r="N252" t="s">
        <v>1166</v>
      </c>
      <c r="S252" s="5"/>
      <c r="AE252" t="s">
        <v>2099</v>
      </c>
      <c r="AF252" t="s">
        <v>2100</v>
      </c>
      <c r="AW252" t="s">
        <v>3269</v>
      </c>
      <c r="AX252" t="s">
        <v>3268</v>
      </c>
    </row>
    <row r="253" spans="13:54" x14ac:dyDescent="0.25">
      <c r="M253" t="s">
        <v>934</v>
      </c>
      <c r="N253" t="s">
        <v>1167</v>
      </c>
      <c r="S253" s="5"/>
      <c r="AE253" t="s">
        <v>2101</v>
      </c>
      <c r="AF253" t="s">
        <v>2102</v>
      </c>
      <c r="AW253" t="s">
        <v>3271</v>
      </c>
      <c r="AX253" t="s">
        <v>3270</v>
      </c>
    </row>
    <row r="254" spans="13:54" x14ac:dyDescent="0.25">
      <c r="M254" t="s">
        <v>935</v>
      </c>
      <c r="N254" t="s">
        <v>1168</v>
      </c>
      <c r="S254" s="5"/>
      <c r="AE254" t="s">
        <v>2103</v>
      </c>
      <c r="AF254" t="s">
        <v>2104</v>
      </c>
      <c r="AW254" t="s">
        <v>3272</v>
      </c>
      <c r="AX254" t="s">
        <v>3553</v>
      </c>
    </row>
    <row r="255" spans="13:54" x14ac:dyDescent="0.25">
      <c r="M255" t="s">
        <v>936</v>
      </c>
      <c r="N255" t="s">
        <v>1169</v>
      </c>
      <c r="S255" s="5"/>
      <c r="AE255" t="s">
        <v>2105</v>
      </c>
      <c r="AF255" t="s">
        <v>2106</v>
      </c>
      <c r="AW255" t="s">
        <v>3274</v>
      </c>
      <c r="AX255" t="s">
        <v>3273</v>
      </c>
    </row>
    <row r="256" spans="13:54" x14ac:dyDescent="0.25">
      <c r="M256" t="s">
        <v>937</v>
      </c>
      <c r="N256" t="s">
        <v>1170</v>
      </c>
      <c r="S256" s="5"/>
      <c r="AE256" t="s">
        <v>2107</v>
      </c>
      <c r="AF256" t="s">
        <v>2108</v>
      </c>
      <c r="AW256" t="s">
        <v>3276</v>
      </c>
      <c r="AX256" t="s">
        <v>3275</v>
      </c>
    </row>
    <row r="257" spans="13:50" x14ac:dyDescent="0.25">
      <c r="M257" t="s">
        <v>938</v>
      </c>
      <c r="N257" t="s">
        <v>1171</v>
      </c>
      <c r="S257" s="5"/>
      <c r="AE257" t="s">
        <v>2109</v>
      </c>
      <c r="AF257" t="s">
        <v>2110</v>
      </c>
      <c r="AW257" t="s">
        <v>3278</v>
      </c>
      <c r="AX257" t="s">
        <v>3277</v>
      </c>
    </row>
    <row r="258" spans="13:50" x14ac:dyDescent="0.25">
      <c r="M258" t="s">
        <v>939</v>
      </c>
      <c r="N258" t="s">
        <v>1172</v>
      </c>
      <c r="S258" s="5"/>
      <c r="AE258" t="s">
        <v>2111</v>
      </c>
      <c r="AF258" t="s">
        <v>2112</v>
      </c>
      <c r="AW258" t="s">
        <v>3280</v>
      </c>
      <c r="AX258" t="s">
        <v>3279</v>
      </c>
    </row>
    <row r="259" spans="13:50" x14ac:dyDescent="0.25">
      <c r="M259" t="s">
        <v>940</v>
      </c>
      <c r="N259" t="s">
        <v>1173</v>
      </c>
      <c r="S259" s="5"/>
      <c r="AE259" t="s">
        <v>2113</v>
      </c>
      <c r="AF259" t="s">
        <v>2114</v>
      </c>
      <c r="AW259" t="s">
        <v>3282</v>
      </c>
      <c r="AX259" t="s">
        <v>3281</v>
      </c>
    </row>
    <row r="260" spans="13:50" x14ac:dyDescent="0.25">
      <c r="M260" t="s">
        <v>941</v>
      </c>
      <c r="N260" t="s">
        <v>1174</v>
      </c>
      <c r="S260" s="5"/>
      <c r="AE260" t="s">
        <v>2115</v>
      </c>
      <c r="AF260" t="s">
        <v>2116</v>
      </c>
      <c r="AW260" t="s">
        <v>3287</v>
      </c>
      <c r="AX260" t="s">
        <v>3287</v>
      </c>
    </row>
    <row r="261" spans="13:50" x14ac:dyDescent="0.25">
      <c r="M261" t="s">
        <v>942</v>
      </c>
      <c r="N261" t="s">
        <v>1175</v>
      </c>
      <c r="S261" s="5"/>
      <c r="AE261" t="s">
        <v>2117</v>
      </c>
      <c r="AF261" t="s">
        <v>2118</v>
      </c>
      <c r="AW261" t="s">
        <v>3287</v>
      </c>
      <c r="AX261" t="s">
        <v>3554</v>
      </c>
    </row>
    <row r="262" spans="13:50" x14ac:dyDescent="0.25">
      <c r="M262" t="s">
        <v>943</v>
      </c>
      <c r="N262" t="s">
        <v>1176</v>
      </c>
      <c r="S262" s="5"/>
      <c r="AE262" t="s">
        <v>2119</v>
      </c>
      <c r="AF262" t="s">
        <v>2120</v>
      </c>
      <c r="AW262" t="s">
        <v>3289</v>
      </c>
      <c r="AX262" t="s">
        <v>3289</v>
      </c>
    </row>
    <row r="263" spans="13:50" x14ac:dyDescent="0.25">
      <c r="M263" t="s">
        <v>944</v>
      </c>
      <c r="N263" t="s">
        <v>1177</v>
      </c>
      <c r="S263" s="5"/>
      <c r="AE263" t="s">
        <v>2121</v>
      </c>
      <c r="AF263" t="s">
        <v>2122</v>
      </c>
      <c r="AW263" t="s">
        <v>3289</v>
      </c>
      <c r="AX263" t="s">
        <v>4078</v>
      </c>
    </row>
    <row r="264" spans="13:50" x14ac:dyDescent="0.25">
      <c r="M264" t="s">
        <v>945</v>
      </c>
      <c r="N264" t="s">
        <v>1178</v>
      </c>
      <c r="S264" s="5"/>
      <c r="AE264" t="s">
        <v>2123</v>
      </c>
      <c r="AF264" t="s">
        <v>2124</v>
      </c>
      <c r="AW264" t="s">
        <v>4079</v>
      </c>
      <c r="AX264" t="s">
        <v>4080</v>
      </c>
    </row>
    <row r="265" spans="13:50" x14ac:dyDescent="0.25">
      <c r="M265" t="s">
        <v>946</v>
      </c>
      <c r="N265" t="s">
        <v>1179</v>
      </c>
      <c r="S265" s="5"/>
      <c r="AE265" t="s">
        <v>2125</v>
      </c>
      <c r="AF265" t="s">
        <v>2126</v>
      </c>
      <c r="AW265" t="s">
        <v>4081</v>
      </c>
      <c r="AX265" t="s">
        <v>4082</v>
      </c>
    </row>
    <row r="266" spans="13:50" x14ac:dyDescent="0.25">
      <c r="M266" t="s">
        <v>947</v>
      </c>
      <c r="N266" t="s">
        <v>1180</v>
      </c>
      <c r="S266" s="5"/>
      <c r="AE266" t="s">
        <v>2127</v>
      </c>
      <c r="AF266" t="s">
        <v>2128</v>
      </c>
    </row>
    <row r="267" spans="13:50" x14ac:dyDescent="0.25">
      <c r="M267" t="s">
        <v>948</v>
      </c>
      <c r="N267" t="s">
        <v>1181</v>
      </c>
      <c r="S267" s="5"/>
      <c r="AE267" t="s">
        <v>2129</v>
      </c>
      <c r="AF267" t="s">
        <v>2130</v>
      </c>
    </row>
    <row r="268" spans="13:50" x14ac:dyDescent="0.25">
      <c r="M268" t="s">
        <v>949</v>
      </c>
      <c r="N268" t="s">
        <v>1182</v>
      </c>
      <c r="S268" s="5"/>
      <c r="AE268" t="s">
        <v>2131</v>
      </c>
      <c r="AF268" t="s">
        <v>2132</v>
      </c>
    </row>
    <row r="269" spans="13:50" x14ac:dyDescent="0.25">
      <c r="M269" t="s">
        <v>950</v>
      </c>
      <c r="N269" t="s">
        <v>1183</v>
      </c>
      <c r="S269" s="5"/>
      <c r="AE269" t="s">
        <v>2133</v>
      </c>
      <c r="AF269" t="s">
        <v>2134</v>
      </c>
    </row>
    <row r="270" spans="13:50" x14ac:dyDescent="0.25">
      <c r="M270" t="s">
        <v>951</v>
      </c>
      <c r="N270" t="s">
        <v>1184</v>
      </c>
      <c r="S270" s="5"/>
      <c r="AE270" t="s">
        <v>2135</v>
      </c>
      <c r="AF270" t="s">
        <v>2136</v>
      </c>
    </row>
    <row r="271" spans="13:50" x14ac:dyDescent="0.25">
      <c r="M271" t="s">
        <v>952</v>
      </c>
      <c r="N271" t="s">
        <v>1185</v>
      </c>
      <c r="S271" s="5"/>
      <c r="AE271" t="s">
        <v>2137</v>
      </c>
      <c r="AF271" t="s">
        <v>2138</v>
      </c>
    </row>
    <row r="272" spans="13:50" x14ac:dyDescent="0.25">
      <c r="M272" t="s">
        <v>953</v>
      </c>
      <c r="N272" t="s">
        <v>1186</v>
      </c>
      <c r="S272" s="5"/>
      <c r="AE272" t="s">
        <v>2139</v>
      </c>
      <c r="AF272" t="s">
        <v>2140</v>
      </c>
    </row>
    <row r="273" spans="13:32" x14ac:dyDescent="0.25">
      <c r="M273" t="s">
        <v>954</v>
      </c>
      <c r="N273" t="s">
        <v>1187</v>
      </c>
      <c r="S273" s="5"/>
      <c r="AE273" t="s">
        <v>2141</v>
      </c>
      <c r="AF273" t="s">
        <v>2142</v>
      </c>
    </row>
    <row r="274" spans="13:32" x14ac:dyDescent="0.25">
      <c r="M274" t="s">
        <v>955</v>
      </c>
      <c r="N274" t="s">
        <v>1188</v>
      </c>
      <c r="S274" s="5"/>
      <c r="AE274" t="s">
        <v>2143</v>
      </c>
      <c r="AF274" t="s">
        <v>2144</v>
      </c>
    </row>
    <row r="275" spans="13:32" x14ac:dyDescent="0.25">
      <c r="M275" t="s">
        <v>956</v>
      </c>
      <c r="N275" t="s">
        <v>1189</v>
      </c>
      <c r="S275" s="5"/>
      <c r="AE275" t="s">
        <v>2145</v>
      </c>
      <c r="AF275" t="s">
        <v>2146</v>
      </c>
    </row>
    <row r="276" spans="13:32" x14ac:dyDescent="0.25">
      <c r="M276" t="s">
        <v>957</v>
      </c>
      <c r="N276" t="s">
        <v>1190</v>
      </c>
      <c r="S276" s="5"/>
      <c r="AE276" t="s">
        <v>2147</v>
      </c>
      <c r="AF276" t="s">
        <v>2148</v>
      </c>
    </row>
    <row r="277" spans="13:32" x14ac:dyDescent="0.25">
      <c r="M277" t="s">
        <v>958</v>
      </c>
      <c r="N277" t="s">
        <v>1191</v>
      </c>
      <c r="S277" s="5"/>
      <c r="AE277" t="s">
        <v>2149</v>
      </c>
      <c r="AF277" t="s">
        <v>2150</v>
      </c>
    </row>
    <row r="278" spans="13:32" x14ac:dyDescent="0.25">
      <c r="M278" t="s">
        <v>959</v>
      </c>
      <c r="N278" t="s">
        <v>1192</v>
      </c>
      <c r="S278" s="5"/>
      <c r="AE278" t="s">
        <v>2151</v>
      </c>
      <c r="AF278" t="s">
        <v>2152</v>
      </c>
    </row>
    <row r="279" spans="13:32" x14ac:dyDescent="0.25">
      <c r="M279" t="s">
        <v>960</v>
      </c>
      <c r="N279" t="s">
        <v>1193</v>
      </c>
      <c r="S279" s="5"/>
      <c r="AE279" t="s">
        <v>2153</v>
      </c>
      <c r="AF279" t="s">
        <v>2154</v>
      </c>
    </row>
    <row r="280" spans="13:32" x14ac:dyDescent="0.25">
      <c r="M280" t="s">
        <v>961</v>
      </c>
      <c r="N280" t="s">
        <v>1194</v>
      </c>
      <c r="S280" s="5"/>
      <c r="AE280" t="s">
        <v>2155</v>
      </c>
      <c r="AF280" t="s">
        <v>2156</v>
      </c>
    </row>
    <row r="281" spans="13:32" x14ac:dyDescent="0.25">
      <c r="M281" t="s">
        <v>962</v>
      </c>
      <c r="N281" t="s">
        <v>1195</v>
      </c>
      <c r="S281" s="5"/>
      <c r="AE281" t="s">
        <v>2157</v>
      </c>
      <c r="AF281" t="s">
        <v>2158</v>
      </c>
    </row>
    <row r="282" spans="13:32" x14ac:dyDescent="0.25">
      <c r="M282" t="s">
        <v>963</v>
      </c>
      <c r="N282" t="s">
        <v>1196</v>
      </c>
      <c r="S282" s="5"/>
      <c r="AE282" t="s">
        <v>2159</v>
      </c>
      <c r="AF282" t="s">
        <v>2160</v>
      </c>
    </row>
    <row r="283" spans="13:32" x14ac:dyDescent="0.25">
      <c r="M283" t="s">
        <v>964</v>
      </c>
      <c r="N283" t="s">
        <v>1197</v>
      </c>
      <c r="S283" s="5"/>
      <c r="AE283" t="s">
        <v>2161</v>
      </c>
      <c r="AF283" t="s">
        <v>2162</v>
      </c>
    </row>
    <row r="284" spans="13:32" x14ac:dyDescent="0.25">
      <c r="M284" t="s">
        <v>965</v>
      </c>
      <c r="N284" t="s">
        <v>1198</v>
      </c>
      <c r="S284" s="5"/>
      <c r="AE284" t="s">
        <v>2163</v>
      </c>
      <c r="AF284" t="s">
        <v>2164</v>
      </c>
    </row>
    <row r="285" spans="13:32" x14ac:dyDescent="0.25">
      <c r="M285" t="s">
        <v>966</v>
      </c>
      <c r="N285" t="s">
        <v>1199</v>
      </c>
      <c r="S285" s="5"/>
      <c r="AE285" t="s">
        <v>2165</v>
      </c>
      <c r="AF285" t="s">
        <v>2166</v>
      </c>
    </row>
    <row r="286" spans="13:32" x14ac:dyDescent="0.25">
      <c r="M286" t="s">
        <v>967</v>
      </c>
      <c r="N286" t="s">
        <v>1200</v>
      </c>
      <c r="S286" s="5"/>
      <c r="AE286" t="s">
        <v>2167</v>
      </c>
      <c r="AF286" t="s">
        <v>2168</v>
      </c>
    </row>
    <row r="287" spans="13:32" x14ac:dyDescent="0.25">
      <c r="M287" t="s">
        <v>968</v>
      </c>
      <c r="N287" t="s">
        <v>1201</v>
      </c>
      <c r="S287" s="5"/>
      <c r="AE287" t="s">
        <v>2169</v>
      </c>
      <c r="AF287" t="s">
        <v>2170</v>
      </c>
    </row>
    <row r="288" spans="13:32" x14ac:dyDescent="0.25">
      <c r="M288" t="s">
        <v>969</v>
      </c>
      <c r="N288" t="s">
        <v>1202</v>
      </c>
      <c r="S288" s="5"/>
      <c r="AE288" t="s">
        <v>2171</v>
      </c>
      <c r="AF288" t="s">
        <v>2172</v>
      </c>
    </row>
    <row r="289" spans="13:32" x14ac:dyDescent="0.25">
      <c r="M289" t="s">
        <v>970</v>
      </c>
      <c r="N289" t="s">
        <v>1203</v>
      </c>
      <c r="S289" s="5"/>
      <c r="AE289" t="s">
        <v>2173</v>
      </c>
      <c r="AF289" t="s">
        <v>2174</v>
      </c>
    </row>
    <row r="290" spans="13:32" x14ac:dyDescent="0.25">
      <c r="M290" t="s">
        <v>971</v>
      </c>
      <c r="N290" t="s">
        <v>1204</v>
      </c>
      <c r="S290" s="5"/>
      <c r="AE290" t="s">
        <v>2175</v>
      </c>
      <c r="AF290" t="s">
        <v>2176</v>
      </c>
    </row>
    <row r="291" spans="13:32" x14ac:dyDescent="0.25">
      <c r="M291" t="s">
        <v>972</v>
      </c>
      <c r="N291" t="s">
        <v>1205</v>
      </c>
      <c r="S291" s="5"/>
      <c r="AE291" t="s">
        <v>2177</v>
      </c>
      <c r="AF291" t="s">
        <v>2178</v>
      </c>
    </row>
    <row r="292" spans="13:32" x14ac:dyDescent="0.25">
      <c r="M292" t="s">
        <v>973</v>
      </c>
      <c r="N292" t="s">
        <v>1206</v>
      </c>
      <c r="S292" s="5"/>
      <c r="AE292" t="s">
        <v>2179</v>
      </c>
      <c r="AF292" t="s">
        <v>2180</v>
      </c>
    </row>
    <row r="293" spans="13:32" x14ac:dyDescent="0.25">
      <c r="M293" t="s">
        <v>974</v>
      </c>
      <c r="N293" t="s">
        <v>1207</v>
      </c>
      <c r="S293" s="5"/>
      <c r="AE293" t="s">
        <v>2181</v>
      </c>
      <c r="AF293" t="s">
        <v>2182</v>
      </c>
    </row>
    <row r="294" spans="13:32" x14ac:dyDescent="0.25">
      <c r="M294" t="s">
        <v>975</v>
      </c>
      <c r="N294" t="s">
        <v>1208</v>
      </c>
      <c r="S294" s="5"/>
      <c r="AE294" t="s">
        <v>2183</v>
      </c>
      <c r="AF294" t="s">
        <v>2184</v>
      </c>
    </row>
    <row r="295" spans="13:32" x14ac:dyDescent="0.25">
      <c r="M295" t="s">
        <v>976</v>
      </c>
      <c r="N295" t="s">
        <v>1209</v>
      </c>
      <c r="S295" s="5"/>
      <c r="AE295" t="s">
        <v>2185</v>
      </c>
      <c r="AF295" t="s">
        <v>2186</v>
      </c>
    </row>
    <row r="296" spans="13:32" x14ac:dyDescent="0.25">
      <c r="M296" t="s">
        <v>977</v>
      </c>
      <c r="N296" t="s">
        <v>1210</v>
      </c>
      <c r="S296" s="5"/>
      <c r="AE296" t="s">
        <v>2187</v>
      </c>
      <c r="AF296" t="s">
        <v>2188</v>
      </c>
    </row>
    <row r="297" spans="13:32" x14ac:dyDescent="0.25">
      <c r="M297" t="s">
        <v>978</v>
      </c>
      <c r="N297" t="s">
        <v>1211</v>
      </c>
      <c r="S297" s="5"/>
      <c r="AE297" t="s">
        <v>2189</v>
      </c>
      <c r="AF297" t="s">
        <v>2190</v>
      </c>
    </row>
    <row r="298" spans="13:32" x14ac:dyDescent="0.25">
      <c r="M298" t="s">
        <v>979</v>
      </c>
      <c r="N298" t="s">
        <v>1212</v>
      </c>
      <c r="S298" s="5"/>
      <c r="AE298" t="s">
        <v>2191</v>
      </c>
      <c r="AF298" t="s">
        <v>2192</v>
      </c>
    </row>
    <row r="299" spans="13:32" x14ac:dyDescent="0.25">
      <c r="M299" t="s">
        <v>980</v>
      </c>
      <c r="N299" t="s">
        <v>1213</v>
      </c>
      <c r="S299" s="5"/>
      <c r="AE299" t="s">
        <v>2193</v>
      </c>
      <c r="AF299" t="s">
        <v>2194</v>
      </c>
    </row>
    <row r="300" spans="13:32" x14ac:dyDescent="0.25">
      <c r="M300" t="s">
        <v>981</v>
      </c>
      <c r="N300" t="s">
        <v>1214</v>
      </c>
      <c r="S300" s="5"/>
      <c r="AE300" t="s">
        <v>2195</v>
      </c>
      <c r="AF300" t="s">
        <v>2196</v>
      </c>
    </row>
    <row r="301" spans="13:32" x14ac:dyDescent="0.25">
      <c r="M301" t="s">
        <v>982</v>
      </c>
      <c r="N301" t="s">
        <v>1215</v>
      </c>
      <c r="S301" s="5"/>
      <c r="AE301" t="s">
        <v>2197</v>
      </c>
      <c r="AF301" t="s">
        <v>2198</v>
      </c>
    </row>
    <row r="302" spans="13:32" x14ac:dyDescent="0.25">
      <c r="M302" t="s">
        <v>983</v>
      </c>
      <c r="N302" t="s">
        <v>1216</v>
      </c>
      <c r="S302" s="5"/>
      <c r="AE302" t="s">
        <v>2199</v>
      </c>
      <c r="AF302" t="s">
        <v>2200</v>
      </c>
    </row>
    <row r="303" spans="13:32" x14ac:dyDescent="0.25">
      <c r="M303" t="s">
        <v>984</v>
      </c>
      <c r="N303" t="s">
        <v>1217</v>
      </c>
      <c r="S303" s="5"/>
      <c r="AE303" t="s">
        <v>2201</v>
      </c>
      <c r="AF303" t="s">
        <v>2202</v>
      </c>
    </row>
    <row r="304" spans="13:32" x14ac:dyDescent="0.25">
      <c r="M304" t="s">
        <v>985</v>
      </c>
      <c r="N304" t="s">
        <v>1218</v>
      </c>
      <c r="S304" s="5"/>
      <c r="AE304" t="s">
        <v>2203</v>
      </c>
      <c r="AF304" t="s">
        <v>2204</v>
      </c>
    </row>
    <row r="305" spans="13:32" x14ac:dyDescent="0.25">
      <c r="M305" t="s">
        <v>986</v>
      </c>
      <c r="N305" t="s">
        <v>1219</v>
      </c>
      <c r="S305" s="5"/>
      <c r="AE305" t="s">
        <v>2205</v>
      </c>
      <c r="AF305" t="s">
        <v>2206</v>
      </c>
    </row>
    <row r="306" spans="13:32" x14ac:dyDescent="0.25">
      <c r="M306" t="s">
        <v>987</v>
      </c>
      <c r="N306" t="s">
        <v>1220</v>
      </c>
      <c r="S306" s="5"/>
      <c r="AE306" t="s">
        <v>2207</v>
      </c>
      <c r="AF306" t="s">
        <v>2208</v>
      </c>
    </row>
    <row r="307" spans="13:32" x14ac:dyDescent="0.25">
      <c r="M307" t="s">
        <v>988</v>
      </c>
      <c r="N307" t="s">
        <v>1221</v>
      </c>
      <c r="AE307" t="s">
        <v>2209</v>
      </c>
      <c r="AF307" t="s">
        <v>2210</v>
      </c>
    </row>
    <row r="308" spans="13:32" x14ac:dyDescent="0.25">
      <c r="M308" t="s">
        <v>989</v>
      </c>
      <c r="N308" t="s">
        <v>1222</v>
      </c>
      <c r="AE308" t="s">
        <v>2211</v>
      </c>
      <c r="AF308" t="s">
        <v>2212</v>
      </c>
    </row>
    <row r="309" spans="13:32" x14ac:dyDescent="0.25">
      <c r="M309" t="s">
        <v>990</v>
      </c>
      <c r="N309" t="s">
        <v>1223</v>
      </c>
      <c r="AE309" t="s">
        <v>2213</v>
      </c>
      <c r="AF309" t="s">
        <v>2214</v>
      </c>
    </row>
    <row r="310" spans="13:32" x14ac:dyDescent="0.25">
      <c r="M310" t="s">
        <v>991</v>
      </c>
      <c r="N310" t="s">
        <v>1224</v>
      </c>
      <c r="AE310" t="s">
        <v>2215</v>
      </c>
      <c r="AF310" t="s">
        <v>2216</v>
      </c>
    </row>
    <row r="311" spans="13:32" x14ac:dyDescent="0.25">
      <c r="M311" t="s">
        <v>992</v>
      </c>
      <c r="N311" t="s">
        <v>1225</v>
      </c>
      <c r="AE311" t="s">
        <v>2217</v>
      </c>
      <c r="AF311" t="s">
        <v>2218</v>
      </c>
    </row>
    <row r="312" spans="13:32" x14ac:dyDescent="0.25">
      <c r="M312" t="s">
        <v>993</v>
      </c>
      <c r="N312" t="s">
        <v>1226</v>
      </c>
      <c r="AE312" t="s">
        <v>2219</v>
      </c>
      <c r="AF312" t="s">
        <v>2220</v>
      </c>
    </row>
    <row r="313" spans="13:32" x14ac:dyDescent="0.25">
      <c r="M313" t="s">
        <v>994</v>
      </c>
      <c r="N313" t="s">
        <v>1227</v>
      </c>
      <c r="AE313" t="s">
        <v>2221</v>
      </c>
      <c r="AF313" t="s">
        <v>2222</v>
      </c>
    </row>
    <row r="314" spans="13:32" x14ac:dyDescent="0.25">
      <c r="M314" t="s">
        <v>995</v>
      </c>
      <c r="N314" t="s">
        <v>1228</v>
      </c>
      <c r="AE314" t="s">
        <v>2223</v>
      </c>
      <c r="AF314" t="s">
        <v>2224</v>
      </c>
    </row>
    <row r="315" spans="13:32" x14ac:dyDescent="0.25">
      <c r="M315" t="s">
        <v>996</v>
      </c>
      <c r="N315" t="s">
        <v>1229</v>
      </c>
      <c r="AE315" t="s">
        <v>2225</v>
      </c>
      <c r="AF315" t="s">
        <v>2226</v>
      </c>
    </row>
    <row r="316" spans="13:32" x14ac:dyDescent="0.25">
      <c r="N316" s="6"/>
      <c r="AE316" t="s">
        <v>2227</v>
      </c>
      <c r="AF316" t="s">
        <v>2228</v>
      </c>
    </row>
    <row r="317" spans="13:32" x14ac:dyDescent="0.25">
      <c r="N317" s="6"/>
      <c r="AE317" t="s">
        <v>2229</v>
      </c>
      <c r="AF317" t="s">
        <v>2230</v>
      </c>
    </row>
    <row r="318" spans="13:32" x14ac:dyDescent="0.25">
      <c r="N318" s="6"/>
      <c r="AE318" t="s">
        <v>2231</v>
      </c>
      <c r="AF318" t="s">
        <v>2232</v>
      </c>
    </row>
    <row r="319" spans="13:32" x14ac:dyDescent="0.25">
      <c r="N319" s="6"/>
      <c r="AE319" t="s">
        <v>2233</v>
      </c>
      <c r="AF319" t="s">
        <v>2234</v>
      </c>
    </row>
    <row r="320" spans="13:32" x14ac:dyDescent="0.25">
      <c r="N320" s="6"/>
      <c r="AE320" t="s">
        <v>2235</v>
      </c>
      <c r="AF320" t="s">
        <v>2236</v>
      </c>
    </row>
    <row r="321" spans="14:32" x14ac:dyDescent="0.25">
      <c r="N321" s="6"/>
      <c r="AE321" t="s">
        <v>2237</v>
      </c>
      <c r="AF321" t="s">
        <v>2238</v>
      </c>
    </row>
    <row r="322" spans="14:32" x14ac:dyDescent="0.25">
      <c r="N322" s="6"/>
      <c r="AE322" t="s">
        <v>2239</v>
      </c>
      <c r="AF322" t="s">
        <v>2240</v>
      </c>
    </row>
    <row r="323" spans="14:32" x14ac:dyDescent="0.25">
      <c r="N323" s="6"/>
      <c r="AE323" t="s">
        <v>2241</v>
      </c>
      <c r="AF323" t="s">
        <v>2242</v>
      </c>
    </row>
    <row r="324" spans="14:32" x14ac:dyDescent="0.25">
      <c r="N324" s="6"/>
      <c r="AE324" t="s">
        <v>2243</v>
      </c>
      <c r="AF324" t="s">
        <v>2244</v>
      </c>
    </row>
    <row r="325" spans="14:32" x14ac:dyDescent="0.25">
      <c r="N325" s="6"/>
      <c r="AE325" t="s">
        <v>2245</v>
      </c>
      <c r="AF325" t="s">
        <v>2246</v>
      </c>
    </row>
    <row r="326" spans="14:32" x14ac:dyDescent="0.25">
      <c r="N326" s="6"/>
      <c r="AE326" t="s">
        <v>2247</v>
      </c>
      <c r="AF326" t="s">
        <v>2248</v>
      </c>
    </row>
    <row r="327" spans="14:32" x14ac:dyDescent="0.25">
      <c r="N327" s="6"/>
      <c r="AE327" t="s">
        <v>2249</v>
      </c>
      <c r="AF327" t="s">
        <v>2250</v>
      </c>
    </row>
    <row r="328" spans="14:32" x14ac:dyDescent="0.25">
      <c r="N328" s="6"/>
      <c r="AE328" t="s">
        <v>2251</v>
      </c>
      <c r="AF328" t="s">
        <v>2252</v>
      </c>
    </row>
    <row r="329" spans="14:32" x14ac:dyDescent="0.25">
      <c r="N329" s="6"/>
      <c r="AE329" t="s">
        <v>2253</v>
      </c>
      <c r="AF329" t="s">
        <v>2254</v>
      </c>
    </row>
    <row r="330" spans="14:32" x14ac:dyDescent="0.25">
      <c r="N330" s="6"/>
      <c r="AE330" t="s">
        <v>2255</v>
      </c>
      <c r="AF330" t="s">
        <v>2256</v>
      </c>
    </row>
    <row r="331" spans="14:32" x14ac:dyDescent="0.25">
      <c r="N331" s="6"/>
      <c r="AE331" t="s">
        <v>2257</v>
      </c>
      <c r="AF331" t="s">
        <v>517</v>
      </c>
    </row>
    <row r="332" spans="14:32" x14ac:dyDescent="0.25">
      <c r="N332" s="6"/>
      <c r="AE332" t="s">
        <v>2258</v>
      </c>
      <c r="AF332" t="s">
        <v>518</v>
      </c>
    </row>
    <row r="333" spans="14:32" x14ac:dyDescent="0.25">
      <c r="N333" s="6"/>
      <c r="AE333" t="s">
        <v>2259</v>
      </c>
      <c r="AF333" t="s">
        <v>519</v>
      </c>
    </row>
    <row r="334" spans="14:32" x14ac:dyDescent="0.25">
      <c r="N334" s="6"/>
      <c r="AE334" t="s">
        <v>2260</v>
      </c>
      <c r="AF334" t="s">
        <v>520</v>
      </c>
    </row>
    <row r="335" spans="14:32" x14ac:dyDescent="0.25">
      <c r="N335" s="6"/>
      <c r="AE335" t="s">
        <v>2261</v>
      </c>
      <c r="AF335" t="s">
        <v>521</v>
      </c>
    </row>
    <row r="336" spans="14:32" x14ac:dyDescent="0.25">
      <c r="N336" s="6"/>
      <c r="AE336" t="s">
        <v>2262</v>
      </c>
      <c r="AF336" t="s">
        <v>522</v>
      </c>
    </row>
    <row r="337" spans="14:32" x14ac:dyDescent="0.25">
      <c r="N337" s="6"/>
      <c r="AE337" t="s">
        <v>2263</v>
      </c>
      <c r="AF337" t="s">
        <v>523</v>
      </c>
    </row>
    <row r="338" spans="14:32" x14ac:dyDescent="0.25">
      <c r="N338" s="6"/>
      <c r="AE338" t="s">
        <v>2264</v>
      </c>
      <c r="AF338" t="s">
        <v>524</v>
      </c>
    </row>
    <row r="339" spans="14:32" x14ac:dyDescent="0.25">
      <c r="N339" s="6"/>
      <c r="AE339" t="s">
        <v>2265</v>
      </c>
      <c r="AF339" t="s">
        <v>525</v>
      </c>
    </row>
    <row r="340" spans="14:32" x14ac:dyDescent="0.25">
      <c r="N340" s="6"/>
      <c r="AE340" t="s">
        <v>2266</v>
      </c>
      <c r="AF340" t="s">
        <v>526</v>
      </c>
    </row>
    <row r="341" spans="14:32" x14ac:dyDescent="0.25">
      <c r="N341" s="6"/>
      <c r="AE341" t="s">
        <v>2267</v>
      </c>
      <c r="AF341" t="s">
        <v>527</v>
      </c>
    </row>
    <row r="342" spans="14:32" x14ac:dyDescent="0.25">
      <c r="N342" s="6"/>
      <c r="AE342" t="s">
        <v>2268</v>
      </c>
      <c r="AF342" t="s">
        <v>528</v>
      </c>
    </row>
    <row r="343" spans="14:32" x14ac:dyDescent="0.25">
      <c r="N343" s="6"/>
      <c r="AE343" t="s">
        <v>2269</v>
      </c>
      <c r="AF343" t="s">
        <v>529</v>
      </c>
    </row>
    <row r="344" spans="14:32" x14ac:dyDescent="0.25">
      <c r="N344" s="6"/>
      <c r="AE344" t="s">
        <v>2270</v>
      </c>
      <c r="AF344" t="s">
        <v>530</v>
      </c>
    </row>
    <row r="345" spans="14:32" x14ac:dyDescent="0.25">
      <c r="N345" s="6"/>
      <c r="AE345" t="s">
        <v>2271</v>
      </c>
      <c r="AF345" t="s">
        <v>531</v>
      </c>
    </row>
    <row r="346" spans="14:32" x14ac:dyDescent="0.25">
      <c r="N346" s="6"/>
      <c r="AE346" t="s">
        <v>2272</v>
      </c>
      <c r="AF346" t="s">
        <v>532</v>
      </c>
    </row>
    <row r="347" spans="14:32" x14ac:dyDescent="0.25">
      <c r="N347" s="6"/>
      <c r="AE347" t="s">
        <v>2273</v>
      </c>
      <c r="AF347" t="s">
        <v>2274</v>
      </c>
    </row>
    <row r="348" spans="14:32" x14ac:dyDescent="0.25">
      <c r="N348" s="6"/>
      <c r="AE348" t="s">
        <v>2275</v>
      </c>
      <c r="AF348" t="s">
        <v>2276</v>
      </c>
    </row>
    <row r="349" spans="14:32" x14ac:dyDescent="0.25">
      <c r="N349" s="6"/>
      <c r="AE349" t="s">
        <v>2277</v>
      </c>
      <c r="AF349" t="s">
        <v>2278</v>
      </c>
    </row>
    <row r="350" spans="14:32" x14ac:dyDescent="0.25">
      <c r="N350" s="6"/>
      <c r="AE350" t="s">
        <v>2279</v>
      </c>
      <c r="AF350" t="s">
        <v>2280</v>
      </c>
    </row>
    <row r="351" spans="14:32" x14ac:dyDescent="0.25">
      <c r="N351" s="6"/>
      <c r="AE351" t="s">
        <v>2281</v>
      </c>
      <c r="AF351" t="s">
        <v>2282</v>
      </c>
    </row>
    <row r="352" spans="14:32" x14ac:dyDescent="0.25">
      <c r="N352" s="6"/>
      <c r="AE352" t="s">
        <v>2283</v>
      </c>
      <c r="AF352" t="s">
        <v>2284</v>
      </c>
    </row>
    <row r="353" spans="14:32" x14ac:dyDescent="0.25">
      <c r="N353" s="6"/>
      <c r="AE353" t="s">
        <v>2285</v>
      </c>
      <c r="AF353" t="s">
        <v>2286</v>
      </c>
    </row>
    <row r="354" spans="14:32" x14ac:dyDescent="0.25">
      <c r="N354" s="6"/>
      <c r="AE354" t="s">
        <v>2287</v>
      </c>
      <c r="AF354" t="s">
        <v>2288</v>
      </c>
    </row>
    <row r="355" spans="14:32" x14ac:dyDescent="0.25">
      <c r="N355" s="6"/>
      <c r="AE355" t="s">
        <v>2289</v>
      </c>
      <c r="AF355" t="s">
        <v>2290</v>
      </c>
    </row>
    <row r="356" spans="14:32" x14ac:dyDescent="0.25">
      <c r="N356" s="6"/>
      <c r="AE356" t="s">
        <v>2291</v>
      </c>
      <c r="AF356" t="s">
        <v>2292</v>
      </c>
    </row>
    <row r="357" spans="14:32" x14ac:dyDescent="0.25">
      <c r="N357" s="6"/>
      <c r="AE357" t="s">
        <v>2293</v>
      </c>
      <c r="AF357" t="s">
        <v>2294</v>
      </c>
    </row>
    <row r="358" spans="14:32" x14ac:dyDescent="0.25">
      <c r="N358" s="6"/>
      <c r="AE358" t="s">
        <v>2295</v>
      </c>
      <c r="AF358" t="s">
        <v>2296</v>
      </c>
    </row>
    <row r="359" spans="14:32" x14ac:dyDescent="0.25">
      <c r="N359" s="6"/>
      <c r="AE359" t="s">
        <v>2297</v>
      </c>
      <c r="AF359" t="s">
        <v>2298</v>
      </c>
    </row>
    <row r="360" spans="14:32" x14ac:dyDescent="0.25">
      <c r="N360" s="6"/>
      <c r="AE360" t="s">
        <v>2299</v>
      </c>
      <c r="AF360" t="s">
        <v>2300</v>
      </c>
    </row>
    <row r="361" spans="14:32" x14ac:dyDescent="0.25">
      <c r="N361" s="6"/>
      <c r="AE361" t="s">
        <v>2301</v>
      </c>
      <c r="AF361" t="s">
        <v>2302</v>
      </c>
    </row>
    <row r="362" spans="14:32" x14ac:dyDescent="0.25">
      <c r="N362" s="6"/>
      <c r="AE362" t="s">
        <v>2303</v>
      </c>
      <c r="AF362" t="s">
        <v>2304</v>
      </c>
    </row>
    <row r="363" spans="14:32" x14ac:dyDescent="0.25">
      <c r="N363" s="6"/>
      <c r="AE363" t="s">
        <v>2305</v>
      </c>
      <c r="AF363" t="s">
        <v>2306</v>
      </c>
    </row>
    <row r="364" spans="14:32" x14ac:dyDescent="0.25">
      <c r="N364" s="6"/>
      <c r="AE364" t="s">
        <v>2307</v>
      </c>
      <c r="AF364" t="s">
        <v>2308</v>
      </c>
    </row>
    <row r="365" spans="14:32" x14ac:dyDescent="0.25">
      <c r="N365" s="6"/>
      <c r="AE365" t="s">
        <v>2309</v>
      </c>
      <c r="AF365" t="s">
        <v>2310</v>
      </c>
    </row>
    <row r="366" spans="14:32" x14ac:dyDescent="0.25">
      <c r="N366" s="6"/>
      <c r="AE366" t="s">
        <v>2311</v>
      </c>
      <c r="AF366" t="s">
        <v>2312</v>
      </c>
    </row>
    <row r="367" spans="14:32" x14ac:dyDescent="0.25">
      <c r="N367" s="6"/>
      <c r="AE367" t="s">
        <v>2313</v>
      </c>
      <c r="AF367" t="s">
        <v>2314</v>
      </c>
    </row>
    <row r="368" spans="14:32" x14ac:dyDescent="0.25">
      <c r="N368" s="6"/>
      <c r="AE368" t="s">
        <v>2315</v>
      </c>
      <c r="AF368" t="s">
        <v>2316</v>
      </c>
    </row>
    <row r="369" spans="14:32" x14ac:dyDescent="0.25">
      <c r="N369" s="6"/>
      <c r="AE369" t="s">
        <v>2317</v>
      </c>
      <c r="AF369" t="s">
        <v>2318</v>
      </c>
    </row>
    <row r="370" spans="14:32" x14ac:dyDescent="0.25">
      <c r="N370" s="6"/>
      <c r="AE370" t="s">
        <v>2319</v>
      </c>
      <c r="AF370" t="s">
        <v>2320</v>
      </c>
    </row>
    <row r="371" spans="14:32" x14ac:dyDescent="0.25">
      <c r="N371" s="6"/>
      <c r="AE371" t="s">
        <v>2321</v>
      </c>
      <c r="AF371" t="s">
        <v>2322</v>
      </c>
    </row>
    <row r="372" spans="14:32" x14ac:dyDescent="0.25">
      <c r="N372" s="6"/>
      <c r="AE372" t="s">
        <v>2323</v>
      </c>
      <c r="AF372" t="s">
        <v>2324</v>
      </c>
    </row>
    <row r="373" spans="14:32" x14ac:dyDescent="0.25">
      <c r="N373" s="6"/>
      <c r="AE373" t="s">
        <v>2325</v>
      </c>
      <c r="AF373" t="s">
        <v>2326</v>
      </c>
    </row>
    <row r="374" spans="14:32" x14ac:dyDescent="0.25">
      <c r="N374" s="6"/>
      <c r="AE374" t="s">
        <v>2327</v>
      </c>
      <c r="AF374" t="s">
        <v>2328</v>
      </c>
    </row>
    <row r="375" spans="14:32" x14ac:dyDescent="0.25">
      <c r="N375" s="6"/>
      <c r="AE375" t="s">
        <v>2329</v>
      </c>
      <c r="AF375" t="s">
        <v>2330</v>
      </c>
    </row>
    <row r="376" spans="14:32" x14ac:dyDescent="0.25">
      <c r="N376" s="6"/>
      <c r="AE376" t="s">
        <v>2331</v>
      </c>
      <c r="AF376" t="s">
        <v>2332</v>
      </c>
    </row>
    <row r="377" spans="14:32" x14ac:dyDescent="0.25">
      <c r="N377" s="6"/>
      <c r="AE377" t="s">
        <v>2333</v>
      </c>
      <c r="AF377" t="s">
        <v>2334</v>
      </c>
    </row>
    <row r="378" spans="14:32" x14ac:dyDescent="0.25">
      <c r="N378" s="6"/>
      <c r="AE378" t="s">
        <v>2335</v>
      </c>
      <c r="AF378" t="s">
        <v>2336</v>
      </c>
    </row>
    <row r="379" spans="14:32" x14ac:dyDescent="0.25">
      <c r="N379" s="6"/>
      <c r="AE379" t="s">
        <v>2337</v>
      </c>
      <c r="AF379" t="s">
        <v>2338</v>
      </c>
    </row>
    <row r="380" spans="14:32" x14ac:dyDescent="0.25">
      <c r="N380" s="6"/>
      <c r="AE380" t="s">
        <v>2339</v>
      </c>
      <c r="AF380" t="s">
        <v>2340</v>
      </c>
    </row>
    <row r="381" spans="14:32" x14ac:dyDescent="0.25">
      <c r="N381" s="6"/>
      <c r="AE381" t="s">
        <v>2341</v>
      </c>
      <c r="AF381" t="s">
        <v>2342</v>
      </c>
    </row>
    <row r="382" spans="14:32" x14ac:dyDescent="0.25">
      <c r="N382" s="6"/>
      <c r="AE382" t="s">
        <v>2343</v>
      </c>
      <c r="AF382" t="s">
        <v>2344</v>
      </c>
    </row>
    <row r="383" spans="14:32" x14ac:dyDescent="0.25">
      <c r="N383" s="6"/>
      <c r="AE383" t="s">
        <v>2345</v>
      </c>
      <c r="AF383" t="s">
        <v>2346</v>
      </c>
    </row>
    <row r="384" spans="14:32" x14ac:dyDescent="0.25">
      <c r="N384" s="6"/>
      <c r="AE384" t="s">
        <v>2347</v>
      </c>
      <c r="AF384" t="s">
        <v>2348</v>
      </c>
    </row>
    <row r="385" spans="14:32" x14ac:dyDescent="0.25">
      <c r="N385" s="6"/>
      <c r="AE385" t="s">
        <v>2349</v>
      </c>
      <c r="AF385" t="s">
        <v>2350</v>
      </c>
    </row>
    <row r="386" spans="14:32" x14ac:dyDescent="0.25">
      <c r="N386" s="6"/>
      <c r="AE386" t="s">
        <v>2351</v>
      </c>
      <c r="AF386" t="s">
        <v>2352</v>
      </c>
    </row>
    <row r="387" spans="14:32" x14ac:dyDescent="0.25">
      <c r="N387" s="6"/>
      <c r="AE387" t="s">
        <v>2353</v>
      </c>
      <c r="AF387" t="s">
        <v>2354</v>
      </c>
    </row>
    <row r="388" spans="14:32" x14ac:dyDescent="0.25">
      <c r="N388" s="6"/>
      <c r="AE388" t="s">
        <v>2355</v>
      </c>
      <c r="AF388" t="s">
        <v>2356</v>
      </c>
    </row>
    <row r="389" spans="14:32" x14ac:dyDescent="0.25">
      <c r="N389" s="6"/>
      <c r="AE389" t="s">
        <v>2357</v>
      </c>
      <c r="AF389" t="s">
        <v>2358</v>
      </c>
    </row>
    <row r="390" spans="14:32" x14ac:dyDescent="0.25">
      <c r="N390" s="6"/>
      <c r="AE390" t="s">
        <v>2359</v>
      </c>
      <c r="AF390" t="s">
        <v>2360</v>
      </c>
    </row>
    <row r="391" spans="14:32" x14ac:dyDescent="0.25">
      <c r="N391" s="6"/>
      <c r="AE391" t="s">
        <v>2361</v>
      </c>
      <c r="AF391" t="s">
        <v>2362</v>
      </c>
    </row>
    <row r="392" spans="14:32" x14ac:dyDescent="0.25">
      <c r="N392" s="6"/>
      <c r="AE392" t="s">
        <v>2363</v>
      </c>
      <c r="AF392" t="s">
        <v>2364</v>
      </c>
    </row>
    <row r="393" spans="14:32" x14ac:dyDescent="0.25">
      <c r="N393" s="6"/>
      <c r="AE393" t="s">
        <v>2365</v>
      </c>
      <c r="AF393" t="s">
        <v>2366</v>
      </c>
    </row>
    <row r="394" spans="14:32" x14ac:dyDescent="0.25">
      <c r="N394" s="6"/>
      <c r="AE394" t="s">
        <v>2367</v>
      </c>
      <c r="AF394" t="s">
        <v>2368</v>
      </c>
    </row>
    <row r="395" spans="14:32" x14ac:dyDescent="0.25">
      <c r="N395" s="6"/>
      <c r="AE395" t="s">
        <v>2369</v>
      </c>
      <c r="AF395" t="s">
        <v>2370</v>
      </c>
    </row>
    <row r="396" spans="14:32" x14ac:dyDescent="0.25">
      <c r="N396" s="6"/>
      <c r="AE396" t="s">
        <v>2371</v>
      </c>
      <c r="AF396" t="s">
        <v>2372</v>
      </c>
    </row>
    <row r="397" spans="14:32" x14ac:dyDescent="0.25">
      <c r="N397" s="6"/>
      <c r="AE397" t="s">
        <v>2373</v>
      </c>
      <c r="AF397" t="s">
        <v>2374</v>
      </c>
    </row>
    <row r="398" spans="14:32" x14ac:dyDescent="0.25">
      <c r="N398" s="6"/>
      <c r="AE398" t="s">
        <v>2375</v>
      </c>
      <c r="AF398" t="s">
        <v>2376</v>
      </c>
    </row>
    <row r="399" spans="14:32" x14ac:dyDescent="0.25">
      <c r="N399" s="6"/>
      <c r="AE399" t="s">
        <v>2377</v>
      </c>
      <c r="AF399" t="s">
        <v>2378</v>
      </c>
    </row>
    <row r="400" spans="14:32" x14ac:dyDescent="0.25">
      <c r="N400" s="6"/>
      <c r="AE400" t="s">
        <v>2379</v>
      </c>
      <c r="AF400" t="s">
        <v>2380</v>
      </c>
    </row>
    <row r="401" spans="14:32" x14ac:dyDescent="0.25">
      <c r="N401" s="6"/>
      <c r="AE401" t="s">
        <v>2381</v>
      </c>
      <c r="AF401" t="s">
        <v>2382</v>
      </c>
    </row>
    <row r="402" spans="14:32" x14ac:dyDescent="0.25">
      <c r="N402" s="6"/>
      <c r="AE402" t="s">
        <v>2383</v>
      </c>
      <c r="AF402" t="s">
        <v>2384</v>
      </c>
    </row>
    <row r="403" spans="14:32" x14ac:dyDescent="0.25">
      <c r="N403" s="6"/>
      <c r="AE403" t="s">
        <v>2385</v>
      </c>
      <c r="AF403" t="s">
        <v>2386</v>
      </c>
    </row>
    <row r="404" spans="14:32" x14ac:dyDescent="0.25">
      <c r="N404" s="6"/>
      <c r="AE404" t="s">
        <v>2387</v>
      </c>
      <c r="AF404" t="s">
        <v>2388</v>
      </c>
    </row>
    <row r="405" spans="14:32" x14ac:dyDescent="0.25">
      <c r="N405" s="6"/>
      <c r="AE405" t="s">
        <v>2389</v>
      </c>
      <c r="AF405" t="s">
        <v>2390</v>
      </c>
    </row>
    <row r="406" spans="14:32" x14ac:dyDescent="0.25">
      <c r="N406" s="6"/>
      <c r="AE406" t="s">
        <v>2391</v>
      </c>
      <c r="AF406" t="s">
        <v>2392</v>
      </c>
    </row>
    <row r="407" spans="14:32" x14ac:dyDescent="0.25">
      <c r="N407" s="6"/>
      <c r="AE407" t="s">
        <v>2393</v>
      </c>
      <c r="AF407" t="s">
        <v>2394</v>
      </c>
    </row>
    <row r="408" spans="14:32" x14ac:dyDescent="0.25">
      <c r="N408" s="6"/>
      <c r="AE408" t="s">
        <v>2395</v>
      </c>
      <c r="AF408" t="s">
        <v>2396</v>
      </c>
    </row>
    <row r="409" spans="14:32" x14ac:dyDescent="0.25">
      <c r="N409" s="6"/>
      <c r="AE409" t="s">
        <v>2397</v>
      </c>
      <c r="AF409" t="s">
        <v>2398</v>
      </c>
    </row>
    <row r="410" spans="14:32" x14ac:dyDescent="0.25">
      <c r="N410" s="6"/>
      <c r="AE410" t="s">
        <v>2399</v>
      </c>
      <c r="AF410" t="s">
        <v>2400</v>
      </c>
    </row>
    <row r="411" spans="14:32" x14ac:dyDescent="0.25">
      <c r="N411" s="6"/>
      <c r="AE411" t="s">
        <v>2401</v>
      </c>
      <c r="AF411" t="s">
        <v>2402</v>
      </c>
    </row>
    <row r="412" spans="14:32" x14ac:dyDescent="0.25">
      <c r="N412" s="6"/>
      <c r="AE412" t="s">
        <v>2403</v>
      </c>
      <c r="AF412" t="s">
        <v>2404</v>
      </c>
    </row>
    <row r="413" spans="14:32" x14ac:dyDescent="0.25">
      <c r="N413" s="6"/>
      <c r="AE413" t="s">
        <v>2405</v>
      </c>
      <c r="AF413" t="s">
        <v>2406</v>
      </c>
    </row>
    <row r="414" spans="14:32" x14ac:dyDescent="0.25">
      <c r="N414" s="6"/>
      <c r="AE414" t="s">
        <v>2407</v>
      </c>
      <c r="AF414" t="s">
        <v>2408</v>
      </c>
    </row>
    <row r="415" spans="14:32" x14ac:dyDescent="0.25">
      <c r="N415" s="6"/>
      <c r="AE415" t="s">
        <v>2409</v>
      </c>
      <c r="AF415" t="s">
        <v>2410</v>
      </c>
    </row>
    <row r="416" spans="14:32" x14ac:dyDescent="0.25">
      <c r="N416" s="6"/>
      <c r="AE416" t="s">
        <v>2411</v>
      </c>
      <c r="AF416" t="s">
        <v>2412</v>
      </c>
    </row>
    <row r="417" spans="14:32" x14ac:dyDescent="0.25">
      <c r="N417" s="6"/>
      <c r="AE417" t="s">
        <v>2413</v>
      </c>
      <c r="AF417" t="s">
        <v>2414</v>
      </c>
    </row>
    <row r="418" spans="14:32" x14ac:dyDescent="0.25">
      <c r="N418" s="6"/>
      <c r="AE418" t="s">
        <v>2415</v>
      </c>
      <c r="AF418" t="s">
        <v>2416</v>
      </c>
    </row>
    <row r="419" spans="14:32" x14ac:dyDescent="0.25">
      <c r="N419" s="6"/>
      <c r="AE419" t="s">
        <v>2417</v>
      </c>
      <c r="AF419" t="s">
        <v>2418</v>
      </c>
    </row>
    <row r="420" spans="14:32" x14ac:dyDescent="0.25">
      <c r="N420" s="6"/>
      <c r="AE420" t="s">
        <v>2419</v>
      </c>
      <c r="AF420" t="s">
        <v>2420</v>
      </c>
    </row>
    <row r="421" spans="14:32" x14ac:dyDescent="0.25">
      <c r="N421" s="6"/>
      <c r="AE421" t="s">
        <v>2421</v>
      </c>
      <c r="AF421" t="s">
        <v>2422</v>
      </c>
    </row>
    <row r="422" spans="14:32" x14ac:dyDescent="0.25">
      <c r="N422" s="6"/>
      <c r="AE422" t="s">
        <v>2423</v>
      </c>
      <c r="AF422" t="s">
        <v>2424</v>
      </c>
    </row>
    <row r="423" spans="14:32" x14ac:dyDescent="0.25">
      <c r="N423" s="6"/>
      <c r="AE423" t="s">
        <v>2425</v>
      </c>
      <c r="AF423" t="s">
        <v>2426</v>
      </c>
    </row>
    <row r="424" spans="14:32" x14ac:dyDescent="0.25">
      <c r="N424" s="6"/>
      <c r="AE424" t="s">
        <v>2427</v>
      </c>
      <c r="AF424" t="s">
        <v>2428</v>
      </c>
    </row>
    <row r="425" spans="14:32" x14ac:dyDescent="0.25">
      <c r="N425" s="6"/>
      <c r="AE425" t="s">
        <v>2429</v>
      </c>
      <c r="AF425" t="s">
        <v>2430</v>
      </c>
    </row>
    <row r="426" spans="14:32" x14ac:dyDescent="0.25">
      <c r="N426" s="6"/>
      <c r="AE426" t="s">
        <v>2431</v>
      </c>
      <c r="AF426" t="s">
        <v>2432</v>
      </c>
    </row>
    <row r="427" spans="14:32" x14ac:dyDescent="0.25">
      <c r="N427" s="6"/>
      <c r="AE427" t="s">
        <v>2433</v>
      </c>
      <c r="AF427" t="s">
        <v>2434</v>
      </c>
    </row>
    <row r="428" spans="14:32" x14ac:dyDescent="0.25">
      <c r="N428" s="6"/>
      <c r="AE428" t="s">
        <v>2435</v>
      </c>
      <c r="AF428" t="s">
        <v>2436</v>
      </c>
    </row>
    <row r="429" spans="14:32" x14ac:dyDescent="0.25">
      <c r="N429" s="6"/>
      <c r="AE429" t="s">
        <v>2437</v>
      </c>
      <c r="AF429" t="s">
        <v>2438</v>
      </c>
    </row>
    <row r="430" spans="14:32" x14ac:dyDescent="0.25">
      <c r="N430" s="6"/>
      <c r="AE430" t="s">
        <v>2439</v>
      </c>
      <c r="AF430" t="s">
        <v>2440</v>
      </c>
    </row>
    <row r="431" spans="14:32" x14ac:dyDescent="0.25">
      <c r="N431" s="6"/>
      <c r="AE431" t="s">
        <v>2441</v>
      </c>
      <c r="AF431" t="s">
        <v>2442</v>
      </c>
    </row>
    <row r="432" spans="14:32" x14ac:dyDescent="0.25">
      <c r="N432" s="6"/>
      <c r="AE432" t="s">
        <v>2443</v>
      </c>
      <c r="AF432" t="s">
        <v>2444</v>
      </c>
    </row>
    <row r="433" spans="14:32" x14ac:dyDescent="0.25">
      <c r="N433" s="6"/>
      <c r="AE433" t="s">
        <v>2445</v>
      </c>
      <c r="AF433" t="s">
        <v>2446</v>
      </c>
    </row>
    <row r="434" spans="14:32" x14ac:dyDescent="0.25">
      <c r="N434" s="6"/>
      <c r="AE434" t="s">
        <v>2447</v>
      </c>
      <c r="AF434" t="s">
        <v>2448</v>
      </c>
    </row>
    <row r="435" spans="14:32" x14ac:dyDescent="0.25">
      <c r="N435" s="6"/>
      <c r="AE435" t="s">
        <v>2449</v>
      </c>
      <c r="AF435" t="s">
        <v>2450</v>
      </c>
    </row>
    <row r="436" spans="14:32" x14ac:dyDescent="0.25">
      <c r="N436" s="6"/>
      <c r="AE436" t="s">
        <v>2451</v>
      </c>
      <c r="AF436" t="s">
        <v>2452</v>
      </c>
    </row>
    <row r="437" spans="14:32" x14ac:dyDescent="0.25">
      <c r="N437" s="6"/>
      <c r="AE437" t="s">
        <v>2453</v>
      </c>
      <c r="AF437" t="s">
        <v>2454</v>
      </c>
    </row>
    <row r="438" spans="14:32" x14ac:dyDescent="0.25">
      <c r="N438" s="6"/>
      <c r="AE438" t="s">
        <v>2455</v>
      </c>
      <c r="AF438" t="s">
        <v>2456</v>
      </c>
    </row>
    <row r="439" spans="14:32" x14ac:dyDescent="0.25">
      <c r="N439" s="6"/>
      <c r="AE439" t="s">
        <v>2457</v>
      </c>
      <c r="AF439" t="s">
        <v>2458</v>
      </c>
    </row>
    <row r="440" spans="14:32" x14ac:dyDescent="0.25">
      <c r="N440" s="6"/>
      <c r="AE440" t="s">
        <v>2459</v>
      </c>
      <c r="AF440" t="s">
        <v>2460</v>
      </c>
    </row>
    <row r="441" spans="14:32" x14ac:dyDescent="0.25">
      <c r="N441" s="6"/>
      <c r="AE441" t="s">
        <v>2461</v>
      </c>
      <c r="AF441" t="s">
        <v>2462</v>
      </c>
    </row>
    <row r="442" spans="14:32" x14ac:dyDescent="0.25">
      <c r="N442" s="6"/>
      <c r="AE442" t="s">
        <v>2463</v>
      </c>
      <c r="AF442" t="s">
        <v>2464</v>
      </c>
    </row>
    <row r="443" spans="14:32" x14ac:dyDescent="0.25">
      <c r="N443" s="6"/>
      <c r="AE443" t="s">
        <v>2465</v>
      </c>
      <c r="AF443" t="s">
        <v>2466</v>
      </c>
    </row>
    <row r="444" spans="14:32" x14ac:dyDescent="0.25">
      <c r="N444" s="6"/>
      <c r="AE444" t="s">
        <v>2467</v>
      </c>
      <c r="AF444" t="s">
        <v>2468</v>
      </c>
    </row>
    <row r="445" spans="14:32" x14ac:dyDescent="0.25">
      <c r="N445" s="6"/>
      <c r="AE445" t="s">
        <v>2469</v>
      </c>
      <c r="AF445" t="s">
        <v>2470</v>
      </c>
    </row>
    <row r="446" spans="14:32" x14ac:dyDescent="0.25">
      <c r="N446" s="6"/>
      <c r="AE446" t="s">
        <v>2471</v>
      </c>
      <c r="AF446" t="s">
        <v>2472</v>
      </c>
    </row>
    <row r="447" spans="14:32" x14ac:dyDescent="0.25">
      <c r="N447" s="6"/>
      <c r="AE447" t="s">
        <v>2473</v>
      </c>
      <c r="AF447" t="s">
        <v>2474</v>
      </c>
    </row>
    <row r="448" spans="14:32" x14ac:dyDescent="0.25">
      <c r="N448" s="6"/>
      <c r="AE448" t="s">
        <v>2475</v>
      </c>
      <c r="AF448" t="s">
        <v>2476</v>
      </c>
    </row>
    <row r="449" spans="14:32" x14ac:dyDescent="0.25">
      <c r="N449" s="6"/>
      <c r="AE449" t="s">
        <v>2477</v>
      </c>
      <c r="AF449" t="s">
        <v>2478</v>
      </c>
    </row>
    <row r="450" spans="14:32" x14ac:dyDescent="0.25">
      <c r="N450" s="6"/>
      <c r="AE450" t="s">
        <v>2479</v>
      </c>
      <c r="AF450" t="s">
        <v>2480</v>
      </c>
    </row>
    <row r="451" spans="14:32" x14ac:dyDescent="0.25">
      <c r="N451" s="6"/>
      <c r="AE451" t="s">
        <v>2481</v>
      </c>
      <c r="AF451" t="s">
        <v>2482</v>
      </c>
    </row>
    <row r="452" spans="14:32" x14ac:dyDescent="0.25">
      <c r="N452" s="6"/>
      <c r="AE452" t="s">
        <v>2483</v>
      </c>
      <c r="AF452" t="s">
        <v>2484</v>
      </c>
    </row>
    <row r="453" spans="14:32" x14ac:dyDescent="0.25">
      <c r="N453" s="6"/>
      <c r="AE453" t="s">
        <v>2485</v>
      </c>
      <c r="AF453" t="s">
        <v>2486</v>
      </c>
    </row>
    <row r="454" spans="14:32" x14ac:dyDescent="0.25">
      <c r="N454" s="6"/>
      <c r="AE454" t="s">
        <v>2487</v>
      </c>
      <c r="AF454" t="s">
        <v>2488</v>
      </c>
    </row>
    <row r="455" spans="14:32" x14ac:dyDescent="0.25">
      <c r="N455" s="6"/>
      <c r="AE455" t="s">
        <v>2489</v>
      </c>
      <c r="AF455" t="s">
        <v>2490</v>
      </c>
    </row>
    <row r="456" spans="14:32" x14ac:dyDescent="0.25">
      <c r="N456" s="6"/>
      <c r="AE456" t="s">
        <v>2491</v>
      </c>
      <c r="AF456" t="s">
        <v>2492</v>
      </c>
    </row>
    <row r="457" spans="14:32" x14ac:dyDescent="0.25">
      <c r="N457" s="6"/>
      <c r="AE457" t="s">
        <v>2493</v>
      </c>
      <c r="AF457" t="s">
        <v>2494</v>
      </c>
    </row>
    <row r="458" spans="14:32" x14ac:dyDescent="0.25">
      <c r="N458" s="6"/>
      <c r="AE458" t="s">
        <v>2495</v>
      </c>
      <c r="AF458" t="s">
        <v>2496</v>
      </c>
    </row>
    <row r="459" spans="14:32" x14ac:dyDescent="0.25">
      <c r="N459" s="6"/>
      <c r="AE459" t="s">
        <v>2497</v>
      </c>
      <c r="AF459" t="s">
        <v>2498</v>
      </c>
    </row>
    <row r="460" spans="14:32" x14ac:dyDescent="0.25">
      <c r="N460" s="6"/>
      <c r="AE460" t="s">
        <v>2499</v>
      </c>
      <c r="AF460" t="s">
        <v>2500</v>
      </c>
    </row>
    <row r="461" spans="14:32" x14ac:dyDescent="0.25">
      <c r="N461" s="6"/>
      <c r="AE461" t="s">
        <v>2501</v>
      </c>
      <c r="AF461" t="s">
        <v>2502</v>
      </c>
    </row>
    <row r="462" spans="14:32" x14ac:dyDescent="0.25">
      <c r="N462" s="6"/>
      <c r="AE462" t="s">
        <v>2503</v>
      </c>
      <c r="AF462" t="s">
        <v>2504</v>
      </c>
    </row>
    <row r="463" spans="14:32" x14ac:dyDescent="0.25">
      <c r="N463" s="6"/>
      <c r="AE463" t="s">
        <v>2505</v>
      </c>
      <c r="AF463" t="s">
        <v>2506</v>
      </c>
    </row>
    <row r="464" spans="14:32" x14ac:dyDescent="0.25">
      <c r="N464" s="6"/>
      <c r="AE464" t="s">
        <v>2507</v>
      </c>
      <c r="AF464" t="s">
        <v>2508</v>
      </c>
    </row>
    <row r="465" spans="14:32" x14ac:dyDescent="0.25">
      <c r="N465" s="6"/>
      <c r="AE465" t="s">
        <v>2509</v>
      </c>
      <c r="AF465" t="s">
        <v>2510</v>
      </c>
    </row>
    <row r="466" spans="14:32" x14ac:dyDescent="0.25">
      <c r="N466" s="6"/>
      <c r="AE466" t="s">
        <v>2511</v>
      </c>
      <c r="AF466" t="s">
        <v>2512</v>
      </c>
    </row>
    <row r="467" spans="14:32" x14ac:dyDescent="0.25">
      <c r="N467" s="6"/>
      <c r="AE467" t="s">
        <v>2513</v>
      </c>
      <c r="AF467" t="s">
        <v>2514</v>
      </c>
    </row>
    <row r="468" spans="14:32" x14ac:dyDescent="0.25">
      <c r="N468" s="6"/>
      <c r="AE468" t="s">
        <v>2515</v>
      </c>
      <c r="AF468" t="s">
        <v>2516</v>
      </c>
    </row>
    <row r="469" spans="14:32" x14ac:dyDescent="0.25">
      <c r="N469" s="6"/>
      <c r="AE469" t="s">
        <v>2517</v>
      </c>
      <c r="AF469" t="s">
        <v>2518</v>
      </c>
    </row>
    <row r="470" spans="14:32" x14ac:dyDescent="0.25">
      <c r="N470" s="6"/>
      <c r="AE470" t="s">
        <v>2519</v>
      </c>
      <c r="AF470" t="s">
        <v>2520</v>
      </c>
    </row>
    <row r="471" spans="14:32" x14ac:dyDescent="0.25">
      <c r="N471" s="6"/>
      <c r="AE471" t="s">
        <v>2521</v>
      </c>
      <c r="AF471" t="s">
        <v>2522</v>
      </c>
    </row>
    <row r="472" spans="14:32" x14ac:dyDescent="0.25">
      <c r="N472" s="6"/>
      <c r="AE472" t="s">
        <v>2523</v>
      </c>
      <c r="AF472" t="s">
        <v>2524</v>
      </c>
    </row>
    <row r="473" spans="14:32" x14ac:dyDescent="0.25">
      <c r="N473" s="6"/>
      <c r="AE473" t="s">
        <v>2525</v>
      </c>
      <c r="AF473" t="s">
        <v>2526</v>
      </c>
    </row>
    <row r="474" spans="14:32" x14ac:dyDescent="0.25">
      <c r="N474" s="6"/>
      <c r="AE474" t="s">
        <v>2527</v>
      </c>
      <c r="AF474" t="s">
        <v>2528</v>
      </c>
    </row>
    <row r="475" spans="14:32" x14ac:dyDescent="0.25">
      <c r="N475" s="6"/>
      <c r="AE475" t="s">
        <v>2529</v>
      </c>
      <c r="AF475" t="s">
        <v>2530</v>
      </c>
    </row>
    <row r="476" spans="14:32" x14ac:dyDescent="0.25">
      <c r="N476" s="6"/>
      <c r="AE476" t="s">
        <v>2531</v>
      </c>
      <c r="AF476" t="s">
        <v>2532</v>
      </c>
    </row>
    <row r="477" spans="14:32" x14ac:dyDescent="0.25">
      <c r="N477" s="6"/>
      <c r="AE477" t="s">
        <v>2533</v>
      </c>
      <c r="AF477" t="s">
        <v>2534</v>
      </c>
    </row>
    <row r="478" spans="14:32" x14ac:dyDescent="0.25">
      <c r="N478" s="6"/>
      <c r="AE478" t="s">
        <v>2535</v>
      </c>
      <c r="AF478" t="s">
        <v>2536</v>
      </c>
    </row>
    <row r="479" spans="14:32" x14ac:dyDescent="0.25">
      <c r="N479" s="6"/>
      <c r="AE479" t="s">
        <v>2537</v>
      </c>
      <c r="AF479" t="s">
        <v>2538</v>
      </c>
    </row>
    <row r="480" spans="14:32" x14ac:dyDescent="0.25">
      <c r="N480" s="6"/>
      <c r="AE480" t="s">
        <v>2539</v>
      </c>
      <c r="AF480" t="s">
        <v>2540</v>
      </c>
    </row>
    <row r="481" spans="14:32" x14ac:dyDescent="0.25">
      <c r="N481" s="6"/>
      <c r="AE481" t="s">
        <v>2541</v>
      </c>
      <c r="AF481" t="s">
        <v>2542</v>
      </c>
    </row>
    <row r="482" spans="14:32" x14ac:dyDescent="0.25">
      <c r="N482" s="6"/>
      <c r="AE482" t="s">
        <v>2543</v>
      </c>
      <c r="AF482" t="s">
        <v>2544</v>
      </c>
    </row>
    <row r="483" spans="14:32" x14ac:dyDescent="0.25">
      <c r="N483" s="6"/>
      <c r="AE483" t="s">
        <v>2545</v>
      </c>
      <c r="AF483" t="s">
        <v>2546</v>
      </c>
    </row>
    <row r="484" spans="14:32" x14ac:dyDescent="0.25">
      <c r="N484" s="6"/>
      <c r="AE484" t="s">
        <v>2547</v>
      </c>
      <c r="AF484" t="s">
        <v>2548</v>
      </c>
    </row>
    <row r="485" spans="14:32" x14ac:dyDescent="0.25">
      <c r="N485" s="6"/>
      <c r="AE485" t="s">
        <v>2549</v>
      </c>
      <c r="AF485" t="s">
        <v>2550</v>
      </c>
    </row>
    <row r="486" spans="14:32" x14ac:dyDescent="0.25">
      <c r="N486" s="6"/>
      <c r="AE486" t="s">
        <v>2551</v>
      </c>
      <c r="AF486" t="s">
        <v>2552</v>
      </c>
    </row>
    <row r="487" spans="14:32" x14ac:dyDescent="0.25">
      <c r="N487" s="6"/>
      <c r="AE487" t="s">
        <v>2553</v>
      </c>
      <c r="AF487" t="s">
        <v>2554</v>
      </c>
    </row>
    <row r="488" spans="14:32" x14ac:dyDescent="0.25">
      <c r="N488" s="6"/>
      <c r="AE488" t="s">
        <v>2555</v>
      </c>
      <c r="AF488" t="s">
        <v>2556</v>
      </c>
    </row>
    <row r="489" spans="14:32" x14ac:dyDescent="0.25">
      <c r="N489" s="6"/>
      <c r="AE489" t="s">
        <v>2557</v>
      </c>
      <c r="AF489" t="s">
        <v>2558</v>
      </c>
    </row>
    <row r="490" spans="14:32" x14ac:dyDescent="0.25">
      <c r="N490" s="6"/>
      <c r="AE490" t="s">
        <v>2559</v>
      </c>
      <c r="AF490" t="s">
        <v>2560</v>
      </c>
    </row>
    <row r="491" spans="14:32" x14ac:dyDescent="0.25">
      <c r="N491" s="6"/>
      <c r="AE491" t="s">
        <v>2561</v>
      </c>
      <c r="AF491" t="s">
        <v>2562</v>
      </c>
    </row>
    <row r="492" spans="14:32" x14ac:dyDescent="0.25">
      <c r="N492" s="6"/>
      <c r="AE492" t="s">
        <v>2563</v>
      </c>
      <c r="AF492" t="s">
        <v>2564</v>
      </c>
    </row>
    <row r="493" spans="14:32" x14ac:dyDescent="0.25">
      <c r="N493" s="6"/>
      <c r="AF493" s="6"/>
    </row>
    <row r="494" spans="14:32" x14ac:dyDescent="0.25">
      <c r="N494" s="6"/>
      <c r="AF494" s="6"/>
    </row>
    <row r="495" spans="14:32" x14ac:dyDescent="0.25">
      <c r="N495" s="6"/>
      <c r="AF495" s="6"/>
    </row>
    <row r="496" spans="14:32" x14ac:dyDescent="0.25">
      <c r="N496" s="6"/>
      <c r="AF496" s="6"/>
    </row>
    <row r="497" spans="14:32" x14ac:dyDescent="0.25">
      <c r="N497" s="6"/>
      <c r="AF497" s="6"/>
    </row>
    <row r="498" spans="14:32" x14ac:dyDescent="0.25">
      <c r="N498" s="6"/>
      <c r="AF498" s="6"/>
    </row>
    <row r="499" spans="14:32" x14ac:dyDescent="0.25">
      <c r="N499" s="6"/>
      <c r="AF499" s="6"/>
    </row>
    <row r="500" spans="14:32" x14ac:dyDescent="0.25">
      <c r="N500" s="6"/>
      <c r="AF500" s="6"/>
    </row>
    <row r="501" spans="14:32" x14ac:dyDescent="0.25">
      <c r="N501" s="6"/>
      <c r="AF501" s="6"/>
    </row>
    <row r="502" spans="14:32" x14ac:dyDescent="0.25">
      <c r="N502" s="6"/>
      <c r="AF502" s="6"/>
    </row>
    <row r="503" spans="14:32" x14ac:dyDescent="0.25">
      <c r="N503" s="6"/>
      <c r="AF503" s="6"/>
    </row>
    <row r="504" spans="14:32" x14ac:dyDescent="0.25">
      <c r="N504" s="6"/>
      <c r="AF504" s="6"/>
    </row>
    <row r="505" spans="14:32" x14ac:dyDescent="0.25">
      <c r="N505" s="6"/>
      <c r="AF505" s="6"/>
    </row>
    <row r="506" spans="14:32" x14ac:dyDescent="0.25">
      <c r="N506" s="6"/>
      <c r="AF506" s="6"/>
    </row>
    <row r="507" spans="14:32" x14ac:dyDescent="0.25">
      <c r="N507" s="6"/>
      <c r="AF507" s="6"/>
    </row>
    <row r="508" spans="14:32" x14ac:dyDescent="0.25">
      <c r="N508" s="6"/>
      <c r="AF508" s="6"/>
    </row>
    <row r="509" spans="14:32" x14ac:dyDescent="0.25">
      <c r="N509" s="6"/>
      <c r="AF509" s="6"/>
    </row>
    <row r="510" spans="14:32" x14ac:dyDescent="0.25">
      <c r="N510" s="6"/>
      <c r="AF510" s="6"/>
    </row>
    <row r="511" spans="14:32" x14ac:dyDescent="0.25">
      <c r="N511" s="6"/>
      <c r="AF511" s="6"/>
    </row>
    <row r="512" spans="14:32" x14ac:dyDescent="0.25">
      <c r="N512" s="6"/>
      <c r="AF512" s="6"/>
    </row>
    <row r="513" spans="14:32" x14ac:dyDescent="0.25">
      <c r="N513" s="6"/>
      <c r="AF513" s="6"/>
    </row>
    <row r="514" spans="14:32" x14ac:dyDescent="0.25">
      <c r="N514" s="6"/>
      <c r="AF514" s="6"/>
    </row>
    <row r="515" spans="14:32" x14ac:dyDescent="0.25">
      <c r="N515" s="6"/>
      <c r="AF515" s="6"/>
    </row>
    <row r="516" spans="14:32" x14ac:dyDescent="0.25">
      <c r="N516" s="6"/>
      <c r="AF516" s="6"/>
    </row>
    <row r="517" spans="14:32" x14ac:dyDescent="0.25">
      <c r="N517" s="6"/>
      <c r="AF517" s="6"/>
    </row>
    <row r="518" spans="14:32" x14ac:dyDescent="0.25">
      <c r="N518" s="6"/>
      <c r="AF518" s="6"/>
    </row>
    <row r="519" spans="14:32" x14ac:dyDescent="0.25">
      <c r="N519" s="6"/>
      <c r="AF519" s="6"/>
    </row>
    <row r="520" spans="14:32" x14ac:dyDescent="0.25">
      <c r="N520" s="6"/>
      <c r="AF520" s="6"/>
    </row>
    <row r="521" spans="14:32" x14ac:dyDescent="0.25">
      <c r="N521" s="6"/>
      <c r="AF521" s="6"/>
    </row>
    <row r="522" spans="14:32" x14ac:dyDescent="0.25">
      <c r="N522" s="6"/>
      <c r="AF522" s="6"/>
    </row>
    <row r="523" spans="14:32" x14ac:dyDescent="0.25">
      <c r="N523" s="6"/>
      <c r="AF523" s="6"/>
    </row>
    <row r="524" spans="14:32" x14ac:dyDescent="0.25">
      <c r="N524" s="6"/>
      <c r="AF524" s="6"/>
    </row>
    <row r="525" spans="14:32" x14ac:dyDescent="0.25">
      <c r="N525" s="6"/>
      <c r="AF525" s="6"/>
    </row>
    <row r="526" spans="14:32" x14ac:dyDescent="0.25">
      <c r="N526" s="6"/>
      <c r="AF526" s="6"/>
    </row>
    <row r="527" spans="14:32" x14ac:dyDescent="0.25">
      <c r="N527" s="6"/>
      <c r="AF527" s="6"/>
    </row>
    <row r="528" spans="14:32" x14ac:dyDescent="0.25">
      <c r="N528" s="6"/>
      <c r="AF528" s="6"/>
    </row>
    <row r="529" spans="32:32" x14ac:dyDescent="0.25">
      <c r="AF529" s="6"/>
    </row>
    <row r="530" spans="32:32" x14ac:dyDescent="0.25">
      <c r="AF530" s="6"/>
    </row>
    <row r="531" spans="32:32" x14ac:dyDescent="0.25">
      <c r="AF531" s="6"/>
    </row>
    <row r="532" spans="32:32" x14ac:dyDescent="0.25">
      <c r="AF532" s="6"/>
    </row>
    <row r="533" spans="32:32" x14ac:dyDescent="0.25">
      <c r="AF533" s="6"/>
    </row>
    <row r="534" spans="32:32" x14ac:dyDescent="0.25">
      <c r="AF534" s="6"/>
    </row>
    <row r="535" spans="32:32" x14ac:dyDescent="0.25">
      <c r="AF535" s="6"/>
    </row>
    <row r="536" spans="32:32" x14ac:dyDescent="0.25">
      <c r="AF536" s="6"/>
    </row>
    <row r="537" spans="32:32" x14ac:dyDescent="0.25">
      <c r="AF537" s="6"/>
    </row>
    <row r="538" spans="32:32" x14ac:dyDescent="0.25">
      <c r="AF538" s="6"/>
    </row>
    <row r="539" spans="32:32" x14ac:dyDescent="0.25">
      <c r="AF539" s="6"/>
    </row>
    <row r="540" spans="32:32" x14ac:dyDescent="0.25">
      <c r="AF540" s="6"/>
    </row>
    <row r="541" spans="32:32" x14ac:dyDescent="0.25">
      <c r="AF541" s="6"/>
    </row>
    <row r="542" spans="32:32" x14ac:dyDescent="0.25">
      <c r="AF542" s="6"/>
    </row>
    <row r="543" spans="32:32" x14ac:dyDescent="0.25">
      <c r="AF543" s="6"/>
    </row>
    <row r="544" spans="32:32" x14ac:dyDescent="0.25">
      <c r="AF544" s="6"/>
    </row>
    <row r="545" spans="32:32" x14ac:dyDescent="0.25">
      <c r="AF545" s="6"/>
    </row>
    <row r="546" spans="32:32" x14ac:dyDescent="0.25">
      <c r="AF546" s="6"/>
    </row>
    <row r="547" spans="32:32" x14ac:dyDescent="0.25">
      <c r="AF547" s="6"/>
    </row>
    <row r="548" spans="32:32" x14ac:dyDescent="0.25">
      <c r="AF548" s="6"/>
    </row>
    <row r="549" spans="32:32" x14ac:dyDescent="0.25">
      <c r="AF549" s="6"/>
    </row>
    <row r="550" spans="32:32" x14ac:dyDescent="0.25">
      <c r="AF550" s="6"/>
    </row>
    <row r="551" spans="32:32" x14ac:dyDescent="0.25">
      <c r="AF551" s="6"/>
    </row>
    <row r="552" spans="32:32" x14ac:dyDescent="0.25">
      <c r="AF552" s="6"/>
    </row>
    <row r="553" spans="32:32" x14ac:dyDescent="0.25">
      <c r="AF553" s="6"/>
    </row>
    <row r="554" spans="32:32" x14ac:dyDescent="0.25">
      <c r="AF554" s="6"/>
    </row>
    <row r="555" spans="32:32" x14ac:dyDescent="0.25">
      <c r="AF555" s="6"/>
    </row>
    <row r="556" spans="32:32" x14ac:dyDescent="0.25">
      <c r="AF556" s="6"/>
    </row>
    <row r="557" spans="32:32" x14ac:dyDescent="0.25">
      <c r="AF557" s="6"/>
    </row>
    <row r="558" spans="32:32" x14ac:dyDescent="0.25">
      <c r="AF558" s="6"/>
    </row>
    <row r="559" spans="32:32" x14ac:dyDescent="0.25">
      <c r="AF559" s="6"/>
    </row>
    <row r="560" spans="32:32" x14ac:dyDescent="0.25">
      <c r="AF560" s="6"/>
    </row>
    <row r="561" spans="32:32" x14ac:dyDescent="0.25">
      <c r="AF561" s="6"/>
    </row>
    <row r="562" spans="32:32" x14ac:dyDescent="0.25">
      <c r="AF562" s="6"/>
    </row>
    <row r="563" spans="32:32" x14ac:dyDescent="0.25">
      <c r="AF563" s="6"/>
    </row>
    <row r="564" spans="32:32" x14ac:dyDescent="0.25">
      <c r="AF564" s="6"/>
    </row>
    <row r="565" spans="32:32" x14ac:dyDescent="0.25">
      <c r="AF565" s="6"/>
    </row>
    <row r="566" spans="32:32" x14ac:dyDescent="0.25">
      <c r="AF566" s="6"/>
    </row>
    <row r="567" spans="32:32" x14ac:dyDescent="0.25">
      <c r="AF567" s="6"/>
    </row>
    <row r="568" spans="32:32" x14ac:dyDescent="0.25">
      <c r="AF568" s="6"/>
    </row>
    <row r="569" spans="32:32" x14ac:dyDescent="0.25">
      <c r="AF569" s="6"/>
    </row>
    <row r="570" spans="32:32" x14ac:dyDescent="0.25">
      <c r="AF570" s="6"/>
    </row>
    <row r="571" spans="32:32" x14ac:dyDescent="0.25">
      <c r="AF571" s="6"/>
    </row>
    <row r="572" spans="32:32" x14ac:dyDescent="0.25">
      <c r="AF572" s="6"/>
    </row>
    <row r="573" spans="32:32" x14ac:dyDescent="0.25">
      <c r="AF573" s="6"/>
    </row>
    <row r="574" spans="32:32" x14ac:dyDescent="0.25">
      <c r="AF574" s="6"/>
    </row>
    <row r="575" spans="32:32" x14ac:dyDescent="0.25">
      <c r="AF575" s="6"/>
    </row>
    <row r="576" spans="32:32" x14ac:dyDescent="0.25">
      <c r="AF576" s="6"/>
    </row>
    <row r="577" spans="32:32" x14ac:dyDescent="0.25">
      <c r="AF577" s="6"/>
    </row>
    <row r="578" spans="32:32" x14ac:dyDescent="0.25">
      <c r="AF578" s="6"/>
    </row>
    <row r="579" spans="32:32" x14ac:dyDescent="0.25">
      <c r="AF579" s="6"/>
    </row>
    <row r="580" spans="32:32" x14ac:dyDescent="0.25">
      <c r="AF580" s="6"/>
    </row>
    <row r="581" spans="32:32" x14ac:dyDescent="0.25">
      <c r="AF581" s="6"/>
    </row>
    <row r="582" spans="32:32" x14ac:dyDescent="0.25">
      <c r="AF582" s="6"/>
    </row>
    <row r="583" spans="32:32" x14ac:dyDescent="0.25">
      <c r="AF583" s="6"/>
    </row>
    <row r="584" spans="32:32" x14ac:dyDescent="0.25">
      <c r="AF584" s="6"/>
    </row>
    <row r="585" spans="32:32" x14ac:dyDescent="0.25">
      <c r="AF585" s="6"/>
    </row>
    <row r="586" spans="32:32" x14ac:dyDescent="0.25">
      <c r="AF586" s="6"/>
    </row>
    <row r="587" spans="32:32" x14ac:dyDescent="0.25">
      <c r="AF587" s="6"/>
    </row>
    <row r="588" spans="32:32" x14ac:dyDescent="0.25">
      <c r="AF588" s="6"/>
    </row>
    <row r="589" spans="32:32" x14ac:dyDescent="0.25">
      <c r="AF589" s="6"/>
    </row>
    <row r="590" spans="32:32" x14ac:dyDescent="0.25">
      <c r="AF590" s="6"/>
    </row>
    <row r="591" spans="32:32" x14ac:dyDescent="0.25">
      <c r="AF591" s="6"/>
    </row>
    <row r="592" spans="32:32" x14ac:dyDescent="0.25">
      <c r="AF592" s="6"/>
    </row>
    <row r="593" spans="32:32" x14ac:dyDescent="0.25">
      <c r="AF593" s="6"/>
    </row>
    <row r="594" spans="32:32" x14ac:dyDescent="0.25">
      <c r="AF594" s="6"/>
    </row>
    <row r="595" spans="32:32" x14ac:dyDescent="0.25">
      <c r="AF595" s="6"/>
    </row>
    <row r="596" spans="32:32" x14ac:dyDescent="0.25">
      <c r="AF596" s="6"/>
    </row>
    <row r="597" spans="32:32" x14ac:dyDescent="0.25">
      <c r="AF597" s="6"/>
    </row>
    <row r="598" spans="32:32" x14ac:dyDescent="0.25">
      <c r="AF598" s="6"/>
    </row>
    <row r="599" spans="32:32" x14ac:dyDescent="0.25">
      <c r="AF599" s="6"/>
    </row>
    <row r="600" spans="32:32" x14ac:dyDescent="0.25">
      <c r="AF600" s="6"/>
    </row>
    <row r="601" spans="32:32" x14ac:dyDescent="0.25">
      <c r="AF601" s="6"/>
    </row>
    <row r="602" spans="32:32" x14ac:dyDescent="0.25">
      <c r="AF602" s="6"/>
    </row>
    <row r="603" spans="32:32" x14ac:dyDescent="0.25">
      <c r="AF603" s="6"/>
    </row>
    <row r="604" spans="32:32" x14ac:dyDescent="0.25">
      <c r="AF604" s="6"/>
    </row>
    <row r="605" spans="32:32" x14ac:dyDescent="0.25">
      <c r="AF605" s="6"/>
    </row>
    <row r="606" spans="32:32" x14ac:dyDescent="0.25">
      <c r="AF606" s="6"/>
    </row>
    <row r="607" spans="32:32" x14ac:dyDescent="0.25">
      <c r="AF607" s="6"/>
    </row>
    <row r="608" spans="32:32" x14ac:dyDescent="0.25">
      <c r="AF608" s="6"/>
    </row>
    <row r="609" spans="32:32" x14ac:dyDescent="0.25">
      <c r="AF609" s="6"/>
    </row>
    <row r="610" spans="32:32" x14ac:dyDescent="0.25">
      <c r="AF610" s="6"/>
    </row>
    <row r="611" spans="32:32" x14ac:dyDescent="0.25">
      <c r="AF611" s="6"/>
    </row>
    <row r="612" spans="32:32" x14ac:dyDescent="0.25">
      <c r="AF612" s="6"/>
    </row>
    <row r="613" spans="32:32" x14ac:dyDescent="0.25">
      <c r="AF613" s="6"/>
    </row>
    <row r="614" spans="32:32" x14ac:dyDescent="0.25">
      <c r="AF614" s="6"/>
    </row>
    <row r="615" spans="32:32" x14ac:dyDescent="0.25">
      <c r="AF615" s="6"/>
    </row>
    <row r="616" spans="32:32" x14ac:dyDescent="0.25">
      <c r="AF616" s="6"/>
    </row>
    <row r="617" spans="32:32" x14ac:dyDescent="0.25">
      <c r="AF617" s="6"/>
    </row>
    <row r="618" spans="32:32" x14ac:dyDescent="0.25">
      <c r="AF618" s="6"/>
    </row>
    <row r="619" spans="32:32" x14ac:dyDescent="0.25">
      <c r="AF619" s="6"/>
    </row>
    <row r="620" spans="32:32" x14ac:dyDescent="0.25">
      <c r="AF620" s="6"/>
    </row>
    <row r="621" spans="32:32" x14ac:dyDescent="0.25">
      <c r="AF621" s="6"/>
    </row>
    <row r="622" spans="32:32" x14ac:dyDescent="0.25">
      <c r="AF622" s="6"/>
    </row>
    <row r="623" spans="32:32" x14ac:dyDescent="0.25">
      <c r="AF623" s="6"/>
    </row>
    <row r="624" spans="32:32" x14ac:dyDescent="0.25">
      <c r="AF624" s="6"/>
    </row>
    <row r="625" spans="32:32" x14ac:dyDescent="0.25">
      <c r="AF625" s="6"/>
    </row>
    <row r="626" spans="32:32" x14ac:dyDescent="0.25">
      <c r="AF626" s="6"/>
    </row>
    <row r="627" spans="32:32" x14ac:dyDescent="0.25">
      <c r="AF627" s="6"/>
    </row>
    <row r="628" spans="32:32" x14ac:dyDescent="0.25">
      <c r="AF628" s="6"/>
    </row>
    <row r="629" spans="32:32" x14ac:dyDescent="0.25">
      <c r="AF629" s="6"/>
    </row>
    <row r="630" spans="32:32" x14ac:dyDescent="0.25">
      <c r="AF630" s="6"/>
    </row>
    <row r="631" spans="32:32" x14ac:dyDescent="0.25">
      <c r="AF631" s="6"/>
    </row>
    <row r="632" spans="32:32" x14ac:dyDescent="0.25">
      <c r="AF632" s="6"/>
    </row>
    <row r="633" spans="32:32" x14ac:dyDescent="0.25">
      <c r="AF633" s="6"/>
    </row>
    <row r="634" spans="32:32" x14ac:dyDescent="0.25">
      <c r="AF634" s="6"/>
    </row>
    <row r="635" spans="32:32" x14ac:dyDescent="0.25">
      <c r="AF635" s="6"/>
    </row>
    <row r="636" spans="32:32" x14ac:dyDescent="0.25">
      <c r="AF636" s="6"/>
    </row>
    <row r="637" spans="32:32" x14ac:dyDescent="0.25">
      <c r="AF637" s="6"/>
    </row>
    <row r="638" spans="32:32" x14ac:dyDescent="0.25">
      <c r="AF638" s="6"/>
    </row>
    <row r="639" spans="32:32" x14ac:dyDescent="0.25">
      <c r="AF639" s="6"/>
    </row>
    <row r="640" spans="32:32" x14ac:dyDescent="0.25">
      <c r="AF640" s="6"/>
    </row>
    <row r="641" spans="32:32" x14ac:dyDescent="0.25">
      <c r="AF641" s="6"/>
    </row>
    <row r="642" spans="32:32" x14ac:dyDescent="0.25">
      <c r="AF642" s="6"/>
    </row>
    <row r="643" spans="32:32" x14ac:dyDescent="0.25">
      <c r="AF643" s="6"/>
    </row>
    <row r="644" spans="32:32" x14ac:dyDescent="0.25">
      <c r="AF644" s="6"/>
    </row>
    <row r="645" spans="32:32" x14ac:dyDescent="0.25">
      <c r="AF645" s="6"/>
    </row>
    <row r="646" spans="32:32" x14ac:dyDescent="0.25">
      <c r="AF646" s="6"/>
    </row>
    <row r="647" spans="32:32" x14ac:dyDescent="0.25">
      <c r="AF647" s="6"/>
    </row>
    <row r="648" spans="32:32" x14ac:dyDescent="0.25">
      <c r="AF648" s="6"/>
    </row>
    <row r="649" spans="32:32" x14ac:dyDescent="0.25">
      <c r="AF649" s="6"/>
    </row>
    <row r="650" spans="32:32" x14ac:dyDescent="0.25">
      <c r="AF650" s="6"/>
    </row>
    <row r="651" spans="32:32" x14ac:dyDescent="0.25">
      <c r="AF651" s="6"/>
    </row>
    <row r="652" spans="32:32" x14ac:dyDescent="0.25">
      <c r="AF652" s="6"/>
    </row>
    <row r="653" spans="32:32" x14ac:dyDescent="0.25">
      <c r="AF653" s="6"/>
    </row>
    <row r="654" spans="32:32" x14ac:dyDescent="0.25">
      <c r="AF654" s="6"/>
    </row>
    <row r="655" spans="32:32" x14ac:dyDescent="0.25">
      <c r="AF655" s="6"/>
    </row>
    <row r="656" spans="32:32" x14ac:dyDescent="0.25">
      <c r="AF656" s="6"/>
    </row>
    <row r="657" spans="32:32" x14ac:dyDescent="0.25">
      <c r="AF657" s="6"/>
    </row>
    <row r="658" spans="32:32" x14ac:dyDescent="0.25">
      <c r="AF658" s="6"/>
    </row>
    <row r="659" spans="32:32" x14ac:dyDescent="0.25">
      <c r="AF659" s="6"/>
    </row>
    <row r="660" spans="32:32" x14ac:dyDescent="0.25">
      <c r="AF660" s="6"/>
    </row>
    <row r="661" spans="32:32" x14ac:dyDescent="0.25">
      <c r="AF661" s="6"/>
    </row>
    <row r="662" spans="32:32" x14ac:dyDescent="0.25">
      <c r="AF662" s="6"/>
    </row>
    <row r="663" spans="32:32" x14ac:dyDescent="0.25">
      <c r="AF663" s="6"/>
    </row>
    <row r="664" spans="32:32" x14ac:dyDescent="0.25">
      <c r="AF664" s="6"/>
    </row>
    <row r="665" spans="32:32" x14ac:dyDescent="0.25">
      <c r="AF665" s="6"/>
    </row>
    <row r="666" spans="32:32" x14ac:dyDescent="0.25">
      <c r="AF666" s="6"/>
    </row>
    <row r="667" spans="32:32" x14ac:dyDescent="0.25">
      <c r="AF667" s="6"/>
    </row>
    <row r="668" spans="32:32" x14ac:dyDescent="0.25">
      <c r="AF668" s="6"/>
    </row>
    <row r="669" spans="32:32" x14ac:dyDescent="0.25">
      <c r="AF669" s="6"/>
    </row>
    <row r="670" spans="32:32" x14ac:dyDescent="0.25">
      <c r="AF670" s="6"/>
    </row>
    <row r="671" spans="32:32" x14ac:dyDescent="0.25">
      <c r="AF671" s="6"/>
    </row>
    <row r="672" spans="32:32" x14ac:dyDescent="0.25">
      <c r="AF672" s="6"/>
    </row>
    <row r="673" spans="32:32" x14ac:dyDescent="0.25">
      <c r="AF673" s="6"/>
    </row>
    <row r="674" spans="32:32" x14ac:dyDescent="0.25">
      <c r="AF674" s="6"/>
    </row>
    <row r="675" spans="32:32" x14ac:dyDescent="0.25">
      <c r="AF675" s="6"/>
    </row>
    <row r="676" spans="32:32" x14ac:dyDescent="0.25">
      <c r="AF676" s="6"/>
    </row>
    <row r="677" spans="32:32" x14ac:dyDescent="0.25">
      <c r="AF677" s="6"/>
    </row>
    <row r="678" spans="32:32" x14ac:dyDescent="0.25">
      <c r="AF678" s="6"/>
    </row>
    <row r="679" spans="32:32" x14ac:dyDescent="0.25">
      <c r="AF679" s="6"/>
    </row>
    <row r="680" spans="32:32" x14ac:dyDescent="0.25">
      <c r="AF680" s="6"/>
    </row>
    <row r="681" spans="32:32" x14ac:dyDescent="0.25">
      <c r="AF681" s="6"/>
    </row>
    <row r="682" spans="32:32" x14ac:dyDescent="0.25">
      <c r="AF682" s="6"/>
    </row>
    <row r="683" spans="32:32" x14ac:dyDescent="0.25">
      <c r="AF683" s="6"/>
    </row>
    <row r="684" spans="32:32" x14ac:dyDescent="0.25">
      <c r="AF684" s="6"/>
    </row>
    <row r="685" spans="32:32" x14ac:dyDescent="0.25">
      <c r="AF685" s="6"/>
    </row>
    <row r="686" spans="32:32" x14ac:dyDescent="0.25">
      <c r="AF686" s="6"/>
    </row>
    <row r="687" spans="32:32" x14ac:dyDescent="0.25">
      <c r="AF687" s="6"/>
    </row>
    <row r="688" spans="32:32" x14ac:dyDescent="0.25">
      <c r="AF688" s="6"/>
    </row>
    <row r="689" spans="32:32" x14ac:dyDescent="0.25">
      <c r="AF689" s="6"/>
    </row>
    <row r="690" spans="32:32" x14ac:dyDescent="0.25">
      <c r="AF690" s="6"/>
    </row>
    <row r="691" spans="32:32" x14ac:dyDescent="0.25">
      <c r="AF691" s="6"/>
    </row>
    <row r="692" spans="32:32" x14ac:dyDescent="0.25">
      <c r="AF692" s="6"/>
    </row>
    <row r="693" spans="32:32" x14ac:dyDescent="0.25">
      <c r="AF693" s="6"/>
    </row>
    <row r="694" spans="32:32" x14ac:dyDescent="0.25">
      <c r="AF694" s="6"/>
    </row>
    <row r="695" spans="32:32" x14ac:dyDescent="0.25">
      <c r="AF695" s="6"/>
    </row>
    <row r="696" spans="32:32" x14ac:dyDescent="0.25">
      <c r="AF696" s="6"/>
    </row>
    <row r="697" spans="32:32" x14ac:dyDescent="0.25">
      <c r="AF697" s="6"/>
    </row>
    <row r="698" spans="32:32" x14ac:dyDescent="0.25">
      <c r="AF698" s="6"/>
    </row>
    <row r="699" spans="32:32" x14ac:dyDescent="0.25">
      <c r="AF699" s="6"/>
    </row>
    <row r="700" spans="32:32" x14ac:dyDescent="0.25">
      <c r="AF700" s="6"/>
    </row>
    <row r="701" spans="32:32" x14ac:dyDescent="0.25">
      <c r="AF701" s="6"/>
    </row>
    <row r="702" spans="32:32" x14ac:dyDescent="0.25">
      <c r="AF702" s="6"/>
    </row>
    <row r="703" spans="32:32" x14ac:dyDescent="0.25">
      <c r="AF703" s="6"/>
    </row>
    <row r="704" spans="32:32" x14ac:dyDescent="0.25">
      <c r="AF704" s="6"/>
    </row>
    <row r="705" spans="32:32" x14ac:dyDescent="0.25">
      <c r="AF705" s="6"/>
    </row>
    <row r="706" spans="32:32" x14ac:dyDescent="0.25">
      <c r="AF706" s="6"/>
    </row>
    <row r="707" spans="32:32" x14ac:dyDescent="0.25">
      <c r="AF707" s="6"/>
    </row>
    <row r="708" spans="32:32" x14ac:dyDescent="0.25">
      <c r="AF708" s="6"/>
    </row>
    <row r="709" spans="32:32" x14ac:dyDescent="0.25">
      <c r="AF709" s="6"/>
    </row>
    <row r="710" spans="32:32" x14ac:dyDescent="0.25">
      <c r="AF710" s="6"/>
    </row>
    <row r="711" spans="32:32" x14ac:dyDescent="0.25">
      <c r="AF711" s="6"/>
    </row>
    <row r="712" spans="32:32" x14ac:dyDescent="0.25">
      <c r="AF712" s="6"/>
    </row>
    <row r="713" spans="32:32" x14ac:dyDescent="0.25">
      <c r="AF713" s="6"/>
    </row>
    <row r="714" spans="32:32" x14ac:dyDescent="0.25">
      <c r="AF714" s="6"/>
    </row>
    <row r="715" spans="32:32" x14ac:dyDescent="0.25">
      <c r="AF715" s="6"/>
    </row>
    <row r="716" spans="32:32" x14ac:dyDescent="0.25">
      <c r="AF716" s="6"/>
    </row>
    <row r="717" spans="32:32" x14ac:dyDescent="0.25">
      <c r="AF717" s="6"/>
    </row>
    <row r="718" spans="32:32" x14ac:dyDescent="0.25">
      <c r="AF718" s="6"/>
    </row>
    <row r="719" spans="32:32" x14ac:dyDescent="0.25">
      <c r="AF719" s="6"/>
    </row>
    <row r="720" spans="32:32" x14ac:dyDescent="0.25">
      <c r="AF720" s="6"/>
    </row>
    <row r="721" spans="32:32" x14ac:dyDescent="0.25">
      <c r="AF721" s="6"/>
    </row>
    <row r="722" spans="32:32" x14ac:dyDescent="0.25">
      <c r="AF722" s="6"/>
    </row>
    <row r="723" spans="32:32" x14ac:dyDescent="0.25">
      <c r="AF723" s="6"/>
    </row>
    <row r="724" spans="32:32" x14ac:dyDescent="0.25">
      <c r="AF724" s="6"/>
    </row>
    <row r="725" spans="32:32" x14ac:dyDescent="0.25">
      <c r="AF725" s="6"/>
    </row>
    <row r="726" spans="32:32" x14ac:dyDescent="0.25">
      <c r="AF726" s="6"/>
    </row>
    <row r="727" spans="32:32" x14ac:dyDescent="0.25">
      <c r="AF727" s="6"/>
    </row>
    <row r="728" spans="32:32" x14ac:dyDescent="0.25">
      <c r="AF728" s="6"/>
    </row>
    <row r="729" spans="32:32" x14ac:dyDescent="0.25">
      <c r="AF729" s="6"/>
    </row>
    <row r="730" spans="32:32" x14ac:dyDescent="0.25">
      <c r="AF730" s="6"/>
    </row>
    <row r="731" spans="32:32" x14ac:dyDescent="0.25">
      <c r="AF731" s="6"/>
    </row>
    <row r="732" spans="32:32" x14ac:dyDescent="0.25">
      <c r="AF732" s="6"/>
    </row>
    <row r="733" spans="32:32" x14ac:dyDescent="0.25">
      <c r="AF733" s="6"/>
    </row>
    <row r="734" spans="32:32" x14ac:dyDescent="0.25">
      <c r="AF734" s="6"/>
    </row>
    <row r="735" spans="32:32" x14ac:dyDescent="0.25">
      <c r="AF735" s="6"/>
    </row>
    <row r="736" spans="32:32" x14ac:dyDescent="0.25">
      <c r="AF736" s="6"/>
    </row>
    <row r="737" spans="32:32" x14ac:dyDescent="0.25">
      <c r="AF737" s="6"/>
    </row>
    <row r="738" spans="32:32" x14ac:dyDescent="0.25">
      <c r="AF738" s="6"/>
    </row>
    <row r="739" spans="32:32" x14ac:dyDescent="0.25">
      <c r="AF739" s="6"/>
    </row>
    <row r="740" spans="32:32" x14ac:dyDescent="0.25">
      <c r="AF740" s="6"/>
    </row>
    <row r="741" spans="32:32" x14ac:dyDescent="0.25">
      <c r="AF741" s="6"/>
    </row>
    <row r="742" spans="32:32" x14ac:dyDescent="0.25">
      <c r="AF742" s="6"/>
    </row>
    <row r="743" spans="32:32" x14ac:dyDescent="0.25">
      <c r="AF743" s="6"/>
    </row>
    <row r="744" spans="32:32" x14ac:dyDescent="0.25">
      <c r="AF744" s="6"/>
    </row>
    <row r="745" spans="32:32" x14ac:dyDescent="0.25">
      <c r="AF745" s="6"/>
    </row>
    <row r="746" spans="32:32" x14ac:dyDescent="0.25">
      <c r="AF746" s="6"/>
    </row>
    <row r="747" spans="32:32" x14ac:dyDescent="0.25">
      <c r="AF747" s="6"/>
    </row>
    <row r="748" spans="32:32" x14ac:dyDescent="0.25">
      <c r="AF748" s="6"/>
    </row>
    <row r="749" spans="32:32" x14ac:dyDescent="0.25">
      <c r="AF749" s="6"/>
    </row>
    <row r="750" spans="32:32" x14ac:dyDescent="0.25">
      <c r="AF750" s="6"/>
    </row>
    <row r="751" spans="32:32" x14ac:dyDescent="0.25">
      <c r="AF751" s="6"/>
    </row>
    <row r="752" spans="32:32" x14ac:dyDescent="0.25">
      <c r="AF752" s="6"/>
    </row>
    <row r="753" spans="32:32" x14ac:dyDescent="0.25">
      <c r="AF753" s="6"/>
    </row>
    <row r="754" spans="32:32" x14ac:dyDescent="0.25">
      <c r="AF754" s="6"/>
    </row>
    <row r="755" spans="32:32" x14ac:dyDescent="0.25">
      <c r="AF755" s="6"/>
    </row>
    <row r="756" spans="32:32" x14ac:dyDescent="0.25">
      <c r="AF756" s="6"/>
    </row>
    <row r="757" spans="32:32" x14ac:dyDescent="0.25">
      <c r="AF757" s="6"/>
    </row>
    <row r="758" spans="32:32" x14ac:dyDescent="0.25">
      <c r="AF758" s="6"/>
    </row>
    <row r="759" spans="32:32" x14ac:dyDescent="0.25">
      <c r="AF759" s="6"/>
    </row>
    <row r="760" spans="32:32" x14ac:dyDescent="0.25">
      <c r="AF760" s="6"/>
    </row>
    <row r="761" spans="32:32" x14ac:dyDescent="0.25">
      <c r="AF761" s="6"/>
    </row>
    <row r="762" spans="32:32" x14ac:dyDescent="0.25">
      <c r="AF762" s="6"/>
    </row>
    <row r="763" spans="32:32" x14ac:dyDescent="0.25">
      <c r="AF763" s="6"/>
    </row>
    <row r="764" spans="32:32" x14ac:dyDescent="0.25">
      <c r="AF764" s="6"/>
    </row>
    <row r="765" spans="32:32" x14ac:dyDescent="0.25">
      <c r="AF765" s="6"/>
    </row>
    <row r="766" spans="32:32" x14ac:dyDescent="0.25">
      <c r="AF766" s="6"/>
    </row>
    <row r="767" spans="32:32" x14ac:dyDescent="0.25">
      <c r="AF767" s="6"/>
    </row>
    <row r="768" spans="32:32" x14ac:dyDescent="0.25">
      <c r="AF768" s="6"/>
    </row>
    <row r="769" spans="32:32" x14ac:dyDescent="0.25">
      <c r="AF769" s="6"/>
    </row>
    <row r="770" spans="32:32" x14ac:dyDescent="0.25">
      <c r="AF770" s="6"/>
    </row>
    <row r="771" spans="32:32" x14ac:dyDescent="0.25">
      <c r="AF771" s="6"/>
    </row>
    <row r="772" spans="32:32" x14ac:dyDescent="0.25">
      <c r="AF772" s="6"/>
    </row>
    <row r="773" spans="32:32" x14ac:dyDescent="0.25">
      <c r="AF773" s="6"/>
    </row>
    <row r="774" spans="32:32" x14ac:dyDescent="0.25">
      <c r="AF774" s="6"/>
    </row>
    <row r="775" spans="32:32" x14ac:dyDescent="0.25">
      <c r="AF775" s="6"/>
    </row>
    <row r="776" spans="32:32" x14ac:dyDescent="0.25">
      <c r="AF776" s="6"/>
    </row>
    <row r="777" spans="32:32" x14ac:dyDescent="0.25">
      <c r="AF777" s="6"/>
    </row>
    <row r="778" spans="32:32" x14ac:dyDescent="0.25">
      <c r="AF778" s="6"/>
    </row>
    <row r="779" spans="32:32" x14ac:dyDescent="0.25">
      <c r="AF779" s="6"/>
    </row>
    <row r="780" spans="32:32" x14ac:dyDescent="0.25">
      <c r="AF780" s="6"/>
    </row>
    <row r="781" spans="32:32" x14ac:dyDescent="0.25">
      <c r="AF781" s="6"/>
    </row>
    <row r="782" spans="32:32" x14ac:dyDescent="0.25">
      <c r="AF782" s="6"/>
    </row>
    <row r="783" spans="32:32" x14ac:dyDescent="0.25">
      <c r="AF783" s="6"/>
    </row>
    <row r="784" spans="32:32" x14ac:dyDescent="0.25">
      <c r="AF784" s="6"/>
    </row>
    <row r="785" spans="32:32" x14ac:dyDescent="0.25">
      <c r="AF785" s="6"/>
    </row>
    <row r="786" spans="32:32" x14ac:dyDescent="0.25">
      <c r="AF786" s="6"/>
    </row>
    <row r="787" spans="32:32" x14ac:dyDescent="0.25">
      <c r="AF787" s="6"/>
    </row>
    <row r="788" spans="32:32" x14ac:dyDescent="0.25">
      <c r="AF788" s="6"/>
    </row>
    <row r="789" spans="32:32" x14ac:dyDescent="0.25">
      <c r="AF789" s="6"/>
    </row>
    <row r="790" spans="32:32" x14ac:dyDescent="0.25">
      <c r="AF790" s="6"/>
    </row>
    <row r="791" spans="32:32" x14ac:dyDescent="0.25">
      <c r="AF791" s="6"/>
    </row>
    <row r="792" spans="32:32" x14ac:dyDescent="0.25">
      <c r="AF792" s="6"/>
    </row>
    <row r="793" spans="32:32" x14ac:dyDescent="0.25">
      <c r="AF793" s="6"/>
    </row>
    <row r="794" spans="32:32" x14ac:dyDescent="0.25">
      <c r="AF794" s="6"/>
    </row>
    <row r="795" spans="32:32" x14ac:dyDescent="0.25">
      <c r="AF795" s="6"/>
    </row>
    <row r="796" spans="32:32" x14ac:dyDescent="0.25">
      <c r="AF796" s="6"/>
    </row>
    <row r="797" spans="32:32" x14ac:dyDescent="0.25">
      <c r="AF797" s="6"/>
    </row>
    <row r="798" spans="32:32" x14ac:dyDescent="0.25">
      <c r="AF798" s="6"/>
    </row>
    <row r="799" spans="32:32" x14ac:dyDescent="0.25">
      <c r="AF799" s="6"/>
    </row>
    <row r="800" spans="32:32" x14ac:dyDescent="0.25">
      <c r="AF800" s="6"/>
    </row>
    <row r="801" spans="32:32" x14ac:dyDescent="0.25">
      <c r="AF801" s="6"/>
    </row>
    <row r="802" spans="32:32" x14ac:dyDescent="0.25">
      <c r="AF802" s="6"/>
    </row>
    <row r="803" spans="32:32" x14ac:dyDescent="0.25">
      <c r="AF803" s="6"/>
    </row>
    <row r="804" spans="32:32" x14ac:dyDescent="0.25">
      <c r="AF804" s="6"/>
    </row>
    <row r="805" spans="32:32" x14ac:dyDescent="0.25">
      <c r="AF805" s="6"/>
    </row>
    <row r="806" spans="32:32" x14ac:dyDescent="0.25">
      <c r="AF806" s="6"/>
    </row>
    <row r="807" spans="32:32" x14ac:dyDescent="0.25">
      <c r="AF807" s="6"/>
    </row>
    <row r="808" spans="32:32" x14ac:dyDescent="0.25">
      <c r="AF808" s="6"/>
    </row>
    <row r="809" spans="32:32" x14ac:dyDescent="0.25">
      <c r="AF809" s="6"/>
    </row>
    <row r="810" spans="32:32" x14ac:dyDescent="0.25">
      <c r="AF810" s="6"/>
    </row>
    <row r="811" spans="32:32" x14ac:dyDescent="0.25">
      <c r="AF811" s="6"/>
    </row>
    <row r="812" spans="32:32" x14ac:dyDescent="0.25">
      <c r="AF812" s="6"/>
    </row>
    <row r="813" spans="32:32" x14ac:dyDescent="0.25">
      <c r="AF813" s="6"/>
    </row>
    <row r="814" spans="32:32" x14ac:dyDescent="0.25">
      <c r="AF814" s="6"/>
    </row>
    <row r="815" spans="32:32" x14ac:dyDescent="0.25">
      <c r="AF815" s="6"/>
    </row>
    <row r="816" spans="32:32" x14ac:dyDescent="0.25">
      <c r="AF816" s="6"/>
    </row>
    <row r="817" spans="32:32" x14ac:dyDescent="0.25">
      <c r="AF817" s="6"/>
    </row>
    <row r="818" spans="32:32" x14ac:dyDescent="0.25">
      <c r="AF818" s="6"/>
    </row>
    <row r="819" spans="32:32" x14ac:dyDescent="0.25">
      <c r="AF819" s="6"/>
    </row>
    <row r="820" spans="32:32" x14ac:dyDescent="0.25">
      <c r="AF820" s="6"/>
    </row>
    <row r="821" spans="32:32" x14ac:dyDescent="0.25">
      <c r="AF821" s="6"/>
    </row>
    <row r="822" spans="32:32" x14ac:dyDescent="0.25">
      <c r="AF822" s="6"/>
    </row>
    <row r="823" spans="32:32" x14ac:dyDescent="0.25">
      <c r="AF823" s="6"/>
    </row>
    <row r="824" spans="32:32" x14ac:dyDescent="0.25">
      <c r="AF824" s="6"/>
    </row>
    <row r="825" spans="32:32" x14ac:dyDescent="0.25">
      <c r="AF825" s="6"/>
    </row>
    <row r="826" spans="32:32" x14ac:dyDescent="0.25">
      <c r="AF826" s="6"/>
    </row>
    <row r="827" spans="32:32" x14ac:dyDescent="0.25">
      <c r="AF827" s="6"/>
    </row>
    <row r="828" spans="32:32" x14ac:dyDescent="0.25">
      <c r="AF828" s="6"/>
    </row>
    <row r="829" spans="32:32" x14ac:dyDescent="0.25">
      <c r="AF829" s="6"/>
    </row>
    <row r="830" spans="32:32" x14ac:dyDescent="0.25">
      <c r="AF830" s="6"/>
    </row>
    <row r="831" spans="32:32" x14ac:dyDescent="0.25">
      <c r="AF831" s="6"/>
    </row>
    <row r="832" spans="32:32" x14ac:dyDescent="0.25">
      <c r="AF832" s="6"/>
    </row>
    <row r="833" spans="32:32" x14ac:dyDescent="0.25">
      <c r="AF833" s="6"/>
    </row>
    <row r="834" spans="32:32" x14ac:dyDescent="0.25">
      <c r="AF834" s="6"/>
    </row>
    <row r="835" spans="32:32" x14ac:dyDescent="0.25">
      <c r="AF835" s="6"/>
    </row>
    <row r="836" spans="32:32" x14ac:dyDescent="0.25">
      <c r="AF836" s="6"/>
    </row>
    <row r="837" spans="32:32" x14ac:dyDescent="0.25">
      <c r="AF837" s="6"/>
    </row>
    <row r="838" spans="32:32" x14ac:dyDescent="0.25">
      <c r="AF838" s="6"/>
    </row>
    <row r="839" spans="32:32" x14ac:dyDescent="0.25">
      <c r="AF839" s="6"/>
    </row>
    <row r="840" spans="32:32" x14ac:dyDescent="0.25">
      <c r="AF840" s="6"/>
    </row>
    <row r="841" spans="32:32" x14ac:dyDescent="0.25">
      <c r="AF841" s="6"/>
    </row>
    <row r="842" spans="32:32" x14ac:dyDescent="0.25">
      <c r="AF842" s="6"/>
    </row>
    <row r="843" spans="32:32" x14ac:dyDescent="0.25">
      <c r="AF843" s="6"/>
    </row>
    <row r="844" spans="32:32" x14ac:dyDescent="0.25">
      <c r="AF844" s="6"/>
    </row>
    <row r="845" spans="32:32" x14ac:dyDescent="0.25">
      <c r="AF845" s="6"/>
    </row>
    <row r="846" spans="32:32" x14ac:dyDescent="0.25">
      <c r="AF846" s="6"/>
    </row>
    <row r="847" spans="32:32" x14ac:dyDescent="0.25">
      <c r="AF847" s="6"/>
    </row>
    <row r="848" spans="32:32" x14ac:dyDescent="0.25">
      <c r="AF848" s="6"/>
    </row>
    <row r="849" spans="32:32" x14ac:dyDescent="0.25">
      <c r="AF849" s="6"/>
    </row>
    <row r="850" spans="32:32" x14ac:dyDescent="0.25">
      <c r="AF850" s="6"/>
    </row>
    <row r="851" spans="32:32" x14ac:dyDescent="0.25">
      <c r="AF851" s="6"/>
    </row>
    <row r="852" spans="32:32" x14ac:dyDescent="0.25">
      <c r="AF852" s="6"/>
    </row>
    <row r="853" spans="32:32" x14ac:dyDescent="0.25">
      <c r="AF853" s="6"/>
    </row>
    <row r="854" spans="32:32" x14ac:dyDescent="0.25">
      <c r="AF854" s="6"/>
    </row>
    <row r="855" spans="32:32" x14ac:dyDescent="0.25">
      <c r="AF855" s="6"/>
    </row>
    <row r="856" spans="32:32" x14ac:dyDescent="0.25">
      <c r="AF856" s="6"/>
    </row>
    <row r="857" spans="32:32" x14ac:dyDescent="0.25">
      <c r="AF857" s="6"/>
    </row>
    <row r="858" spans="32:32" x14ac:dyDescent="0.25">
      <c r="AF858" s="6"/>
    </row>
    <row r="859" spans="32:32" x14ac:dyDescent="0.25">
      <c r="AF859" s="6"/>
    </row>
    <row r="860" spans="32:32" x14ac:dyDescent="0.25">
      <c r="AF860" s="6"/>
    </row>
    <row r="861" spans="32:32" x14ac:dyDescent="0.25">
      <c r="AF861" s="6"/>
    </row>
    <row r="862" spans="32:32" x14ac:dyDescent="0.25">
      <c r="AF862" s="6"/>
    </row>
    <row r="863" spans="32:32" x14ac:dyDescent="0.25">
      <c r="AF863" s="6"/>
    </row>
    <row r="864" spans="32:32" x14ac:dyDescent="0.25">
      <c r="AF864" s="6"/>
    </row>
    <row r="865" spans="32:32" x14ac:dyDescent="0.25">
      <c r="AF865" s="6"/>
    </row>
    <row r="866" spans="32:32" x14ac:dyDescent="0.25">
      <c r="AF866" s="6"/>
    </row>
    <row r="867" spans="32:32" x14ac:dyDescent="0.25">
      <c r="AF867" s="6"/>
    </row>
    <row r="868" spans="32:32" x14ac:dyDescent="0.25">
      <c r="AF868" s="6"/>
    </row>
    <row r="869" spans="32:32" x14ac:dyDescent="0.25">
      <c r="AF869" s="6"/>
    </row>
    <row r="870" spans="32:32" x14ac:dyDescent="0.25">
      <c r="AF870" s="6"/>
    </row>
    <row r="871" spans="32:32" x14ac:dyDescent="0.25">
      <c r="AF871" s="6"/>
    </row>
    <row r="872" spans="32:32" x14ac:dyDescent="0.25">
      <c r="AF872" s="6"/>
    </row>
    <row r="873" spans="32:32" x14ac:dyDescent="0.25">
      <c r="AF873" s="6"/>
    </row>
    <row r="874" spans="32:32" x14ac:dyDescent="0.25">
      <c r="AF874" s="6"/>
    </row>
    <row r="875" spans="32:32" x14ac:dyDescent="0.25">
      <c r="AF875" s="6"/>
    </row>
    <row r="876" spans="32:32" x14ac:dyDescent="0.25">
      <c r="AF876" s="6"/>
    </row>
    <row r="877" spans="32:32" x14ac:dyDescent="0.25">
      <c r="AF877" s="6"/>
    </row>
    <row r="878" spans="32:32" x14ac:dyDescent="0.25">
      <c r="AF878" s="6"/>
    </row>
    <row r="879" spans="32:32" x14ac:dyDescent="0.25">
      <c r="AF879" s="6"/>
    </row>
    <row r="880" spans="32:32" x14ac:dyDescent="0.25">
      <c r="AF880" s="6"/>
    </row>
    <row r="881" spans="32:32" x14ac:dyDescent="0.25">
      <c r="AF881" s="6"/>
    </row>
    <row r="882" spans="32:32" x14ac:dyDescent="0.25">
      <c r="AF882" s="6"/>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Jeremy Andreas</cp:lastModifiedBy>
  <dcterms:modified xsi:type="dcterms:W3CDTF">2023-01-15T23:56:29Z</dcterms:modified>
</cp:coreProperties>
</file>