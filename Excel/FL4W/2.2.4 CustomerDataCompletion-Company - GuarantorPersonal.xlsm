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5" r="B9" s="1"/>
  <c i="2" r="B10"/>
  <c i="5" r="C10"/>
  <c i="1" r="F12"/>
  <c i="1" r="E12"/>
  <c i="1" r="D12"/>
  <c i="1" r="C12"/>
  <c i="5" l="1" r="C9"/>
  <c i="7" r="F41"/>
  <c i="7" r="E41"/>
  <c i="7" r="D41"/>
  <c i="7" r="F38"/>
  <c i="7" r="E38"/>
  <c i="7" r="D38"/>
  <c i="7" r="F35"/>
  <c i="7" r="E35"/>
  <c i="7" r="D35"/>
  <c i="7" r="F32"/>
  <c i="7" r="E32"/>
  <c i="7" r="D32"/>
  <c i="7" r="F30"/>
  <c i="7" r="E30"/>
  <c i="7" r="D30"/>
  <c i="7" r="F28"/>
  <c i="7" r="E28"/>
  <c i="7" r="D28"/>
  <c i="7" r="F26"/>
  <c i="7" r="E26"/>
  <c i="7" r="D26"/>
  <c i="7" r="F22"/>
  <c i="7" r="E22"/>
  <c i="7" r="D22"/>
  <c i="7" r="F18"/>
  <c i="7" r="E18"/>
  <c i="7" r="D18"/>
  <c i="7" r="F16"/>
  <c i="7" r="E16"/>
  <c i="7" r="D16"/>
  <c i="7" r="F14"/>
  <c i="7" r="E14"/>
  <c i="7" r="D14"/>
  <c i="7" r="F12"/>
  <c i="7" r="E12"/>
  <c i="7" r="D12"/>
  <c i="7" r="F10"/>
  <c i="7" r="E10"/>
  <c i="7" r="D10"/>
  <c i="7" r="F4"/>
  <c i="7" r="E4"/>
  <c i="7" r="D4"/>
  <c i="7" r="F3"/>
  <c i="7" r="E3"/>
  <c i="7" r="D3"/>
  <c i="7" r="C41"/>
  <c i="7" r="C38"/>
  <c i="7" r="C35"/>
  <c i="7" r="C32"/>
  <c i="7" r="C30"/>
  <c i="7" r="C28"/>
  <c i="7" r="C26"/>
  <c i="7" r="C22"/>
  <c i="7" r="C4" s="1"/>
  <c i="7" r="C18"/>
  <c i="7" r="C16"/>
  <c i="7" r="C14"/>
  <c i="7" r="C12"/>
  <c i="7" r="C10"/>
  <c i="7" r="C3"/>
  <c i="7" r="B3"/>
  <c i="6" r="F10"/>
  <c i="6" r="E10"/>
  <c i="6" r="D10"/>
  <c i="6" r="C10"/>
  <c i="6" r="F4"/>
  <c i="6" r="E4"/>
  <c i="6" r="D4"/>
  <c i="6" r="C4"/>
  <c i="6" r="F3"/>
  <c i="6" r="E3"/>
  <c i="6" r="D3"/>
  <c i="6" r="C3"/>
  <c i="6" r="B3"/>
  <c i="5" r="F23"/>
  <c i="5" r="F10"/>
  <c i="5" r="F9"/>
  <c i="5" r="F4"/>
  <c i="5" r="F3"/>
  <c i="5" r="E23"/>
  <c i="5" r="E10"/>
  <c i="5" r="E9"/>
  <c i="5" r="E4"/>
  <c i="5" r="E3"/>
  <c i="5" r="D23"/>
  <c i="5" r="D10"/>
  <c i="5" r="D9"/>
  <c i="5" r="D4"/>
  <c i="5" r="D3"/>
  <c i="5" r="C23"/>
  <c i="5" r="C4"/>
  <c i="5" r="C3"/>
  <c i="5" r="B3"/>
  <c i="4" r="F10"/>
  <c i="4" r="E10"/>
  <c i="4" r="F4"/>
  <c i="4" r="E4"/>
  <c i="4" r="F3"/>
  <c i="4" r="E3"/>
  <c i="4" r="D10"/>
  <c i="4" r="D4"/>
  <c i="4" r="D3"/>
  <c i="4" r="C10"/>
  <c i="4" r="C4"/>
  <c i="4" r="C3"/>
  <c i="4" r="B3"/>
  <c i="3" r="F47"/>
  <c i="3" r="F42"/>
  <c i="3" r="F38"/>
  <c i="3" r="F32"/>
  <c i="3" r="F28"/>
  <c i="3" r="F21"/>
  <c i="3" r="F14"/>
  <c i="3" r="F10"/>
  <c i="3" r="F4"/>
  <c i="3" r="F3"/>
  <c i="3" r="E47"/>
  <c i="3" r="E42"/>
  <c i="3" r="E38"/>
  <c i="3" r="E32"/>
  <c i="3" r="E28"/>
  <c i="3" r="E21"/>
  <c i="3" r="E14"/>
  <c i="3" r="E10"/>
  <c i="3" r="E4"/>
  <c i="3" r="E3"/>
  <c i="3" r="C47"/>
  <c i="3" r="B47"/>
  <c i="3" r="C42"/>
  <c i="3" r="B42"/>
  <c i="3" r="C38"/>
  <c i="3" r="B38"/>
  <c i="3" r="C32"/>
  <c i="3" r="B32"/>
  <c i="3" r="C28"/>
  <c i="3" r="B28"/>
  <c i="3" r="C21"/>
  <c i="3" r="B21"/>
  <c i="3" r="C14"/>
  <c i="3" r="B14"/>
  <c i="3" r="C10"/>
  <c i="3" r="B10"/>
  <c i="3" r="C4"/>
  <c i="3" r="B4"/>
  <c i="3" r="C3"/>
  <c i="3" r="B3"/>
  <c i="3" r="D3"/>
  <c i="2" r="E9"/>
  <c i="2" r="F9"/>
  <c i="2" r="E10"/>
  <c i="2" r="F10"/>
  <c i="2" r="E4"/>
  <c i="2" r="F4"/>
  <c i="2" r="C3"/>
  <c i="2" r="D3"/>
  <c i="2" r="E3"/>
  <c i="2" r="F3"/>
  <c i="2" r="B3"/>
  <c i="1" r="F4"/>
  <c i="1" r="E4"/>
  <c i="1" r="F26"/>
  <c i="3" l="1" r="D4"/>
  <c i="1" l="1" r="D4"/>
  <c i="1" r="C4"/>
  <c i="2" r="D10"/>
  <c i="2" r="C10"/>
  <c i="5" r="B10"/>
  <c i="2" l="1" r="D4"/>
  <c i="5" l="1" r="B4"/>
  <c i="6" l="1" r="B4"/>
  <c i="2" l="1" r="C4"/>
  <c i="4" l="1" r="B4"/>
  <c i="2" l="1" r="B4"/>
  <c i="1" r="B4"/>
  <c i="3" l="1" r="D14"/>
  <c i="3" r="D21"/>
  <c i="3" r="D28"/>
  <c i="3" r="D32"/>
  <c i="3" r="D38"/>
  <c i="3" r="D42"/>
  <c i="3" r="D47"/>
  <c i="1" r="C26"/>
  <c i="1" r="D26"/>
  <c i="1" r="E26"/>
  <c i="3" l="1" r="D10"/>
  <c i="2" r="D9"/>
  <c i="2" r="C9"/>
  <c i="2" l="1" r="B9"/>
  <c i="7" r="B10"/>
  <c i="6" r="B10"/>
  <c i="4" r="B10"/>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<sst xmlns="http://schemas.openxmlformats.org/spreadsheetml/2006/main" count="4897" uniqueCount="4256">
  <si>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</si>
  <si>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</si>
  <si>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</si>
  <si>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</si>
  <si>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</si>
  <si>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</si>
  <si>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</si>
  <si>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</si>
  <si>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</si>
  <si>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</si>
  <si>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</si>
  <si>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</si>
  <si>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</si>
  <si>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</si>
  <si>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</si>
  <si>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</si>
  <si>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</si>
  <si>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</si>
  <si>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</si>
  <si>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</si>
  <si>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</si>
  <si>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</si>
  <si>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</si>
  <si>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</si>
  <si>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</si>
  <si>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</si>
  <si>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</si>
  <si>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</si>
  <si>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</si>
  <si>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</si>
  <si>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</si>
  <si>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</si>
  <si>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</si>
  <si>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</si>
  <si>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</si>
  <si>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</si>
  <si>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</si>
  <si>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</si>
  <si>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</si>
  <si>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</si>
  <si>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</si>
  <si>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</si>
  <si>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</si>
  <si>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</si>
  <si>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</si>
  <si>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</si>
  <si>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</si>
  <si>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</si>
  <si>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</si>
  <si>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</si>
  <si>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</si>
  <si>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</si>
  <si>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</si>
  <si>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</si>
  <si>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</si>
  <si>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</si>
  <si>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</si>
  <si>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</si>
  <si>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</si>
  <si>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</si>
  <si>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</si>
  <si>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</si>
  <si>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</si>
  <si>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</si>
  <si>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</si>
  <si>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</si>
  <si>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</si>
  <si>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</si>
  <si>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</si>
  <si>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</si>
  <si>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</si>
  <si>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</si>
  <si>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</si>
  <si>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</si>
  <si>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</si>
  <si>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</si>
  <si>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</si>
  <si>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</si>
  <si>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</si>
  <si>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</si>
  <si>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</si>
  <si>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</si>
  <si>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</si>
  <si>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</si>
  <si>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</si>
  <si>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</si>
  <si>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</si>
  <si>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</si>
  <si>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</si>
  <si>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</si>
  <si>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</si>
  <si>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</si>
  <si>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</si>
  <si>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</si>
  <si>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</si>
  <si>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</si>
  <si>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</si>
  <si>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</si>
  <si>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</si>
  <si>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</si>
  <si>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</si>
  <si>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</si>
  <si>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</si>
  <si>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</si>
  <si>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</si>
  <si>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</si>
  <si>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</si>
  <si>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</si>
  <si>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</si>
  <si>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</si>
  <si>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</si>
  <si>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</si>
  <si>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</si>
  <si>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</si>
  <si>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</si>
  <si>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</si>
  <si>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</si>
  <si>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</si>
  <si>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</si>
  <si>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</si>
  <si>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</si>
  <si>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</si>
  <si>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</si>
  <si>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</si>
  <si>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</si>
  <si>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</si>
  <si>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</si>
  <si>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</si>
  <si>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</si>
  <si>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</si>
  <si>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</si>
  <si>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</si>
  <si>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</si>
  <si>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</si>
  <si>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</si>
  <si>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</si>
  <si>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</si>
  <si>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</si>
  <si>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</si>
  <si>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</si>
  <si>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</si>
  <si>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</si>
  <si>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</si>
  <si>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</si>
  <si>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</si>
  <si>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</si>
  <si>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</si>
  <si>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</si>
  <si>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</si>
  <si>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</si>
  <si>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</si>
  <si>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</si>
  <si>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</si>
  <si>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</si>
  <si>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</si>
  <si>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</si>
  <si>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</si>
  <si>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</si>
  <si>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</si>
  <si>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</si>
  <si>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</si>
  <si>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</si>
  <si>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</si>
  <si>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</si>
  <si>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</si>
  <si>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</si>
  <si>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</si>
  <si>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</si>
  <si>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</si>
  <si>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</si>
  <si>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</si>
  <si>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</si>
  <si>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</si>
  <si>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</si>
  <si>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</si>
  <si>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</si>
  <si>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</si>
  <si>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</si>
  <si>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</si>
  <si>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</si>
  <si>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</si>
  <si>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</si>
  <si>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</si>
  <si>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</si>
  <si>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</si>
  <si>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</si>
  <si>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</si>
  <si>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</si>
  <si>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</si>
  <si>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</si>
  <si>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</si>
  <si>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</si>
  <si>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</si>
  <si>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</si>
  <si>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</si>
  <si>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</si>
  <si>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</si>
  <si>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</si>
  <si>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</si>
  <si>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</si>
  <si>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</si>
  <si>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</si>
  <si>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</si>
  <si>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</si>
  <si>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</si>
  <si>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</si>
  <si>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</si>
  <si>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</si>
  <si>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</si>
  <si>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</si>
  <si>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</si>
  <si>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</si>
  <si>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</si>
  <si>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</si>
  <si>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</si>
  <si>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</si>
  <si>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</si>
  <si>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</si>
  <si>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</si>
  <si>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</si>
  <si>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</si>
  <si>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</si>
  <si>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</si>
  <si>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</si>
  <si>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</si>
  <si>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</si>
  <si>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</si>
  <si>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</si>
  <si>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</si>
  <si>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</si>
  <si>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</si>
  <si>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</si>
  <si>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</si>
  <si>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</si>
  <si>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</si>
  <si>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</si>
  <si>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</si>
  <si>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</si>
  <si>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</si>
  <si>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</si>
  <si>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</si>
  <si>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</si>
  <si>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</si>
  <si>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</si>
  <si>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</si>
  <si>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</si>
  <si>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</si>
  <si>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</si>
  <si>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</si>
  <si>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</si>
  <si>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</si>
  <si>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</si>
  <si>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</si>
  <si>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</si>
  <si>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</si>
  <si>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</si>
  <si>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</si>
  <si>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</si>
  <si>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</si>
  <si>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</si>
  <si>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</si>
  <si>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</si>
  <si>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</si>
  <si>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</si>
  <si>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</si>
  <si>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</si>
  <si>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</si>
  <si>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</si>
  <si>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</si>
  <si>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</si>
  <si>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</si>
  <si>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</si>
  <si>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</si>
  <si>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</si>
  <si>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</si>
  <si>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</si>
  <si>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</si>
  <si>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</si>
  <si>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</si>
  <si>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</si>
  <si>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</si>
  <si>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</si>
  <si>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</si>
  <si>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</si>
  <si>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</si>
  <si>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</si>
  <si>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</si>
  <si>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</si>
  <si>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</si>
  <si>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</si>
  <si>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</si>
  <si>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</si>
  <si>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</si>
  <si>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</si>
  <si>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</si>
  <si>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</si>
  <si>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</si>
  <si>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</si>
  <si>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</si>
  <si>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</si>
  <si>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</si>
  <si>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</si>
  <si>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</si>
  <si>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</si>
  <si>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</si>
  <si>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</si>
  <si>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</si>
  <si>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</si>
  <si>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</si>
  <si>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</si>
  <si>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</si>
  <si>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</si>
  <si>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</si>
  <si>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</si>
  <si>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</si>
  <si>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</si>
  <si>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</si>
  <si>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</si>
  <si>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</si>
  <si>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</si>
  <si>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</si>
  <si>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</si>
  <si>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</si>
  <si>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</si>
  <si>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</si>
  <si>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</si>
  <si>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</si>
  <si>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</si>
  <si>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</si>
  <si>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</si>
  <si>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</si>
  <si>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</si>
  <si>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</si>
  <si>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</si>
  <si>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</si>
  <si>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</si>
  <si>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</si>
  <si>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</si>
  <si>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</si>
  <si>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</si>
  <si>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</si>
  <si>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</si>
  <si>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</si>
  <si>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</si>
  <si>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</si>
  <si>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</si>
  <si>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</si>
  <si>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</si>
  <si>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</si>
  <si>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</si>
  <si>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</si>
  <si>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</si>
  <si>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</si>
  <si>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</si>
  <si>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</si>
  <si>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</si>
  <si>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</si>
  <si>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</si>
  <si>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</si>
  <si>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</si>
  <si>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</si>
  <si>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</si>
  <si>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</si>
  <si>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</si>
  <si>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</si>
  <si>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</si>
  <si>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</si>
  <si>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</si>
  <si>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</si>
  <si>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</si>
  <si>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</si>
  <si>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</si>
  <si>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</si>
  <si>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</si>
  <si>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</si>
  <si>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</si>
  <si>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</si>
  <si>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</si>
  <si>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</si>
  <si>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</si>
  <si>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</si>
  <si>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</si>
  <si>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</si>
  <si>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</si>
  <si>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</si>
  <si>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</si>
  <si>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</si>
  <si>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</si>
  <si>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</si>
  <si>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</si>
  <si>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</si>
  <si>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</si>
  <si>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</si>
  <si>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</si>
  <si>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</si>
  <si>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</si>
  <si>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</si>
  <si>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</si>
  <si>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</si>
  <si>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</si>
  <si>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</si>
  <si>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</si>
  <si>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</si>
  <si>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</si>
  <si>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</si>
  <si>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</si>
  <si>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</si>
  <si>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</si>
  <si>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</si>
  <si>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</si>
  <si>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</si>
  <si>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</si>
  <si>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</si>
  <si>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</si>
  <si>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</si>
  <si>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</si>
  <si>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</si>
  <si>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</si>
  <si>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</si>
  <si>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</si>
  <si>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</si>
  <si>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</si>
  <si>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</si>
  <si>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</si>
  <si>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</si>
  <si>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</si>
  <si>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</si>
  <si>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</si>
  <si>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</si>
  <si>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</si>
  <si>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</si>
  <si>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</si>
  <si>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</si>
  <si>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</si>
  <si>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</si>
  <si>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</si>
  <si>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</si>
  <si>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</si>
  <si>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</si>
  <si>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</si>
  <si>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</si>
  <si>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</si>
  <si>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</si>
  <si>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</si>
  <si>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</si>
  <si>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</si>
  <si>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</si>
  <si>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</si>
  <si>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</si>
  <si>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</si>
  <si>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</si>
  <si>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</si>
  <si>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</si>
  <si>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</si>
  <si>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</si>
  <si>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</si>
  <si>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</si>
  <si>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</si>
  <si>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</si>
  <si>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</si>
  <si>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</si>
  <si>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</si>
  <si>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</si>
  <si>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</si>
  <si>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</si>
  <si>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</si>
  <si>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</si>
  <si>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</si>
  <si>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</si>
  <si>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</si>
  <si>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</si>
  <si>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</si>
  <si>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</si>
  <si>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</si>
  <si>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</si>
  <si>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</si>
  <si>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</si>
  <si>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</si>
  <si>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</si>
  <si>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</si>
  <si>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</si>
  <si>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</si>
  <si>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</si>
  <si>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</si>
  <si>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</si>
  <si>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</si>
  <si>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</si>
  <si>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</si>
  <si>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</si>
  <si>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</si>
  <si>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</si>
  <si>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</si>
  <si>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</si>
  <si>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</si>
  <si>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</si>
  <si>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</si>
  <si>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</si>
  <si>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</si>
  <si>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</si>
  <si>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</si>
  <si>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</si>
  <si>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</si>
  <si>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</si>
  <si>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</si>
  <si>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</si>
  <si>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</si>
  <si>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</si>
  <si>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</si>
  <si>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</si>
  <si>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</si>
  <si>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</si>
  <si>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</si>
  <si>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</si>
  <si>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</si>
  <si>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</si>
  <si>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</si>
  <si>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</si>
  <si>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</si>
  <si>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</si>
  <si>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</si>
  <si>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</si>
  <si>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</si>
  <si>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</si>
  <si>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</si>
  <si>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</si>
  <si>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</si>
  <si>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</si>
  <si>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</si>
  <si>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</si>
  <si>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</si>
  <si>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</si>
  <si>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</si>
  <si>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</si>
  <si>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</si>
  <si>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</si>
  <si>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</si>
  <si>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</si>
  <si>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</si>
  <si>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</si>
  <si>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</si>
  <si>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</si>
  <si>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</si>
  <si>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</si>
  <si>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</si>
  <si>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</si>
  <si>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</si>
  <si>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</si>
  <si>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</si>
  <si>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</si>
  <si>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</si>
  <si>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</si>
  <si>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</si>
  <si>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</si>
  <si>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</si>
  <si>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</si>
  <si>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</si>
  <si>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</si>
  <si>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</si>
  <si>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</si>
  <si>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</si>
  <si>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</si>
  <si>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</si>
  <si>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</si>
  <si>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</si>
  <si>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</si>
  <si>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</si>
  <si>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</si>
  <si>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</si>
  <si>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</si>
  <si>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</si>
  <si>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</si>
  <si>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</si>
  <si>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</si>
  <si>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</si>
  <si>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</si>
  <si>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</si>
  <si>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</si>
  <si>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</si>
  <si>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</si>
  <si>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</si>
  <si>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</si>
  <si>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</si>
  <si>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</si>
  <si>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</si>
  <si>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</si>
  <si>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</si>
  <si>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</si>
  <si>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</si>
  <si>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</si>
  <si>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</si>
  <si>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</si>
  <si>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</si>
  <si>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</si>
  <si>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</si>
  <si>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</si>
  <si>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</si>
  <si>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</si>
  <si>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</si>
  <si>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</si>
  <si>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</si>
  <si>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</si>
  <si>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</si>
  <si>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</si>
  <si>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</si>
  <si>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</si>
  <si>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</si>
  <si>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</si>
  <si>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</si>
  <si>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</si>
  <si>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</si>
  <si>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</si>
  <si>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</si>
  <si>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</si>
  <si>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</si>
  <si>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</si>
  <si>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</si>
  <si>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</si>
  <si>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</si>
  <si>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</si>
  <si>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</si>
  <si>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</si>
  <si>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</si>
  <si>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</si>
  <si>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</si>
  <si>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</si>
  <si>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</si>
  <si>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</si>
  <si>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</si>
  <si>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</si>
  <si>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</si>
  <si>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</si>
  <si>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</si>
  <si>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</si>
  <si>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</si>
  <si>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</si>
  <si>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</si>
  <si>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</si>
  <si>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</si>
  <si>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</si>
  <si>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</si>
  <si>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</si>
  <si>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</si>
  <si>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</si>
  <si>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</si>
  <si>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</si>
  <si>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</si>
  <si>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</si>
  <si>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</si>
  <si>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</si>
  <si>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</si>
  <si>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</si>
  <si>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</si>
  <si>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</si>
  <si>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</si>
  <si>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</si>
  <si>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</si>
  <si>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</si>
  <si>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</si>
  <si>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</si>
  <si>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</si>
  <si>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</si>
  <si>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</si>
  <si>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</si>
  <si>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</si>
  <si>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</si>
  <si>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</si>
  <si>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</si>
  <si>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</si>
  <si>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</si>
  <si>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</si>
  <si>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</si>
  <si>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</si>
  <si>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</si>
  <si>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</si>
  <si>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</si>
  <si>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</si>
  <si>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</si>
  <si>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</si>
  <si>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</si>
  <si>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</si>
  <si>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</si>
  <si>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</si>
  <si>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</si>
  <si>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</si>
  <si>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</si>
  <si>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</si>
  <si>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</si>
  <si>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</si>
  <si>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</si>
  <si>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</si>
  <si>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</si>
  <si>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</si>
  <si>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</si>
  <si>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</si>
  <si>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</si>
  <si>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</si>
  <si>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</si>
  <si>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</si>
  <si>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</si>
  <si>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</si>
  <si>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</si>
  <si>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</si>
  <si>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</si>
  <si>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</si>
  <si>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</si>
  <si>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</si>
  <si>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</si>
  <si>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</si>
  <si>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</si>
  <si>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</si>
  <si>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</si>
  <si>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</si>
  <si>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</si>
  <si>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</si>
  <si>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</si>
  <si>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</si>
  <si>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</si>
  <si>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</si>
  <si>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</si>
  <si>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</si>
  <si>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</si>
  <si>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</si>
  <si>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</si>
  <si>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</si>
  <si>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</si>
  <si>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</si>
  <si>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</si>
  <si>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</si>
  <si>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</si>
  <si>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</si>
  <si>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</si>
  <si>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</si>
  <si>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</si>
  <si>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</si>
  <si>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</si>
  <si>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</si>
  <si>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</si>
  <si>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</si>
  <si>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</si>
  <si>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</si>
  <si>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</si>
  <si>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</si>
  <si>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</si>
  <si>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</si>
  <si>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</si>
  <si>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</si>
  <si>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</si>
  <si>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</si>
  <si>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</si>
  <si>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</si>
  <si>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</si>
  <si>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</si>
  <si>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</si>
  <si>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</si>
  <si>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</si>
  <si>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</si>
  <si>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</si>
  <si>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</si>
  <si>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</si>
  <si>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</si>
  <si>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</si>
  <si>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</si>
  <si>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</si>
  <si>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</si>
  <si>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</si>
  <si>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</si>
  <si>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</si>
  <si>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</si>
  <si>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</si>
  <si>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</si>
  <si>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</si>
  <si>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</si>
  <si>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</si>
  <si>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</si>
  <si>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</si>
  <si>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</si>
  <si>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</si>
  <si>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</si>
  <si>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</si>
  <si>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</si>
  <si>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</si>
  <si>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</si>
  <si>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</si>
  <si>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</si>
  <si>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</si>
  <si>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</si>
  <si>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</si>
  <si>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</si>
  <si>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</si>
  <si>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</si>
  <si>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</si>
  <si>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</si>
  <si>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</si>
  <si>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</si>
  <si>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</si>
  <si>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</si>
  <si>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</si>
  <si>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</si>
  <si>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</si>
  <si>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</si>
  <si>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</si>
  <si>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</si>
  <si>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</si>
  <si>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</si>
  <si>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</si>
  <si>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</si>
  <si>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</si>
  <si>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</si>
  <si>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</si>
  <si>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</si>
  <si>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</si>
  <si>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</si>
  <si>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</si>
  <si>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</si>
  <si>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</si>
  <si>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</si>
  <si>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</si>
  <si>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</si>
  <si>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</si>
  <si>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</si>
  <si>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</si>
  <si>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</si>
  <si>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</si>
  <si>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</si>
  <si>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</si>
  <si>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</si>
  <si>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</si>
  <si>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</si>
  <si>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</si>
  <si>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</si>
  <si>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</si>
  <si>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</si>
  <si>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</si>
  <si>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</si>
  <si>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</si>
  <si>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</si>
  <si>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</si>
  <si>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</si>
  <si>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</si>
  <si>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</si>
  <si>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</si>
  <si>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</si>
  <si>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</si>
  <si>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</si>
  <si>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</si>
  <si>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</si>
  <si>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</si>
  <si>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</si>
  <si>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</si>
  <si>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</si>
  <si>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</si>
  <si>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</si>
  <si>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</si>
  <si>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</si>
  <si>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</si>
  <si>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</si>
  <si>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</si>
  <si>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</si>
  <si>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</si>
  <si>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</si>
  <si>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</si>
  <si>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</si>
  <si>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</si>
  <si>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</si>
  <si>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</si>
  <si>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</si>
  <si>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</si>
  <si>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</si>
  <si>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</si>
  <si>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</si>
  <si>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</si>
  <si>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</si>
  <si>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</si>
  <si>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</si>
  <si>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</si>
  <si>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</si>
  <si>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</si>
  <si>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</si>
  <si>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</si>
  <si>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</si>
  <si>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</si>
  <si>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</si>
  <si>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</si>
  <si>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</si>
  <si>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</si>
  <si>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</si>
  <si>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</si>
  <si>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</si>
  <si>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</si>
  <si>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</si>
  <si>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</si>
  <si>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</si>
  <si>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</si>
  <si>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</si>
  <si>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</si>
  <si>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</si>
  <si>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</si>
  <si>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</si>
  <si>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</si>
  <si>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</si>
  <si>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</si>
  <si>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</si>
  <si>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</si>
  <si>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</si>
  <si>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</si>
  <si>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</si>
  <si>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</si>
  <si>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</si>
  <si>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</si>
  <si>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</si>
  <si>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</si>
  <si>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</si>
  <si>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</si>
  <si>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</si>
  <si>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</si>
  <si>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</si>
  <si>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</si>
  <si>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</si>
  <si>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</si>
  <si>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</si>
  <si>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</si>
  <si>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</si>
  <si>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</si>
  <si>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</si>
  <si>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</si>
  <si>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</si>
  <si>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</si>
  <si>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</si>
  <si>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</si>
  <si>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</si>
  <si>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</si>
  <si>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</si>
  <si>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</si>
  <si>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</si>
  <si>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</si>
  <si>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</si>
  <si>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</si>
  <si>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</si>
  <si>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</si>
  <si>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</si>
  <si>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</si>
  <si>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</si>
  <si>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</si>
  <si>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</si>
  <si>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</si>
  <si>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</si>
  <si>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</si>
  <si>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</si>
  <si>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</si>
  <si>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</si>
  <si>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</si>
  <si>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</si>
  <si>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</si>
  <si>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</si>
  <si>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</si>
  <si>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</si>
  <si>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</si>
  <si>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</si>
  <si>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</si>
  <si>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</si>
  <si>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</si>
  <si>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</si>
  <si>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</si>
  <si>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</si>
  <si>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</si>
  <si>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</si>
  <si>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</si>
  <si>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</si>
  <si>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</si>
  <si>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</si>
  <si>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</si>
  <si>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</si>
  <si>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</si>
  <si>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</si>
  <si>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</si>
  <si>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</si>
  <si>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</si>
  <si>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</si>
  <si>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</si>
  <si>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</si>
  <si>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</si>
  <si>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</si>
  <si>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</si>
  <si>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</si>
  <si>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</si>
  <si>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</si>
  <si>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</si>
  <si>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</si>
  <si>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</si>
  <si>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</si>
  <si>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</si>
  <si>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</si>
  <si>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</si>
  <si>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</si>
  <si>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</si>
  <si>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</si>
  <si>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</si>
  <si>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</si>
  <si>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</si>
  <si>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</si>
  <si>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</si>
  <si>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</si>
  <si>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</si>
  <si>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</si>
  <si>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</si>
  <si>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</si>
  <si>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</si>
  <si>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</si>
  <si>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</si>
  <si>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</si>
  <si>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</si>
  <si>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</si>
  <si>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</si>
  <si>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</si>
  <si>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</si>
  <si>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</si>
  <si>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</si>
  <si>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</si>
  <si>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</si>
  <si>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</si>
  <si>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</si>
  <si>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</si>
  <si>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</si>
  <si>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</si>
  <si>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</si>
  <si>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</si>
  <si>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</si>
  <si>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</si>
  <si>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</si>
  <si>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</si>
  <si>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</si>
  <si>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</si>
  <si>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</si>
  <si>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</si>
  <si>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</si>
  <si>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</si>
  <si>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</si>
  <si>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</si>
  <si>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</si>
  <si>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</si>
  <si>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</si>
  <si>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</si>
  <si>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</si>
  <si>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</si>
  <si>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</si>
  <si>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</si>
  <si>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</si>
  <si>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</si>
  <si>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</si>
  <si>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</si>
  <si>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</si>
  <si>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</si>
  <si>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</si>
  <si>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</si>
  <si>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</si>
  <si>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</si>
  <si>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</si>
  <si>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</si>
  <si>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</si>
  <si>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</si>
  <si>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</si>
  <si>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</si>
  <si>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</si>
  <si>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</si>
  <si>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</si>
  <si>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</si>
  <si>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</si>
  <si>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</si>
  <si>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</si>
  <si>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</si>
  <si>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</si>
  <si>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</si>
  <si>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</si>
  <si>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</si>
  <si>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</si>
  <si>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</si>
  <si>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</si>
  <si>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</si>
  <si>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</si>
  <si>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</si>
  <si>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</si>
  <si>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</si>
  <si>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</si>
  <si>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</si>
  <si>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</si>
  <si>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</si>
  <si>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</si>
  <si>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</si>
  <si>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</si>
  <si>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</si>
  <si>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</si>
  <si>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</si>
  <si>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</si>
  <si>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</si>
  <si>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</si>
  <si>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</si>
  <si>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</si>
  <si>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</si>
  <si>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</si>
  <si>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</si>
  <si>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</si>
  <si>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</si>
  <si>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</si>
  <si>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</si>
  <si>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</si>
  <si>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</si>
  <si>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</si>
  <si>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</si>
  <si>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</si>
  <si>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</si>
  <si>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</si>
  <si>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</si>
  <si>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</si>
  <si>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</si>
  <si>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</si>
  <si>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</si>
  <si>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</si>
  <si>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</si>
  <si>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</si>
  <si>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</si>
  <si>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</si>
  <si>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</si>
  <si>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</si>
  <si>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</si>
  <si>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</si>
  <si>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</si>
  <si>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</si>
  <si>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</si>
  <si>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</si>
  <si>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</si>
  <si>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</si>
  <si>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</si>
  <si>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</si>
  <si>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</si>
  <si>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</si>
  <si>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</si>
  <si>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</si>
  <si>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</si>
  <si>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</si>
  <si>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</si>
  <si>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</si>
  <si>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</si>
  <si>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</si>
  <si>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</si>
  <si>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</si>
  <si>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</si>
  <si>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</si>
  <si>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</si>
  <si>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</si>
  <si>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</si>
  <si>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</si>
  <si>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</si>
  <si>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</si>
  <si>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</si>
  <si>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</si>
  <si>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</si>
  <si>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</si>
  <si>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</si>
  <si>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</si>
  <si>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</si>
  <si>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</si>
  <si>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</si>
  <si>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</si>
  <si>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</si>
  <si>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</si>
  <si>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</si>
  <si>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</si>
  <si>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</si>
  <si>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</si>
  <si>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</si>
  <si>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</si>
  <si>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</si>
  <si>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</si>
  <si>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</si>
  <si>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</si>
  <si>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</si>
  <si>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</si>
  <si>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</si>
  <si>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</si>
  <si>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</si>
  <si>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</si>
  <si>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</si>
  <si>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</si>
  <si>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</si>
  <si>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</si>
  <si>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</si>
  <si>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</si>
  <si>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</si>
  <si>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</si>
  <si>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</si>
  <si>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</si>
  <si>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</si>
  <si>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</si>
  <si>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</si>
  <si>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</si>
  <si>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</si>
  <si>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</si>
  <si>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</si>
  <si>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</si>
  <si>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</si>
  <si>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</si>
  <si>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</si>
  <si>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</si>
  <si>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</si>
  <si>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</si>
  <si>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</si>
  <si>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</si>
  <si>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</si>
  <si>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</si>
  <si>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</si>
  <si>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</si>
  <si>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</si>
  <si>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</si>
  <si>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</si>
  <si>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</si>
  <si>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</si>
  <si>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</si>
  <si>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</si>
  <si>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</si>
  <si>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</si>
  <si>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</si>
  <si>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</si>
  <si>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</si>
  <si>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</si>
  <si>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</si>
  <si>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</si>
  <si>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</si>
  <si>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</si>
  <si>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</si>
  <si>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</si>
  <si>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</si>
  <si>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</si>
  <si>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</si>
  <si>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</si>
  <si>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</si>
  <si>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</si>
  <si>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</si>
  <si>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</si>
  <si>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</si>
  <si>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</si>
  <si>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</si>
  <si>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</si>
  <si>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</si>
  <si>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</si>
  <si>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</si>
  <si>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</si>
  <si>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</si>
  <si>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</si>
  <si>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</si>
  <si>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</si>
  <si>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</si>
  <si>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</si>
  <si>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</si>
  <si>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</si>
  <si>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</si>
  <si>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</si>
  <si>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</si>
  <si>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</si>
  <si>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</si>
  <si>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</si>
  <si>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</si>
  <si>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</si>
  <si>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</si>
  <si>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</si>
  <si>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</si>
  <si>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</si>
  <si>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</si>
  <si>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</si>
  <si>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</si>
  <si>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</si>
  <si>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</si>
  <si>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</si>
  <si>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</si>
  <si>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</si>
  <si>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</si>
  <si>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</si>
  <si>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</si>
  <si>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</si>
  <si>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</si>
  <si>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</si>
  <si>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</si>
  <si>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</si>
  <si>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</si>
  <si>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</si>
  <si>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</si>
  <si>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</si>
  <si>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</si>
  <si>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</si>
  <si>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</si>
  <si>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</si>
  <si>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</si>
  <si>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</si>
  <si>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</si>
  <si>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</si>
  <si>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</si>
  <si>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</si>
  <si>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</si>
  <si>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</si>
  <si>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</si>
  <si>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</si>
  <si>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</si>
  <si>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</si>
  <si>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</si>
  <si>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</si>
  <si>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</si>
  <si>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</si>
  <si>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</si>
  <si>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</si>
  <si>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</si>
  <si>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</si>
  <si>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</si>
  <si>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</si>
  <si>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</si>
  <si>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</si>
  <si>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</si>
  <si>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</si>
  <si>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</si>
  <si>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</si>
  <si>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</si>
  <si>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</si>
  <si>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</si>
  <si>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</si>
  <si>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</si>
  <si>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</si>
  <si>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</si>
  <si>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</si>
  <si>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</si>
  <si>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</si>
  <si>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</si>
  <si>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</si>
  <si>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</si>
  <si>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</si>
  <si>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</si>
  <si>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</si>
  <si>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</si>
  <si>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</si>
  <si>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</si>
  <si>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</si>
  <si>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</si>
  <si>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</si>
  <si>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</si>
  <si>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</si>
  <si>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</si>
  <si>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</si>
  <si>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</si>
  <si>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</si>
  <si>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</si>
  <si>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</si>
  <si>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</si>
  <si>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</si>
  <si>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</si>
  <si>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</si>
  <si>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</si>
  <si>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</si>
  <si>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</si>
  <si>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</si>
  <si>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</si>
  <si>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</si>
  <si>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</si>
  <si>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</si>
  <si>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</si>
  <si>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</si>
  <si>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</si>
  <si>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</si>
  <si>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</si>
  <si>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</si>
  <si>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</si>
  <si>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</si>
  <si>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</si>
  <si>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</si>
  <si>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</si>
  <si>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</si>
  <si>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</si>
  <si>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</si>
  <si>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</si>
  <si>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</si>
  <si>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</si>
  <si>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</si>
  <si>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</si>
  <si>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</si>
  <si>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</si>
  <si>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</si>
  <si>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</si>
  <si>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</si>
  <si>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</si>
  <si>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</si>
  <si>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</si>
  <si>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</si>
  <si>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</si>
  <si>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</si>
  <si>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</si>
  <si>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</si>
  <si>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</si>
  <si>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</si>
  <si>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</si>
  <si>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</si>
  <si>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</si>
  <si>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</si>
  <si>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</si>
  <si>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</si>
  <si>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</si>
  <si>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</si>
  <si>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</si>
  <si>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</si>
  <si>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</si>
  <si>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</si>
  <si>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</si>
  <si>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</si>
  <si>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</si>
  <si>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</si>
  <si>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</si>
  <si>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</si>
  <si>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</si>
  <si>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</si>
  <si>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</si>
  <si>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</si>
  <si>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</si>
  <si>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</si>
  <si>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</si>
  <si>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</si>
  <si>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</si>
  <si>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</si>
  <si>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</si>
  <si>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</si>
  <si>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</si>
  <si>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</si>
  <si>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</si>
  <si>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</si>
  <si>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</si>
  <si>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</si>
  <si>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</si>
  <si>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</si>
  <si>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</si>
  <si>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</si>
  <si>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</si>
  <si>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</si>
  <si>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</si>
  <si>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</si>
  <si>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</si>
  <si>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</si>
  <si>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</si>
  <si>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</si>
  <si>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</si>
  <si>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</si>
  <si>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</si>
  <si>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</si>
  <si>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</si>
  <si>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</si>
  <si>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</si>
  <si>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</si>
  <si>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</si>
  <si>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</si>
  <si>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</si>
  <si>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</si>
  <si>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</si>
  <si>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</si>
  <si>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</si>
  <si>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</si>
  <si>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</si>
  <si>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</si>
  <si>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</si>
  <si>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</si>
  <si>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</si>
  <si>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</si>
  <si>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</si>
  <si>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</si>
  <si>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</si>
  <si>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</si>
  <si>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</si>
  <si>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</si>
  <si>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</si>
  <si>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</si>
  <si>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</si>
  <si>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</si>
  <si>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</si>
  <si>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</si>
  <si>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</si>
  <si>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</si>
  <si>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</si>
  <si>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</si>
  <si>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</si>
  <si>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</si>
  <si>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</si>
  <si>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</si>
  <si>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</si>
  <si>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</si>
  <si>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</si>
  <si>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</si>
  <si>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</si>
  <si>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</si>
  <si>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</si>
  <si>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</si>
  <si>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</si>
  <si>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</si>
  <si>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</si>
  <si>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</si>
  <si>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</si>
  <si>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</si>
  <si>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</si>
  <si>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</si>
  <si>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</si>
  <si>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</si>
  <si>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</si>
  <si>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</si>
  <si>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</si>
  <si>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</si>
  <si>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</si>
  <si>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</si>
  <si>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</si>
  <si>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</si>
  <si>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</si>
  <si>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</si>
  <si>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</si>
  <si>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</si>
  <si>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</si>
  <si>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</si>
  <si>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</si>
  <si>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</si>
  <si>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</si>
  <si>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</si>
  <si>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</si>
  <si>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</si>
  <si>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</si>
  <si>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</si>
  <si>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</si>
  <si>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</si>
  <si>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</si>
  <si>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</si>
  <si>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</si>
  <si>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</si>
  <si>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</si>
  <si>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</si>
  <si>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</si>
  <si>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</si>
  <si>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</si>
  <si>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</si>
  <si>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</si>
  <si>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</si>
  <si>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</si>
  <si>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</si>
  <si>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</si>
  <si>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</si>
  <si>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</si>
  <si>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</si>
  <si>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</si>
  <si>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</si>
  <si>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</si>
  <si>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</si>
  <si>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</si>
  <si>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</si>
  <si>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</si>
  <si>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</si>
  <si>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</si>
  <si>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</si>
  <si>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</si>
  <si>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</si>
  <si>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</si>
  <si>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</si>
  <si>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</si>
  <si>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</si>
  <si>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</si>
  <si>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</si>
  <si>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</si>
  <si>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</si>
  <si>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</si>
  <si>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</si>
  <si>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</si>
  <si>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</si>
  <si>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</si>
  <si>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</si>
  <si>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</si>
  <si>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</si>
  <si>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</si>
  <si>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</si>
  <si>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</si>
  <si>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</si>
  <si>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</si>
  <si>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</si>
  <si>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</si>
  <si>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</si>
  <si>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</si>
  <si>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</si>
  <si>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</si>
  <si>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</si>
  <si>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</si>
  <si>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</si>
  <si>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</si>
  <si>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</si>
  <si>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</si>
  <si>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</si>
  <si>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</si>
  <si>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</si>
  <si>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</si>
  <si>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</si>
  <si>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</si>
  <si>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</si>
  <si>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</si>
  <si>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</si>
  <si>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</si>
  <si>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</si>
  <si>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</si>
  <si>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</si>
  <si>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</si>
  <si>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</si>
  <si>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</si>
  <si>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</si>
  <si>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</si>
  <si>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</si>
  <si>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</si>
  <si>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</si>
  <si>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</si>
  <si>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</si>
  <si>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</si>
  <si>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</si>
  <si>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</si>
  <si>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</si>
  <si>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</si>
  <si>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</si>
  <si>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</si>
  <si>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</si>
  <si>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</si>
  <si>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</si>
  <si>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</si>
  <si>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</si>
  <si>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</si>
  <si>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</si>
  <si>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</si>
  <si>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</si>
  <si>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</si>
  <si>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</si>
  <si>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</si>
  <si>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</si>
  <si>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</si>
  <si>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</si>
  <si>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</si>
  <si>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</si>
  <si>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</si>
  <si>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</si>
  <si>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</si>
  <si>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</si>
  <si>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</si>
  <si>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</si>
  <si>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</si>
  <si>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</si>
  <si>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</si>
  <si>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</si>
  <si>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</si>
  <si>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</si>
  <si>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</si>
  <si>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</si>
  <si>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</si>
  <si>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</si>
  <si>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</si>
  <si>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</si>
  <si>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</si>
  <si>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</si>
  <si>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</si>
  <si>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</si>
  <si>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</si>
  <si>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</si>
  <si>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</si>
  <si>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</si>
  <si>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</si>
  <si>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</si>
  <si>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</si>
  <si>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</si>
  <si>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</si>
  <si>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</si>
  <si>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</si>
  <si>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</si>
  <si>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</si>
  <si>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</si>
  <si>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</si>
  <si>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</si>
  <si>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</si>
  <si>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</si>
  <si>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</si>
  <si>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</si>
  <si>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</si>
  <si>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</si>
  <si>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</si>
  <si>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</si>
  <si>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</si>
  <si>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</si>
  <si>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</si>
  <si>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</si>
  <si>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</si>
  <si>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</si>
  <si>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</si>
  <si>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</si>
  <si>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</si>
  <si>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</si>
  <si>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</si>
  <si>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</si>
  <si>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</si>
  <si>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</si>
  <si>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</si>
  <si>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</si>
  <si>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</si>
  <si>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</si>
  <si>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</si>
  <si>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</si>
  <si>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</si>
  <si>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</si>
  <si>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</si>
  <si>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</si>
  <si>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</si>
  <si>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</si>
  <si>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</si>
  <si>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</si>
  <si>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</si>
  <si>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</si>
  <si>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</si>
  <si>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</si>
  <si>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</si>
  <si>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</si>
  <si>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</si>
  <si>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</si>
  <si>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</si>
  <si>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</si>
  <si>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</si>
  <si>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</si>
  <si>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</si>
  <si>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</si>
  <si>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</si>
  <si>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</si>
  <si>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</si>
  <si>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</si>
  <si>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</si>
  <si>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</si>
  <si>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</si>
  <si>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</si>
  <si>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</si>
  <si>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</si>
  <si>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</si>
  <si>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</si>
  <si>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</si>
  <si>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</si>
  <si>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</si>
  <si>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</si>
  <si>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</si>
  <si>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</si>
  <si>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</si>
  <si>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</si>
  <si>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</si>
  <si>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</si>
  <si>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</si>
  <si>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</si>
  <si>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</si>
  <si>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</si>
  <si>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</si>
  <si>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</si>
  <si>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</si>
  <si>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</si>
  <si>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</si>
  <si>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</si>
  <si>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</si>
  <si>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</si>
  <si>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</si>
  <si>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</si>
  <si>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</si>
  <si>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</si>
  <si>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</si>
  <si>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</si>
  <si>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</si>
  <si>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</si>
  <si>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</si>
  <si>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</si>
  <si>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</si>
  <si>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</si>
  <si>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</si>
  <si>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</si>
  <si>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</si>
  <si>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</si>
  <si>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</si>
  <si>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</si>
  <si>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</si>
  <si>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</si>
  <si>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</si>
  <si>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</si>
  <si>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</si>
  <si>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</si>
  <si>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</si>
  <si>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</si>
  <si>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</si>
  <si>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</si>
  <si>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</si>
  <si>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</si>
  <si>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</si>
  <si>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</si>
  <si>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</si>
  <si>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</si>
  <si>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</si>
  <si>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</si>
  <si>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</si>
  <si>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</si>
  <si>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</si>
  <si>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</si>
  <si>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</si>
  <si>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</si>
  <si>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</si>
  <si>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</si>
  <si>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</si>
  <si>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</si>
  <si>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</si>
  <si>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</si>
  <si>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</si>
  <si>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</si>
  <si>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</si>
  <si>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</si>
  <si>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</si>
  <si>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</si>
  <si>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</si>
  <si>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</si>
  <si>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</si>
  <si>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</si>
  <si>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</si>
  <si>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</si>
  <si>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</si>
  <si>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</si>
  <si>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</si>
  <si>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</si>
  <si>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</si>
  <si>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</si>
  <si>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</si>
  <si>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</si>
  <si>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</si>
  <si>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</si>
  <si>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</si>
  <si>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</si>
  <si>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</si>
  <si>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</si>
  <si>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</si>
  <si>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</si>
  <si>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</si>
  <si>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</si>
  <si>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</si>
  <si>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</si>
  <si>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</si>
  <si>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</si>
  <si>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</si>
  <si>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</si>
  <si>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</si>
  <si>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</si>
  <si>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</si>
  <si>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</si>
  <si>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</si>
  <si>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</si>
  <si>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</si>
  <si>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</si>
  <si>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</si>
  <si>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</si>
  <si>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</si>
  <si>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</si>
  <si>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</si>
  <si>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</si>
  <si>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</si>
  <si>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</si>
  <si>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</si>
  <si>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</si>
  <si>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</si>
  <si>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</si>
  <si>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</si>
  <si>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</si>
  <si>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</si>
  <si>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</si>
  <si>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</si>
  <si>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</si>
  <si>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</si>
  <si>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</si>
  <si>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</si>
  <si>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</si>
  <si>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</si>
  <si>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</si>
  <si>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</si>
  <si>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</si>
  <si>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</si>
  <si>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</si>
  <si>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</si>
  <si>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</si>
  <si>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</si>
  <si>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</si>
  <si>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</si>
  <si>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</si>
  <si>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</si>
  <si>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</si>
  <si>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</si>
  <si>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</si>
  <si>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</si>
  <si>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</si>
  <si>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</si>
  <si>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</si>
  <si>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</si>
  <si>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</si>
  <si>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</si>
  <si>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</si>
  <si>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</si>
  <si>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</si>
  <si>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</si>
  <si>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</si>
  <si>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</si>
  <si>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</si>
  <si>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</si>
  <si>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</si>
  <si>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</si>
  <si>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</si>
  <si>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</si>
  <si>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</si>
  <si>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</si>
  <si>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</si>
  <si>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</si>
  <si>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</si>
  <si>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</si>
  <si>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</si>
  <si>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</si>
  <si>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</si>
  <si>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</si>
  <si>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</si>
  <si>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</si>
  <si>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</si>
  <si>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</si>
  <si>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</si>
  <si>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</si>
  <si>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</si>
  <si>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</si>
  <si>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</si>
  <si>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</si>
  <si>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</si>
  <si>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</si>
  <si>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</si>
  <si>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</si>
  <si>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</si>
  <si>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</si>
  <si>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</si>
  <si>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</si>
  <si>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</si>
  <si>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</si>
  <si>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</si>
  <si>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</si>
  <si>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</si>
  <si>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</si>
  <si>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</si>
  <si>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</si>
  <si>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</si>
  <si>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</si>
  <si>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</si>
  <si>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</si>
  <si>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</si>
  <si>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</si>
  <si>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</si>
  <si>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</si>
  <si>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</si>
  <si>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</si>
  <si>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</si>
  <si>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</si>
  <si>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</si>
  <si>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</si>
  <si>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</si>
  <si>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</si>
  <si>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</si>
  <si>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</si>
  <si>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</si>
  <si>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</si>
  <si>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</si>
  <si>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</si>
  <si>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</si>
  <si>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</si>
  <si>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</si>
  <si>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</si>
  <si>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</si>
  <si>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</si>
  <si>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</si>
  <si>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</si>
  <si>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</si>
  <si>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</si>
  <si>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</si>
  <si>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</si>
  <si>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</si>
  <si>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</si>
  <si>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</si>
  <si>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</si>
  <si>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</si>
  <si>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</si>
  <si>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</si>
  <si>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</si>
  <si>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</si>
  <si>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</si>
  <si>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</si>
  <si>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</si>
  <si>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</si>
  <si>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</si>
  <si>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</si>
  <si>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</si>
  <si>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</si>
  <si>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</si>
  <si>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</si>
  <si>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</si>
  <si>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</si>
  <si>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</si>
  <si>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</si>
  <si>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</si>
  <si>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</si>
  <si>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</si>
  <si>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</si>
  <si>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</si>
  <si>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</si>
  <si>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</si>
  <si>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</si>
  <si>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</si>
  <si>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</si>
  <si>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</si>
  <si>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</si>
  <si>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</si>
  <si>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</si>
  <si>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</si>
  <si>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</si>
  <si>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</si>
  <si>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</si>
  <si>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</si>
  <si>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</si>
  <si>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</si>
  <si>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</si>
  <si>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</si>
  <si>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</si>
  <si>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</si>
  <si>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</si>
  <si>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</si>
  <si>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</si>
  <si>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</si>
  <si>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</si>
  <si>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</si>
  <si>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</si>
  <si>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</si>
  <si>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</si>
  <si>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</si>
  <si>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</si>
  <si>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</si>
  <si>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</si>
  <si>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</si>
  <si>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</si>
  <si>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</si>
  <si>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</si>
  <si>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</si>
  <si>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</si>
  <si>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</si>
  <si>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</si>
  <si>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</si>
  <si>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</si>
  <si>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</si>
  <si>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</si>
  <si>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</si>
  <si>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</si>
  <si>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</si>
  <si>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</si>
  <si>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</si>
  <si>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</si>
  <si>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</si>
  <si>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</si>
  <si>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</si>
  <si>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</si>
  <si>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</si>
  <si>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</si>
  <si>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</si>
  <si>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</si>
  <si>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</si>
  <si>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</si>
  <si>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</si>
  <si>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</si>
  <si>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</si>
  <si>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</si>
  <si>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</si>
  <si>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</si>
  <si>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</si>
  <si>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</si>
  <si>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</si>
  <si>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</si>
  <si>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</si>
  <si>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</si>
  <si>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</si>
  <si>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</si>
  <si>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</si>
  <si>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</si>
  <si>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</si>
  <si>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</si>
  <si>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</si>
  <si>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</si>
  <si>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</si>
  <si>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</si>
  <si>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</si>
  <si>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</si>
  <si>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</si>
  <si>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</si>
  <si>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</si>
  <si>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</si>
  <si>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</si>
  <si>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</si>
  <si>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</si>
  <si>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</si>
  <si>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</si>
  <si>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</si>
  <si>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</si>
  <si>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</si>
  <si>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</si>
  <si>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</si>
  <si>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</si>
  <si>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</si>
  <si>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</si>
  <si>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</si>
  <si>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</si>
  <si>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</si>
  <si>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</si>
  <si>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</si>
  <si>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</si>
  <si>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</si>
  <si>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</si>
  <si>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</si>
  <si>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</si>
  <si>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</si>
  <si>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</si>
  <si>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</si>
  <si>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</si>
  <si>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</si>
  <si>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</si>
  <si>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</si>
  <si>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</si>
  <si>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</si>
  <si>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</si>
  <si>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</si>
  <si>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</si>
  <si>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</si>
  <si>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</si>
  <si>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</si>
  <si>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</si>
  <si>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</si>
  <si>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</si>
  <si>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</si>
  <si>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</si>
  <si>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</si>
  <si>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</si>
  <si>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</si>
  <si>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</si>
  <si>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</si>
  <si>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</si>
  <si>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</si>
  <si>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</si>
  <si>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</si>
  <si>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</si>
  <si>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</si>
  <si>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</si>
  <si>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</si>
  <si>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</si>
  <si>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</si>
  <si>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</si>
  <si>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</si>
  <si>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</si>
  <si>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</si>
  <si>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</si>
  <si>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</si>
  <si>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</si>
  <si>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</si>
  <si>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</si>
  <si>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</si>
  <si>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</si>
  <si>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</si>
  <si>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</si>
  <si>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</si>
  <si>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</si>
  <si>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</si>
  <si>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</si>
  <si>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</si>
  <si>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</si>
  <si>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</si>
  <si>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</si>
  <si>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</si>
  <si>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</si>
  <si>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</si>
  <si>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</si>
  <si>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</si>
  <si>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</si>
  <si>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</si>
  <si>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</si>
  <si>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</si>
  <si>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</si>
  <si>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</si>
  <si>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</si>
  <si>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</si>
  <si>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</si>
  <si>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</si>
  <si>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</si>
  <si>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</si>
  <si>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</si>
  <si>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</si>
  <si>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</si>
  <si>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</si>
  <si>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</si>
  <si>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</si>
  <si>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</si>
  <si>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</si>
  <si>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</si>
  <si>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</si>
  <si>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</si>
  <si>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</si>
  <si>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</si>
  <si>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</si>
  <si>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</si>
  <si>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</si>
  <si>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</si>
  <si>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</si>
  <si>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</si>
  <si>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</si>
  <si>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</si>
  <si>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</si>
  <si>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</si>
  <si>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</si>
  <si>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</si>
  <si>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</si>
  <si>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</si>
  <si>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</si>
  <si>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</si>
  <si>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</si>
  <si>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</si>
  <si>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</si>
  <si>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</si>
  <si>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</si>
  <si>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</si>
  <si>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</si>
  <si>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</si>
  <si>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</si>
  <si>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</si>
  <si>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</si>
  <si>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</si>
  <si>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</si>
  <si>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</si>
  <si>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</si>
  <si>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</si>
  <si>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</si>
  <si>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</si>
  <si>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</si>
  <si>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</si>
  <si>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</si>
  <si>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</si>
  <si>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</si>
  <si>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</si>
  <si>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</si>
  <si>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</si>
  <si>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</si>
  <si>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</si>
  <si>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</si>
  <si>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</si>
  <si>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</si>
  <si>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</si>
  <si>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</si>
  <si>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</si>
  <si>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</si>
  <si>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</si>
  <si>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</si>
  <si>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</si>
  <si>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</si>
  <si>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</si>
  <si>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</si>
  <si>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</si>
  <si>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</si>
  <si>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</si>
  <si>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</si>
  <si>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</si>
  <si>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</si>
  <si>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</si>
  <si>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</si>
  <si>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</si>
  <si>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</si>
  <si>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</si>
  <si>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</si>
  <si>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</si>
  <si>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</si>
  <si>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</si>
  <si>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</si>
  <si>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</si>
  <si>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</si>
  <si>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</si>
  <si>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</si>
  <si>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</si>
  <si>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</si>
  <si>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</si>
  <si>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</si>
  <si>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</si>
  <si>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</si>
  <si>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</si>
  <si>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</si>
  <si>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</si>
  <si>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</si>
  <si>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</si>
  <si>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</si>
  <si>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</si>
  <si>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</si>
  <si>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</si>
  <si>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</si>
  <si>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</si>
  <si>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</si>
  <si>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</si>
  <si>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</si>
  <si>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</si>
  <si>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</si>
  <si>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</si>
  <si>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</si>
  <si>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</si>
  <si>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</si>
  <si>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</si>
  <si>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</si>
  <si>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</si>
  <si>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</si>
  <si>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</si>
  <si>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</si>
  <si>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</si>
  <si>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</si>
  <si>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</si>
  <si>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</si>
  <si>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</si>
  <si>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</si>
  <si>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</si>
  <si>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</si>
  <si>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</si>
  <si>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</si>
  <si>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</si>
  <si>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</si>
  <si>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</si>
  <si>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</si>
  <si>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</si>
  <si>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</si>
  <si>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</si>
  <si>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</si>
  <si>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</si>
  <si>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</si>
  <si>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</si>
  <si>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</si>
  <si>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</si>
  <si>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</si>
  <si>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</si>
  <si>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</si>
  <si>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</si>
  <si>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</si>
  <si>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</si>
  <si>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</si>
  <si>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</si>
  <si>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</si>
  <si>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</si>
  <si>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</si>
  <si>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</si>
  <si>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</si>
  <si>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</si>
  <si>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</si>
  <si>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</si>
  <si>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</si>
  <si>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</si>
  <si>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</si>
  <si>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</si>
  <si>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</si>
  <si>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</si>
  <si>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</si>
  <si>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</si>
  <si>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</si>
  <si>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</si>
  <si>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</si>
  <si>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</si>
  <si>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</si>
  <si>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</si>
  <si>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</si>
  <si>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</si>
  <si>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</si>
  <si>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</si>
  <si>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</si>
  <si>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</si>
  <si>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</si>
  <si>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</si>
  <si>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</si>
  <si>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</si>
  <si>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</si>
  <si>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</si>
  <si>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</si>
  <si>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</si>
  <si>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</si>
  <si>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</si>
  <si>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</si>
  <si>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</si>
  <si>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</si>
  <si>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</si>
  <si>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</si>
  <si>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</si>
  <si>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</si>
  <si>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</si>
  <si>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</si>
  <si>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</si>
  <si>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</si>
  <si>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</si>
  <si>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</si>
  <si>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</si>
  <si>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</si>
  <si>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</si>
  <si>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</si>
  <si>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</si>
  <si>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</si>
  <si>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</si>
  <si>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</si>
  <si>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</si>
  <si>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</si>
  <si>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</si>
  <si>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</si>
  <si>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</si>
  <si>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</si>
  <si>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</si>
  <si>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</si>
  <si>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</si>
  <si>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</si>
  <si>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</si>
  <si>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</si>
  <si>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</si>
  <si>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</si>
  <si>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</si>
  <si>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</si>
  <si>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</si>
  <si>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</si>
  <si>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</si>
  <si>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</si>
  <si>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</si>
  <si>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</si>
  <si>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</si>
  <si>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</si>
  <si>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</si>
  <si>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</si>
  <si>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</si>
  <si>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</si>
  <si>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</si>
  <si>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</si>
  <si>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</si>
  <si>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</si>
  <si>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</si>
  <si>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</si>
  <si>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</si>
  <si>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</si>
  <si>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</si>
  <si>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</si>
  <si>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</si>
  <si>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</si>
  <si>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</si>
  <si>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</si>
  <si>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</si>
  <si>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</si>
  <si>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</si>
  <si>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</si>
  <si>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</si>
  <si>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</si>
  <si>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</si>
  <si>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</si>
  <si>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</si>
  <si>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</si>
  <si>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</si>
  <si>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</si>
  <si>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</si>
  <si>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</si>
  <si>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</si>
  <si>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</si>
  <si>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</si>
  <si>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</si>
  <si>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</si>
  <si>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</si>
  <si>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</si>
  <si>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</si>
  <si>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</si>
  <si>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</si>
  <si>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</si>
  <si>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</si>
  <si>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</si>
  <si>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</si>
  <si>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</si>
  <si>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</si>
  <si>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</si>
  <si>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</si>
  <si>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</si>
  <si>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</si>
  <si>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</si>
  <si>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</si>
  <si>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</si>
  <si>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</si>
  <si>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</si>
  <si>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</si>
  <si>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</si>
  <si>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</si>
  <si>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</si>
  <si>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</si>
  <si>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</si>
  <si>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</si>
  <si>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</si>
  <si>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</si>
  <si>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</si>
  <si>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</si>
  <si>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</si>
  <si>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</si>
  <si>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</si>
  <si>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</si>
  <si>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</si>
  <si>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</si>
  <si>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</si>
  <si>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</si>
  <si>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</si>
  <si>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</si>
  <si>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</si>
  <si>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</si>
  <si>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</si>
  <si>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</si>
  <si>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</si>
  <si>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</si>
  <si>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</si>
  <si>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</si>
  <si>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</si>
  <si>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</si>
  <si>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</si>
  <si>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</si>
  <si>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</si>
  <si>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</si>
  <si>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</si>
  <si>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</si>
  <si>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</si>
  <si>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</si>
  <si>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</si>
  <si>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</si>
  <si>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</si>
  <si>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</si>
  <si>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</si>
  <si>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</si>
  <si>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</si>
  <si>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</si>
  <si>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</si>
  <si>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</si>
  <si>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</si>
  <si>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</si>
  <si>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</si>
  <si>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</si>
  <si>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</si>
  <si>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</si>
  <si>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</si>
  <si>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</si>
  <si>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</si>
  <si>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</si>
  <si>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</si>
  <si>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</si>
  <si>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</si>
  <si>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</si>
  <si>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</si>
  <si>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</si>
  <si>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</si>
  <si>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</si>
  <si>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</si>
  <si>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</si>
  <si>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</si>
  <si>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</si>
  <si>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</si>
  <si>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</si>
  <si>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</si>
  <si>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</si>
  <si>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</si>
  <si>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</si>
  <si>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</si>
  <si>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</si>
  <si>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</si>
  <si>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</si>
  <si>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</si>
  <si>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</si>
  <si>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</si>
  <si>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</si>
  <si>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</si>
  <si>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</si>
  <si>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</si>
  <si>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</si>
  <si>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</si>
  <si>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</si>
  <si>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</si>
  <si>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</si>
  <si>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</si>
  <si>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</si>
  <si>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</si>
  <si>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</si>
  <si>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</si>
  <si>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</si>
  <si>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</si>
  <si>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</si>
  <si>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</si>
  <si>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</si>
  <si>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</si>
  <si>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</si>
  <si>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</si>
  <si>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</si>
  <si>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</si>
  <si>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</si>
  <si>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</si>
  <si>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</si>
  <si>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</si>
  <si>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</si>
  <si>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</si>
  <si>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</si>
  <si>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</si>
  <si>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</si>
  <si>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</si>
  <si>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</si>
  <si>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</si>
  <si>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</si>
  <si>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</si>
  <si>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</si>
  <si>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</si>
  <si>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</si>
  <si>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</si>
  <si>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</si>
  <si>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</si>
  <si>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</si>
  <si>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</si>
  <si>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</si>
  <si>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</si>
  <si>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</si>
  <si>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</si>
  <si>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</si>
  <si>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</si>
  <si>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</si>
  <si>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</si>
  <si>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</si>
  <si>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</si>
  <si>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</si>
  <si>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</si>
  <si>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</si>
  <si>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</si>
  <si>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</si>
  <si>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</si>
  <si>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</si>
  <si>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</si>
  <si>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</si>
  <si>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</si>
  <si>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</si>
  <si>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</si>
  <si>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</si>
  <si>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</si>
  <si>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</si>
  <si>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</si>
  <si>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</si>
  <si>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</si>
  <si>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</si>
  <si>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</si>
  <si>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</si>
  <si>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</si>
  <si>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</si>
  <si>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</si>
  <si>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</si>
  <si>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</si>
  <si>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</si>
  <si>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</si>
  <si>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</si>
  <si>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</si>
  <si>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</si>
  <si>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</si>
  <si>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</si>
  <si>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</si>
  <si>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</si>
  <si>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</si>
  <si>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</si>
  <si>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</si>
  <si>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</si>
  <si>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</si>
  <si>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</si>
  <si>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</si>
  <si>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</si>
  <si>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</si>
  <si>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</si>
  <si>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</si>
  <si>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</si>
  <si>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</si>
  <si>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</si>
  <si>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</si>
  <si>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</si>
  <si>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</si>
  <si>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</si>
  <si>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</si>
  <si>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</si>
  <si>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</si>
  <si>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</si>
  <si>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</si>
  <si>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</si>
  <si>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</si>
  <si>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</si>
  <si>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</si>
  <si>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</si>
  <si>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</si>
  <si>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</si>
  <si>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</si>
  <si>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</si>
  <si>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</si>
  <si>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</si>
  <si>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</si>
  <si>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</si>
  <si>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</si>
  <si>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</si>
  <si>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</si>
  <si>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</si>
  <si>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</si>
  <si>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</si>
  <si>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</si>
  <si>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</si>
  <si>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</si>
  <si>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</si>
  <si>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</si>
  <si>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</si>
  <si>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</si>
  <si>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</si>
  <si>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</si>
  <si>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</si>
  <si>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</si>
  <si>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</si>
  <si>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</si>
  <si>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</si>
  <si>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</si>
  <si>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</si>
  <si>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</si>
  <si>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</si>
  <si>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</si>
  <si>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</si>
  <si>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</si>
  <si>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</si>
  <si>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</si>
  <si>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</si>
  <si>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</si>
  <si>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</si>
  <si>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</si>
  <si>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</si>
  <si>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</si>
  <si>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</si>
  <si>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</si>
  <si>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</si>
  <si>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</si>
  <si>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</si>
  <si>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</si>
  <si>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</si>
  <si>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</si>
  <si>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</si>
  <si>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</si>
  <si>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</si>
  <si>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</si>
  <si>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</si>
  <si>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</si>
  <si>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</si>
  <si>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</si>
  <si>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</si>
  <si>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</si>
  <si>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</si>
  <si>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</si>
  <si>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</si>
  <si>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</si>
  <si>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</si>
  <si>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</si>
  <si>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</si>
  <si>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</si>
  <si>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</si>
  <si>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</si>
  <si>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</si>
  <si>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</si>
  <si>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</si>
  <si>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</si>
  <si>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</si>
  <si>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</si>
  <si>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</si>
  <si>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</si>
  <si>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</si>
  <si>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</si>
  <si>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</si>
  <si>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</si>
  <si>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</si>
  <si>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</si>
  <si>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</si>
  <si>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</si>
  <si>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</si>
  <si>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</si>
  <si>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</si>
  <si>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</si>
  <si>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</si>
  <si>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</si>
  <si>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</si>
  <si>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</si>
  <si>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</si>
  <si>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</si>
  <si>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</si>
  <si>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</si>
  <si>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</si>
  <si>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</si>
  <si>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</si>
  <si>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</si>
  <si>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</si>
  <si>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</si>
  <si>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</si>
  <si>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</si>
  <si>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</si>
  <si>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</si>
  <si>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</si>
  <si>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</si>
  <si>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</si>
  <si>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</si>
  <si>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</si>
  <si>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</si>
  <si>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</si>
  <si>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</si>
  <si>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</si>
  <si>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</si>
  <si>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</si>
  <si>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</si>
  <si>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</si>
  <si>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</si>
  <si>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</si>
  <si>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</si>
  <si>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</si>
  <si>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</si>
  <si>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</si>
  <si>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</si>
  <si>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</si>
  <si>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</si>
  <si>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</si>
  <si>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</si>
  <si>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</si>
  <si>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</si>
  <si>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</si>
  <si>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</si>
  <si>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</si>
  <si>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</si>
  <si>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</si>
  <si>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</si>
  <si>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</si>
  <si>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</si>
  <si>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</si>
  <si>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</si>
  <si>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</si>
  <si>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</si>
  <si>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</si>
  <si>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</si>
  <si>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</si>
  <si>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</si>
  <si>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</si>
  <si>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</si>
  <si>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</si>
  <si>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</si>
  <si>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</si>
  <si>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</si>
  <si>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</si>
  <si>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</si>
  <si>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</si>
  <si>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</si>
  <si>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</si>
  <si>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</si>
  <si>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</si>
  <si>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</si>
  <si>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</si>
  <si>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</si>
  <si>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</si>
  <si>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</si>
  <si>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</si>
  <si>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</si>
  <si>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</si>
  <si>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</si>
  <si>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</si>
  <si>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</si>
  <si>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</si>
  <si>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</si>
  <si>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</si>
  <si>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</si>
  <si>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</si>
  <si>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</si>
  <si>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</si>
  <si>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</si>
  <si>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</si>
  <si>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</si>
  <si>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</si>
  <si>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</si>
  <si>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</si>
  <si>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</si>
  <si>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</si>
  <si>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</si>
  <si>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</si>
  <si>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</si>
  <si>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</si>
  <si>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</si>
  <si>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</si>
  <si>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</si>
  <si>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</si>
  <si>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</si>
  <si>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</si>
  <si>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</si>
  <si>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</si>
  <si>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</si>
  <si>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</si>
  <si>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</si>
  <si>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</si>
  <si>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</si>
  <si>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</si>
  <si>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</si>
  <si>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</si>
  <si>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</si>
  <si>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</si>
  <si>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</si>
  <si>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</si>
  <si>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</si>
  <si>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</si>
  <si>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</si>
  <si>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</si>
  <si>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</si>
  <si>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</si>
  <si>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</si>
  <si>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</si>
  <si>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</si>
  <si>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</si>
  <si>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</si>
  <si>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</si>
  <si>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</si>
  <si>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</si>
  <si>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</si>
  <si>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</si>
  <si>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</si>
  <si>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</si>
  <si>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</si>
  <si>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</si>
  <si>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</si>
  <si>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</si>
  <si>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</si>
  <si>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</si>
  <si>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</si>
  <si>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</si>
  <si>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</si>
  <si>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</si>
  <si>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</si>
  <si>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</si>
  <si>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</si>
  <si>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</si>
  <si>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</si>
  <si>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</si>
  <si>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</si>
  <si>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</si>
  <si>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</si>
  <si>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</si>
  <si>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</si>
  <si>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</si>
  <si>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</si>
  <si>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</si>
  <si>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</si>
  <si>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</si>
  <si>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</si>
  <si>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</si>
  <si>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</si>
  <si>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</si>
  <si>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</si>
  <si>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</si>
  <si>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</si>
  <si>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</si>
  <si>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</si>
  <si>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</si>
  <si>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</si>
  <si>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</si>
  <si>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</si>
  <si>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</si>
  <si>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</si>
  <si>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</si>
  <si>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</si>
  <si>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</si>
  <si>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</si>
  <si>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</si>
  <si>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</si>
  <si>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</si>
  <si>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</si>
  <si>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</si>
  <si>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</si>
  <si>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</si>
  <si>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</si>
  <si>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</si>
  <si>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</si>
  <si>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</si>
  <si>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</si>
  <si>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</si>
  <si>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</si>
  <si>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</si>
  <si>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</si>
  <si>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</si>
  <si>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</si>
  <si>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</si>
  <si>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</si>
  <si>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</si>
  <si>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</si>
  <si>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</si>
  <si>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</si>
  <si>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</si>
  <si>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</si>
  <si>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</si>
  <si>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</si>
  <si>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</si>
  <si>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</si>
  <si>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</si>
  <si>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</si>
  <si>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</si>
  <si>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</si>
  <si>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</si>
  <si>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</si>
  <si>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</si>
  <si>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</si>
  <si>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</si>
  <si>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</si>
  <si>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</si>
  <si>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</si>
  <si>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</si>
  <si>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</si>
  <si>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</si>
  <si>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</si>
  <si>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</si>
  <si>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</si>
  <si>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</si>
  <si>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</si>
  <si>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</si>
  <si>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</si>
  <si>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</si>
  <si>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</si>
  <si>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</si>
  <si>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</si>
  <si>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</si>
  <si>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</si>
  <si>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</si>
  <si>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</si>
  <si>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</si>
  <si>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</si>
  <si>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</si>
  <si>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</si>
  <si>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</si>
  <si>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</si>
  <si>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</si>
  <si>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</si>
  <si>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</si>
  <si>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</si>
  <si>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</si>
  <si>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</si>
  <si>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</si>
  <si>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</si>
  <si>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</si>
  <si>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</si>
  <si>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</si>
  <si>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</si>
  <si>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</si>
  <si>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</si>
  <si>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</si>
  <si>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</si>
  <si>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</si>
  <si>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</si>
  <si>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</si>
  <si>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</si>
  <si>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</si>
  <si>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</si>
  <si>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</si>
  <si>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</si>
  <si>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</si>
  <si>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</si>
  <si>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</si>
  <si>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</si>
  <si>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</si>
  <si>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</si>
  <si>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</si>
  <si>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</si>
  <si>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</si>
  <si>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</si>
  <si>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</si>
  <si>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</si>
  <si>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</si>
  <si>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</si>
  <si>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</si>
  <si>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</si>
  <si>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</si>
  <si>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</si>
  <si>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</si>
  <si>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</si>
  <si>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</si>
  <si>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</si>
  <si>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</si>
  <si>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</si>
  <si>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</si>
  <si>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</si>
  <si>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</si>
  <si>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</si>
  <si>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</si>
  <si>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</si>
  <si>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</si>
  <si>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</si>
  <si>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</si>
  <si>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</si>
  <si>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</si>
  <si>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</si>
  <si>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</si>
  <si>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</si>
  <si>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</si>
  <si>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</si>
  <si>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</si>
  <si>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</si>
  <si>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</si>
  <si>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</si>
  <si>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</si>
  <si>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</si>
  <si>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</si>
  <si>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</si>
  <si>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</si>
  <si>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</si>
  <si>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</si>
  <si>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</si>
  <si>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</si>
  <si>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</si>
  <si>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</si>
  <si>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</si>
  <si>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</si>
  <si>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</si>
  <si>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</si>
  <si>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</si>
  <si>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</si>
  <si>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</si>
  <si>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</si>
  <si>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</si>
  <si>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</si>
  <si>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</si>
  <si>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</si>
  <si>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</si>
  <si>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</si>
  <si>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</si>
  <si>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</si>
  <si>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</si>
  <si>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</si>
  <si>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</si>
  <si>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</si>
  <si>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</si>
  <si>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</si>
  <si>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</si>
  <si>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</si>
  <si>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</si>
  <si>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</si>
  <si>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</si>
  <si>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</si>
  <si>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</si>
  <si>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</si>
  <si>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</si>
  <si>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</si>
  <si>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</si>
  <si>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</si>
  <si>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</si>
  <si>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</si>
  <si>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</si>
  <si>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</si>
  <si>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</si>
  <si>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</si>
  <si>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</si>
  <si>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</si>
  <si>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</si>
  <si>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</si>
  <si>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</si>
  <si>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</si>
  <si>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</si>
  <si>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</si>
  <si>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</si>
  <si>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</si>
  <si>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</si>
  <si>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</si>
  <si>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</si>
  <si>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</si>
  <si>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</si>
  <si>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</si>
  <si>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</si>
  <si>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</si>
  <si>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</si>
  <si>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</si>
  <si>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</si>
  <si>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</si>
  <si>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</si>
  <si>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</si>
  <si>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</si>
  <si>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</si>
  <si>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</si>
  <si>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</si>
  <si>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</si>
  <si>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</si>
  <si>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</si>
  <si>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</si>
  <si>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</si>
  <si>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</si>
  <si>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</si>
  <si>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</si>
  <si>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</si>
  <si>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</si>
  <si>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</si>
  <si>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</si>
  <si>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</si>
  <si>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</si>
  <si>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</si>
  <si>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</si>
  <si>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</si>
  <si>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</si>
  <si>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</si>
  <si>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</si>
  <si>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</si>
  <si>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</si>
  <si>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</si>
  <si>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</si>
  <si>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</si>
  <si>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</si>
  <si>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</si>
  <si>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</si>
  <si>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</si>
  <si>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</si>
  <si>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</si>
  <si>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</si>
  <si>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</si>
  <si>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</si>
  <si>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</si>
  <si>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</si>
  <si>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</si>
  <si>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</si>
  <si>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</si>
  <si>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</si>
  <si>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</si>
  <si>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</si>
  <si>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</si>
  <si>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</si>
  <si>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</si>
  <si>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</si>
  <si>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</si>
  <si>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</si>
  <si>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</si>
  <si>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</si>
  <si>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</si>
  <si>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</si>
  <si>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</si>
  <si>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</si>
  <si>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</si>
  <si>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</si>
  <si>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</si>
  <si>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</si>
  <si>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</si>
  <si>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</si>
  <si>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</si>
  <si>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</si>
  <si>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</si>
  <si>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</si>
  <si>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</si>
  <si>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</si>
  <si>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</si>
  <si>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</si>
  <si>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</si>
  <si>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</si>
  <si>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</si>
  <si>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</si>
  <si>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</si>
  <si>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</si>
  <si>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</si>
  <si>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</si>
  <si>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</si>
  <si>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</si>
  <si>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</si>
  <si>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</si>
  <si>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</si>
  <si>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</si>
  <si>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</si>
  <si>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</si>
  <si>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</si>
  <si>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</si>
  <si>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</si>
  <si>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</si>
  <si>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</si>
  <si>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</si>
  <si>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</si>
  <si>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</si>
  <si>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</si>
  <si>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</si>
  <si>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</si>
  <si>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</si>
  <si>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</si>
  <si>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</si>
  <si>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</si>
  <si>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</si>
  <si>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</si>
  <si>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</si>
  <si>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</si>
  <si>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</si>
  <si>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</si>
  <si>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</si>
  <si>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</si>
  <si>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</si>
  <si>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</si>
  <si>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</si>
  <si>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</si>
  <si>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</si>
  <si>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</si>
  <si>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</si>
  <si>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</si>
  <si>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</si>
  <si>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</si>
  <si>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</si>
  <si>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</si>
  <si>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</si>
  <si>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</si>
  <si>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</si>
  <si>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</si>
  <si>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</si>
  <si>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</si>
  <si>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</si>
  <si>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</si>
  <si>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</si>
  <si>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</si>
  <si>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</si>
  <si>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</si>
  <si>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</si>
  <si>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</si>
  <si>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</si>
  <si>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</si>
  <si>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</si>
  <si>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</si>
  <si>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</si>
  <si>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</si>
  <si>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</si>
  <si>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</si>
  <si>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</si>
  <si>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</si>
  <si>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</si>
  <si>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</si>
  <si>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</si>
  <si>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</si>
  <si>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</si>
  <si>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</si>
  <si>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</si>
  <si>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</si>
  <si>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</si>
  <si>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</si>
  <si>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</si>
  <si>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</si>
  <si>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</si>
  <si>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</si>
  <si>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</si>
  <si>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</si>
  <si>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</si>
  <si>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</si>
  <si>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</si>
  <si>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</si>
  <si>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</si>
  <si>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</si>
  <si>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</si>
  <si>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</si>
  <si>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</si>
  <si>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</si>
  <si>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</si>
  <si>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</si>
  <si>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</si>
  <si>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</si>
  <si>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</si>
  <si>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</si>
  <si>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</si>
  <si>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</si>
  <si>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</si>
  <si>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</si>
  <si>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</si>
  <si>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</si>
  <si>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</si>
  <si>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</si>
  <si>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</si>
  <si>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</si>
  <si>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</si>
  <si>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</si>
  <si>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</si>
  <si>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</si>
  <si>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</si>
  <si>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</si>
  <si>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</si>
  <si>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</si>
  <si>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</si>
  <si>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</si>
  <si>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</si>
  <si>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</si>
  <si>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</si>
  <si>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</si>
  <si>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</si>
  <si>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</si>
  <si>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</si>
  <si>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</si>
  <si>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</si>
  <si>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</si>
  <si>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</si>
  <si>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</si>
  <si>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</si>
  <si>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</si>
  <si>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</si>
  <si>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</si>
  <si>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</si>
  <si>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</si>
  <si>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</si>
  <si>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</si>
  <si>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</si>
  <si>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</si>
  <si>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</si>
  <si>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</si>
  <si>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</si>
  <si>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</si>
  <si>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</si>
  <si>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</si>
  <si>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</si>
  <si>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</si>
  <si>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</si>
  <si>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</si>
  <si>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</si>
  <si>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</si>
  <si>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</si>
  <si>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</si>
  <si>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</si>
  <si>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</si>
  <si>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</si>
  <si>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</si>
  <si>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</si>
  <si>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</si>
  <si>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</si>
  <si>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</si>
  <si>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</si>
  <si>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</si>
  <si>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</si>
  <si>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</si>
  <si>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</si>
  <si>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</si>
  <si>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</si>
  <si>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</si>
  <si>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</si>
  <si>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</si>
  <si>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</si>
  <si>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</si>
  <si>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</si>
  <si>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</si>
  <si>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</si>
  <si>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</si>
  <si>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</si>
  <si>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</si>
  <si>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</si>
  <si>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</si>
  <si>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</si>
  <si>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</si>
  <si>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</si>
  <si>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</si>
  <si>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</si>
  <si>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</si>
  <si>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</si>
  <si>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</si>
  <si>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</si>
  <si>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</si>
  <si>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</si>
  <si>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</si>
  <si>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</si>
  <si>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</si>
  <si>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</si>
  <si>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</si>
  <si>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</si>
  <si>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</si>
  <si>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</si>
  <si>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</si>
  <si>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</si>
  <si>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</si>
  <si>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</si>
  <si>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</si>
  <si>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</si>
  <si>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</si>
  <si>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</si>
  <si>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</si>
  <si>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</si>
  <si>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</si>
  <si>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</si>
  <si>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</si>
  <si>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</si>
  <si>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</si>
  <si>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</si>
  <si>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</si>
  <si>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</si>
  <si>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</si>
  <si>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</si>
  <si>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</si>
  <si>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</si>
  <si>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</si>
  <si>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</si>
  <si>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</si>
  <si>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</si>
  <si>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</si>
  <si>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</si>
  <si>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</si>
  <si>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</si>
  <si>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</si>
  <si>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</si>
  <si>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</si>
  <si>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</si>
  <si>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</si>
  <si>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</si>
  <si>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</si>
  <si>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</si>
  <si>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</si>
  <si>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</si>
  <si>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</si>
  <si>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</si>
  <si>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</si>
  <si>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</si>
  <si>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</si>
  <si>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</si>
  <si>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</si>
  <si>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</si>
  <si>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</si>
  <si>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</si>
  <si>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</si>
  <si>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</si>
  <si>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</si>
  <si>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</si>
  <si>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</si>
  <si>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</si>
  <si>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</si>
  <si>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</si>
  <si>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</si>
  <si>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</si>
  <si>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</si>
  <si>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</si>
  <si>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</si>
  <si>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</si>
  <si>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</si>
  <si>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</si>
  <si>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</si>
  <si>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</si>
  <si>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</si>
  <si>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</si>
  <si>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</si>
  <si>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</si>
  <si>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</si>
  <si>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</si>
  <si>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</si>
  <si>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</si>
  <si>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</si>
  <si>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</si>
  <si>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</si>
  <si>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</si>
  <si>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</si>
  <si>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</si>
  <si>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</si>
  <si>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</si>
  <si>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</si>
  <si>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</si>
  <si>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</si>
  <si>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</si>
  <si>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</si>
  <si>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</si>
  <si>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</si>
  <si>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</si>
  <si>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</si>
  <si>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</si>
  <si>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</si>
  <si>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</si>
  <si>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</si>
  <si>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</si>
  <si>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</si>
  <si>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</si>
  <si>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</si>
  <si>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</si>
  <si>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</si>
  <si>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</si>
  <si>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</si>
  <si>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</si>
  <si>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</si>
  <si>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</si>
  <si>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</si>
  <si>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</si>
  <si>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</si>
  <si>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</si>
  <si>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</si>
  <si>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</si>
  <si>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</si>
  <si>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</si>
  <si>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</si>
  <si>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</si>
  <si>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</si>
  <si>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</si>
  <si>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</si>
  <si>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</si>
  <si>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</si>
  <si>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</si>
  <si>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</si>
  <si>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</si>
  <si>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</si>
  <si>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</si>
  <si>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</si>
  <si>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</si>
  <si>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</si>
  <si>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</si>
  <si>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</si>
  <si>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</si>
  <si>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</si>
  <si>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</si>
  <si>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</si>
  <si>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</si>
  <si>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</si>
  <si>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</si>
  <si>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</si>
  <si>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</si>
  <si>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</si>
  <si>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</si>
  <si>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</si>
  <si>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</si>
  <si>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</si>
  <si>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</si>
  <si>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</si>
  <si>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</si>
  <si>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</si>
  <si>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</si>
  <si>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</si>
  <si>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</si>
  <si>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</si>
  <si>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</si>
  <si>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</si>
  <si>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</si>
  <si>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</si>
  <si>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</si>
  <si>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</si>
  <si>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</si>
  <si>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</si>
  <si>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</si>
  <si>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</si>
  <si>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</si>
  <si>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</si>
  <si>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</si>
  <si>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</si>
  <si>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</si>
  <si>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</si>
  <si>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</si>
  <si>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</si>
  <si>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</si>
  <si>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</si>
  <si>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</si>
  <si>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</si>
  <si>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</si>
  <si>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</si>
  <si>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</si>
  <si>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</si>
  <si>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</si>
  <si>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</si>
  <si>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</si>
  <si>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</si>
  <si>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</si>
  <si>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</si>
  <si>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</si>
  <si>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</si>
  <si>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</si>
  <si>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</si>
  <si>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</si>
  <si>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</si>
  <si>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</si>
  <si>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</si>
  <si>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</si>
  <si>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</si>
  <si>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</si>
  <si>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</si>
  <si>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</si>
  <si>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</si>
  <si>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</si>
  <si>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</si>
  <si>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</si>
  <si>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</si>
  <si>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</si>
  <si>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</si>
  <si>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</si>
  <si>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</si>
  <si>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</si>
  <si>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</si>
  <si>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</si>
  <si>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</si>
  <si>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</si>
  <si>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</si>
  <si>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</si>
  <si>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</si>
  <si>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</si>
  <si>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</si>
  <si>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</si>
  <si>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</si>
  <si>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</si>
  <si>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</si>
  <si>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</si>
  <si>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</si>
  <si>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</si>
  <si>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</si>
  <si>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</si>
  <si>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</si>
  <si>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</si>
  <si>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</si>
  <si>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</si>
  <si>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</si>
  <si>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</si>
  <si>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</si>
  <si>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</si>
  <si>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</si>
  <si>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</si>
  <si>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</si>
  <si>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</si>
  <si>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</si>
  <si>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</si>
  <si>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</si>
  <si>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</si>
  <si>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</si>
  <si>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</si>
  <si>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</si>
  <si>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</si>
  <si>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</si>
  <si>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</si>
  <si>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</si>
  <si>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</si>
  <si>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</si>
  <si>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</si>
  <si>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</si>
  <si>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</si>
  <si>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</si>
  <si>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</si>
  <si>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</si>
  <si>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</si>
  <si>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</si>
  <si>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</si>
  <si>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</si>
  <si>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</si>
  <si>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</si>
  <si>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</si>
  <si>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</si>
  <si>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</si>
  <si>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</si>
  <si>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</si>
  <si>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</si>
  <si>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</si>
  <si>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</si>
  <si>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</si>
  <si>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</si>
  <si>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</si>
  <si>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</si>
  <si>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</si>
  <si>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</si>
  <si>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</si>
  <si>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</si>
  <si>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</si>
  <si>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</si>
  <si>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</si>
  <si>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</si>
  <si>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</si>
  <si>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</si>
  <si>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</si>
  <si>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</si>
  <si>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</si>
  <si>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</si>
  <si>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</si>
  <si>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</si>
  <si>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</si>
  <si>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</si>
  <si>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</si>
  <si>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</si>
  <si>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</si>
  <si>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</si>
  <si>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</si>
  <si>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</si>
  <si>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</si>
  <si>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</si>
  <si>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</si>
  <si>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</si>
  <si>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</si>
  <si>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</si>
  <si>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</si>
  <si>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</si>
  <si>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</si>
  <si>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</si>
  <si>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</si>
  <si>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</si>
  <si>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</si>
  <si>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</si>
  <si>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</si>
  <si>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</si>
  <si>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</si>
  <si>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</si>
  <si>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</si>
  <si>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</si>
  <si>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</si>
  <si>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</si>
  <si>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</si>
  <si>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</si>
  <si>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</si>
  <si>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</si>
  <si>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</si>
  <si>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</si>
  <si>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</si>
  <si>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</si>
  <si>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</si>
  <si>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</si>
  <si>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</si>
  <si>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</si>
  <si>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</si>
  <si>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</si>
  <si>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</si>
  <si>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</si>
  <si>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</si>
  <si>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</si>
  <si>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</si>
  <si>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</si>
  <si>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</si>
  <si>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</si>
  <si>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</si>
  <si>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</si>
  <si>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</si>
  <si>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</si>
  <si>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</si>
  <si>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</si>
  <si>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</si>
  <si>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</si>
  <si>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</si>
  <si>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</si>
  <si>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</si>
  <si>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</si>
  <si>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</si>
  <si>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</si>
  <si>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</si>
  <si>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</si>
  <si>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</si>
  <si>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</si>
  <si>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</si>
  <si>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</si>
  <si>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</si>
  <si>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</si>
  <si>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</si>
  <si>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</si>
  <si>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</si>
  <si>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</si>
  <si>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</si>
  <si>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</si>
  <si>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</si>
  <si>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</si>
  <si>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</si>
  <si>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</si>
  <si>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</si>
  <si>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</si>
  <si>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</si>
  <si>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</si>
  <si>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</si>
  <si>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</si>
  <si>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</si>
  <si>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</si>
  <si>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</si>
  <si>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</si>
  <si>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</si>
  <si>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</si>
  <si>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</si>
  <si>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</si>
  <si>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</si>
  <si>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</si>
  <si>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</si>
  <si>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</si>
  <si>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</si>
  <si>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</si>
  <si>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</si>
  <si>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</si>
  <si>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</si>
  <si>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</si>
  <si>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</si>
  <si>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</si>
  <si>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</si>
  <si>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</si>
  <si>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</si>
  <si>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</si>
  <si>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</si>
  <si>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</si>
  <si>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</si>
  <si>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</si>
  <si>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</si>
  <si>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</si>
  <si>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</si>
  <si>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</si>
  <si>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</si>
  <si>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</si>
  <si>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</si>
  <si>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</si>
  <si>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</si>
  <si>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</si>
  <si>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</si>
  <si>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</si>
  <si>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</si>
  <si>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</si>
  <si>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</si>
  <si>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</si>
  <si>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</si>
  <si>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</si>
  <si>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</si>
  <si>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</si>
  <si>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</si>
  <si>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</si>
  <si>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</si>
  <si>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</si>
  <si>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</si>
  <si>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</si>
  <si>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</si>
  <si>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</si>
  <si>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</si>
  <si>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</si>
  <si>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</si>
  <si>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</si>
  <si>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</si>
  <si>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</si>
  <si>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</si>
  <si>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</si>
  <si>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</si>
  <si>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</si>
  <si>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</si>
  <si>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</si>
  <si>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</si>
  <si>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</si>
  <si>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</si>
  <si>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</si>
  <si>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</si>
  <si>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</si>
  <si>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</si>
  <si>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</si>
  <si>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</si>
  <si>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</si>
  <si>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</si>
  <si>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</si>
  <si>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</si>
  <si>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</si>
  <si>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</si>
  <si>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</si>
  <si>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</si>
  <si>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</si>
  <si>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</si>
  <si>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</si>
  <si>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</si>
  <si>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</si>
  <si>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</si>
  <si>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</si>
  <si>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</si>
  <si>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</si>
  <si>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</si>
  <si>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</si>
  <si>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</si>
  <si>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</si>
  <si>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</si>
  <si>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</si>
  <si>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</si>
  <si>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</si>
  <si>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</si>
  <si>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</si>
  <si>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</si>
  <si>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</si>
  <si>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</si>
  <si>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</si>
  <si>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</si>
  <si>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</si>
  <si>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</si>
  <si>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</si>
  <si>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</si>
  <si>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</si>
  <si>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</si>
  <si>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</si>
  <si>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</si>
  <si>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</si>
  <si>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</si>
  <si>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</si>
  <si>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</si>
  <si>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</si>
  <si>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</si>
  <si>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</si>
  <si>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</si>
  <si>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</si>
  <si>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</si>
  <si>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</si>
  <si>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</si>
  <si>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</si>
  <si>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</si>
  <si>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</si>
  <si>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</si>
  <si>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</si>
  <si>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</si>
  <si>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</si>
  <si>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</si>
  <si>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</si>
  <si>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</si>
  <si>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</si>
  <si>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</si>
  <si>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</si>
  <si>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</si>
  <si>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</si>
  <si>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</si>
  <si>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</si>
  <si>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</si>
  <si>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</si>
  <si>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</si>
  <si>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</si>
  <si>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</si>
  <si>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</si>
  <si>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</si>
  <si>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</si>
  <si>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</si>
  <si>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</si>
  <si>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</si>
  <si>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</si>
  <si>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</si>
  <si>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</si>
  <si>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</si>
  <si>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</si>
  <si>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</si>
  <si>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</si>
  <si>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</si>
  <si>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</si>
  <si>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</si>
  <si>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</si>
  <si>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</si>
  <si>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</si>
  <si>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</si>
  <si>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</si>
  <si>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</si>
  <si>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</si>
  <si>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</si>
  <si>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</si>
  <si>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</si>
  <si>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</si>
  <si>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</si>
  <si>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</si>
  <si>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</si>
  <si>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</si>
  <si>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</si>
  <si>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</si>
  <si>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</si>
  <si>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</si>
  <si>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</si>
  <si>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</si>
  <si>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</si>
  <si>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</si>
  <si>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</si>
  <si>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</si>
  <si>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</si>
  <si>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</si>
  <si>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</si>
  <si>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</si>
  <si>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</si>
  <si>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</si>
  <si>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</si>
  <si>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</si>
  <si>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</si>
  <si>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</si>
  <si>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</si>
  <si>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</si>
  <si>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</si>
  <si>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</si>
  <si>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</si>
  <si>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</si>
  <si>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</si>
  <si>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</si>
  <si>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</si>
  <si>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</si>
  <si>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</si>
  <si>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</si>
  <si>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</si>
  <si>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</si>
  <si>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</si>
  <si>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</si>
  <si>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</si>
  <si>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</si>
  <si>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</si>
  <si>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</si>
  <si>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</si>
  <si>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</si>
  <si>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</si>
  <si>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</si>
  <si>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</si>
  <si>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</si>
  <si>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</si>
  <si>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</si>
  <si>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</si>
  <si>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</si>
  <si>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</si>
  <si>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</si>
  <si>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</si>
  <si>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</si>
  <si>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</si>
  <si>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</si>
  <si>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</si>
  <si>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</si>
  <si>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</si>
  <si>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</si>
  <si>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</si>
  <si>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</si>
  <si>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</si>
  <si>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</si>
  <si>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</si>
  <si>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</si>
  <si>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</si>
  <si>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</si>
  <si>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</si>
  <si>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</si>
  <si>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</si>
  <si>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</si>
  <si>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</si>
  <si>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</si>
  <si>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</si>
  <si>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</si>
  <si>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</si>
  <si>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</si>
  <si>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</si>
  <si>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</si>
  <si>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</si>
  <si>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</si>
  <si>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</si>
  <si>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</si>
  <si>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</si>
  <si>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</si>
  <si>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</si>
  <si>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</si>
  <si>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</si>
  <si>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</si>
  <si>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</si>
  <si>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</si>
  <si>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</si>
  <si>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</si>
  <si>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</si>
  <si>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</si>
  <si>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</si>
  <si>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</si>
  <si>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</si>
  <si>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</si>
  <si>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</si>
  <si>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</si>
  <si>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</si>
  <si>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</si>
  <si>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</si>
  <si>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</si>
  <si>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</si>
  <si>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</si>
  <si>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</si>
  <si>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</si>
  <si>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</si>
  <si>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</si>
  <si>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</si>
  <si>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</si>
  <si>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</si>
  <si>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</si>
  <si>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</si>
  <si>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</si>
  <si>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</si>
  <si>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</si>
  <si>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</si>
  <si>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</si>
  <si>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</si>
  <si>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</si>
  <si>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</si>
  <si>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</si>
  <si>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</si>
  <si>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</si>
  <si>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</si>
  <si>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</si>
  <si>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</si>
  <si>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</si>
  <si>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</si>
  <si>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</si>
  <si>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</si>
  <si>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</si>
  <si>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</si>
  <si>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</si>
  <si>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</si>
  <si>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</si>
  <si>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</si>
  <si>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</si>
  <si>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</si>
  <si>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</si>
  <si>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</si>
  <si>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</si>
  <si>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</si>
  <si>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</si>
  <si>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</si>
  <si>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</si>
  <si>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</si>
  <si>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</si>
  <si>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</si>
  <si>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</si>
  <si>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</si>
  <si>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</si>
  <si>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</si>
  <si>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</si>
  <si>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</si>
  <si>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</si>
  <si>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</si>
  <si>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</si>
  <si>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</si>
  <si>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</si>
  <si>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</si>
  <si>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</si>
  <si>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</si>
  <si>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</si>
  <si>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</si>
  <si>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</si>
  <si>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</si>
  <si>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</si>
  <si>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</si>
  <si>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</si>
  <si>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</si>
  <si>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</si>
  <si>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</si>
  <si>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</si>
  <si>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</si>
  <si>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</si>
  <si>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</si>
  <si>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</si>
  <si>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</si>
  <si>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</si>
  <si>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</si>
  <si>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</si>
  <si>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</si>
  <si>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</si>
  <si>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</si>
  <si>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</si>
  <si>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</si>
  <si>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</si>
  <si>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</si>
  <si>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</si>
  <si>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</si>
  <si>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</si>
  <si>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</si>
  <si>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</si>
  <si>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</si>
  <si>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</si>
  <si>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</si>
  <si>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</si>
  <si>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</si>
  <si>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</si>
  <si>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</si>
  <si>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</si>
  <si>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</si>
  <si>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</si>
  <si>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</si>
  <si>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</si>
  <si>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</si>
  <si>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</si>
  <si>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</si>
  <si>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</si>
  <si>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</si>
  <si>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</si>
  <si>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</si>
  <si>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</si>
  <si>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</si>
  <si>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</si>
  <si>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</si>
  <si>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</si>
  <si>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</si>
  <si>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</si>
  <si>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</si>
  <si>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</si>
  <si>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</si>
  <si>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</si>
  <si>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LOS-012</t>
  </si>
  <si>
    <t>LOS-013</t>
  </si>
  <si>
    <t>LOS-014</t>
  </si>
  <si>
    <t>LOS-015</t>
  </si>
  <si>
    <t>LOS-016</t>
  </si>
  <si>
    <t>andi</t>
  </si>
  <si>
    <t>surya</t>
  </si>
  <si>
    <t>218462423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</si>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</sst>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5">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9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 min="6" max="6" bestFit="true" customWidth="true" width="12.7109375" collapsed="fals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t="s">
        <v>4247</v>
      </c>
      <c r="C3" t="s">
        <v>4248</v>
      </c>
      <c r="D3" t="s">
        <v>4249</v>
      </c>
      <c r="E3" t="s">
        <v>4250</v>
      </c>
      <c r="F3" t="s">
        <v>4251</v>
      </c>
    </row>
    <row customFormat="1" r="4" s="1" spans="1:11" x14ac:dyDescent="0.25">
      <c r="A4" s="1" t="s">
        <v>4161</v>
      </c>
      <c r="B4" s="1">
        <f>COUNTIFS($A$14:$A$29, "*$*",B14:B29,"")+IF(B18="Yes",COUNTIFS($A$23, "*$*",B23,""),0)</f>
        <v>0</v>
      </c>
      <c r="C4" s="1">
        <f ref="C4:F4" si="0" t="shared">COUNTIFS($A$14:$A$29, "*$*",C14:C29,"")+IF(C18="Yes",COUNTIFS($A$23, "*$*",C23,""),0)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5" spans="1:11" x14ac:dyDescent="0.25">
      <c r="B11" s="54"/>
      <c r="C11" s="54"/>
    </row>
    <row customFormat="1" r="12" s="1" spans="1:11" x14ac:dyDescent="0.25">
      <c r="A12" s="47" t="s">
        <v>3560</v>
      </c>
      <c r="B12" s="1" t="str">
        <f>'[1]1.TabCustomerMainData'!B$13</f>
        <v>0002APP20221206283</v>
      </c>
      <c r="C12" s="1">
        <f>'[1]1.TabCustomerMainData'!N$13</f>
        <v>0</v>
      </c>
      <c r="D12" s="1">
        <f>'[1]1.TabCustomerMainData'!O$13</f>
        <v>0</v>
      </c>
      <c r="E12" s="1">
        <f>'[1]1.TabCustomerMainData'!P$13</f>
        <v>0</v>
      </c>
      <c r="F12" s="1">
        <f>'[1]1.TabCustomerMainData'!Q$13</f>
        <v>0</v>
      </c>
    </row>
    <row customFormat="1" r="13" s="1" spans="1:11" x14ac:dyDescent="0.25">
      <c r="A13" s="47" t="s">
        <v>0</v>
      </c>
      <c r="B13" t="s">
        <v>4255</v>
      </c>
      <c r="C13" t="s">
        <v>4244</v>
      </c>
      <c r="D13" t="s">
        <v>4245</v>
      </c>
      <c r="E13" t="s">
        <v>4146</v>
      </c>
      <c r="F13" t="s">
        <v>4244</v>
      </c>
    </row>
    <row customFormat="1" r="14" s="1" spans="1:11" x14ac:dyDescent="0.25">
      <c r="A14" s="1" t="s">
        <v>9</v>
      </c>
    </row>
    <row customFormat="1" r="15" s="1" spans="1:11" x14ac:dyDescent="0.25">
      <c r="A15" s="1" t="s">
        <v>2</v>
      </c>
      <c r="B15" s="2">
        <v>0</v>
      </c>
      <c r="C15" s="2">
        <v>0</v>
      </c>
      <c r="D15" s="2"/>
      <c r="E15" s="2"/>
      <c r="F15" s="2">
        <v>0</v>
      </c>
      <c r="G15" s="2"/>
      <c r="H15" s="2"/>
      <c r="I15" s="2"/>
      <c r="J15" s="2"/>
      <c r="K15" s="2"/>
    </row>
    <row customFormat="1" r="16" s="1" spans="1:11" x14ac:dyDescent="0.25">
      <c r="A16" s="1" t="s">
        <v>3</v>
      </c>
      <c r="B16" s="2">
        <v>0</v>
      </c>
      <c r="C16" s="2">
        <v>0</v>
      </c>
      <c r="D16" s="2"/>
      <c r="E16" s="2"/>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4162</v>
      </c>
      <c r="B18" s="1" t="s">
        <v>5</v>
      </c>
      <c r="C18" s="1" t="s">
        <v>5</v>
      </c>
      <c r="D18" s="1" t="s">
        <v>5</v>
      </c>
      <c r="E18" s="1" t="s">
        <v>5</v>
      </c>
      <c r="F18" s="1" t="s">
        <v>5</v>
      </c>
    </row>
    <row customFormat="1" r="19" s="1" spans="1:11" x14ac:dyDescent="0.25">
      <c r="A19" s="1" t="s">
        <v>4163</v>
      </c>
      <c r="B19" s="1" t="s">
        <v>5</v>
      </c>
      <c r="C19" s="1" t="s">
        <v>5</v>
      </c>
      <c r="D19" s="1" t="s">
        <v>5</v>
      </c>
      <c r="E19" s="1" t="s">
        <v>5</v>
      </c>
      <c r="F19" s="1" t="s">
        <v>5</v>
      </c>
    </row>
    <row customFormat="1" r="20" s="1" spans="1:11" x14ac:dyDescent="0.25">
      <c r="A20" s="1" t="s">
        <v>4164</v>
      </c>
      <c r="B20" s="1" t="s">
        <v>5</v>
      </c>
      <c r="C20" s="1" t="s">
        <v>5</v>
      </c>
      <c r="D20" s="1" t="s">
        <v>5</v>
      </c>
      <c r="E20" s="1" t="s">
        <v>5</v>
      </c>
      <c r="F20" s="1" t="s">
        <v>5</v>
      </c>
    </row>
    <row customFormat="1" r="21" s="1" spans="1:11" x14ac:dyDescent="0.25">
      <c r="A21" s="1" t="s">
        <v>7</v>
      </c>
    </row>
    <row customFormat="1" r="22" s="1" spans="1:11" x14ac:dyDescent="0.25">
      <c r="A22" s="37" t="s">
        <v>4154</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4155</v>
      </c>
      <c r="B25" s="1" t="s">
        <v>11</v>
      </c>
      <c r="C25" s="1" t="s">
        <v>11</v>
      </c>
      <c r="D25" s="1" t="s">
        <v>11</v>
      </c>
      <c r="E25" s="1" t="s">
        <v>11</v>
      </c>
      <c r="F25" s="1" t="s">
        <v>11</v>
      </c>
    </row>
    <row customFormat="1" r="26" s="1" spans="1:1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4157</v>
      </c>
      <c r="B27" s="2" t="s">
        <v>3574</v>
      </c>
      <c r="C27" s="2" t="s">
        <v>3574</v>
      </c>
      <c r="D27" s="2" t="s">
        <v>3574</v>
      </c>
      <c r="E27" s="2" t="s">
        <v>3574</v>
      </c>
      <c r="F27" s="2" t="s">
        <v>3574</v>
      </c>
      <c r="G27" s="2"/>
      <c r="H27" s="2"/>
      <c r="I27" s="2"/>
      <c r="J27" s="2"/>
      <c r="K27" s="2"/>
    </row>
    <row customFormat="1" r="28" s="1" spans="1:11" x14ac:dyDescent="0.25">
      <c r="A28" s="37" t="s">
        <v>4158</v>
      </c>
      <c r="B28" s="1" t="s">
        <v>4106</v>
      </c>
      <c r="C28" s="1" t="s">
        <v>4149</v>
      </c>
      <c r="D28" s="1" t="s">
        <v>4150</v>
      </c>
      <c r="E28" s="1" t="s">
        <v>4151</v>
      </c>
      <c r="F28" s="1" t="s">
        <v>4106</v>
      </c>
    </row>
    <row customFormat="1" r="29" s="1" spans="1:11" x14ac:dyDescent="0.25">
      <c r="A29" s="37" t="s">
        <v>4159</v>
      </c>
      <c r="B29" s="1" t="s">
        <v>4102</v>
      </c>
      <c r="C29" s="1" t="s">
        <v>4102</v>
      </c>
      <c r="D29" s="1" t="s">
        <v>4102</v>
      </c>
      <c r="E29" s="1" t="s">
        <v>4102</v>
      </c>
      <c r="F29" s="1" t="s">
        <v>4102</v>
      </c>
    </row>
    <row customFormat="1" r="30" s="1" spans="1:11" x14ac:dyDescent="0.25">
      <c r="A30" s="36" t="s">
        <v>4160</v>
      </c>
      <c r="B30" s="2"/>
      <c r="C30" s="2"/>
      <c r="D30" s="2"/>
      <c r="E30" s="2"/>
      <c r="F30" s="2"/>
      <c r="G30" s="2"/>
      <c r="H30" s="2"/>
      <c r="I30" s="2"/>
      <c r="J30" s="2"/>
      <c r="K30" s="2"/>
    </row>
  </sheetData>
  <conditionalFormatting sqref="A30:E30 G30:XFD30">
    <cfRule dxfId="90" priority="4" type="expression">
      <formula>A$19="No"</formula>
    </cfRule>
  </conditionalFormatting>
  <conditionalFormatting sqref="B26:E27 G26:XFD27">
    <cfRule dxfId="89" priority="3" type="expression">
      <formula>AND(B$25&lt;&gt;"Foreigner",B$25&lt;&gt;"",B$25&lt;&gt;"Nationality")</formula>
    </cfRule>
  </conditionalFormatting>
  <conditionalFormatting sqref="F30">
    <cfRule dxfId="88" priority="2" type="expression">
      <formula>F$19="No"</formula>
    </cfRule>
  </conditionalFormatting>
  <conditionalFormatting sqref="F26:F27">
    <cfRule dxfId="87" priority="1" type="expression">
      <formula>AND(F$25&lt;&gt;"Foreigner",F$25&lt;&gt;"",F$25&lt;&gt;"Nationality")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abSelected="1" workbookViewId="0">
      <selection activeCell="C10" sqref="C10"/>
    </sheetView>
  </sheetViews>
  <sheetFormatPr defaultRowHeight="15" x14ac:dyDescent="0.25"/>
  <cols>
    <col min="1" max="1" bestFit="true" customWidth="true" width="18.28515625" collapsed="true"/>
    <col min="2" max="5" bestFit="true" customWidth="true" width="23.140625" collapsed="true"/>
    <col min="6" max="6" bestFit="true" customWidth="true" width="23.140625" collapsed="fals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IF(B13="",COUNTIFS($A$12:$A$32, "*$*",B12:B32,""),0)</f>
        <v>0</v>
      </c>
      <c r="C4" s="1">
        <f>IF(C13="",COUNTIFS($A$12:$A$32, "*$*",C12:C32,""),0)</f>
        <v>0</v>
      </c>
      <c r="D4" s="1">
        <f>IF(D13="",COUNTIFS($A$12:$A$32, "*$*",D12:D32,""),0)</f>
        <v>0</v>
      </c>
      <c r="E4" s="1">
        <f ref="E4:F4" si="0" t="shared">IF(E13="",COUNTIFS($A$12:$A$32, "*$*",E12:E32,""),0)</f>
        <v>0</v>
      </c>
      <c r="F4" s="1">
        <f si="0" t="shared"/>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3560</v>
      </c>
      <c r="B9" s="1" t="str">
        <f>'1.CustomerDetail'!B12</f>
        <v>0002APP20221206283</v>
      </c>
      <c r="C9" s="1">
        <f>'1.CustomerDetail'!C12</f>
        <v>0</v>
      </c>
      <c r="D9" s="1">
        <f>'1.CustomerDetail'!D12</f>
        <v>0</v>
      </c>
      <c r="E9" s="1">
        <f>'1.CustomerDetail'!E12</f>
        <v>0</v>
      </c>
      <c r="F9" s="1">
        <f>'1.CustomerDetail'!F12</f>
        <v>0</v>
      </c>
    </row>
    <row customFormat="1" r="10" s="1" spans="1:1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customFormat="1" r="11" s="53" spans="1:11" x14ac:dyDescent="0.25">
      <c r="B11" s="54"/>
      <c r="C11" s="54"/>
    </row>
    <row customFormat="1" r="12" s="1" spans="1:11" x14ac:dyDescent="0.25">
      <c r="A12" s="37" t="s">
        <v>4165</v>
      </c>
      <c r="B12" s="1" t="s">
        <v>13</v>
      </c>
      <c r="C12" s="1" t="s">
        <v>13</v>
      </c>
      <c r="D12" s="1" t="s">
        <v>13</v>
      </c>
      <c r="E12" s="1" t="s">
        <v>13</v>
      </c>
      <c r="F12" s="1" t="s">
        <v>13</v>
      </c>
    </row>
    <row customFormat="1" r="13" s="1" spans="1:11" x14ac:dyDescent="0.25">
      <c r="A13" s="1" t="s">
        <v>14</v>
      </c>
    </row>
    <row customFormat="1" r="14" s="1" spans="1:11" x14ac:dyDescent="0.25">
      <c r="A14" s="37" t="s">
        <v>4166</v>
      </c>
      <c r="B14" s="1" t="s">
        <v>16</v>
      </c>
      <c r="C14" s="1" t="s">
        <v>17</v>
      </c>
      <c r="D14" s="1" t="s">
        <v>4241</v>
      </c>
      <c r="E14" s="1" t="s">
        <v>18</v>
      </c>
      <c r="F14" s="1" t="s">
        <v>18</v>
      </c>
    </row>
    <row customFormat="1" r="15" s="1" spans="1:11" x14ac:dyDescent="0.25">
      <c r="A15" s="37" t="s">
        <v>4167</v>
      </c>
      <c r="B15" s="2">
        <v>23</v>
      </c>
      <c r="C15" s="2">
        <v>23</v>
      </c>
      <c r="D15" s="2">
        <v>23</v>
      </c>
      <c r="E15" s="2">
        <v>23</v>
      </c>
      <c r="F15" s="2">
        <v>23</v>
      </c>
      <c r="G15" s="2"/>
      <c r="H15" s="2"/>
      <c r="I15" s="2"/>
      <c r="J15" s="2"/>
      <c r="K15" s="2"/>
    </row>
    <row customFormat="1" r="16" s="1" spans="1:11" x14ac:dyDescent="0.25">
      <c r="A16" s="37" t="s">
        <v>4168</v>
      </c>
      <c r="B16" s="2">
        <v>12</v>
      </c>
      <c r="C16" s="2">
        <v>12</v>
      </c>
      <c r="D16" s="2">
        <v>12</v>
      </c>
      <c r="E16" s="2">
        <v>12</v>
      </c>
      <c r="F16" s="2">
        <v>12</v>
      </c>
      <c r="G16" s="2"/>
      <c r="H16" s="2"/>
      <c r="I16" s="2"/>
      <c r="J16" s="2"/>
      <c r="K16" s="2"/>
    </row>
    <row customFormat="1" r="17" s="1" spans="1:11" x14ac:dyDescent="0.25">
      <c r="A17" s="37" t="s">
        <v>4169</v>
      </c>
      <c r="B17" s="2">
        <v>11530</v>
      </c>
      <c r="C17" s="2">
        <v>11530</v>
      </c>
      <c r="D17" s="2">
        <v>11530</v>
      </c>
      <c r="E17" s="2">
        <v>11530</v>
      </c>
      <c r="F17" s="2">
        <v>11530</v>
      </c>
      <c r="G17" s="2"/>
      <c r="H17" s="2"/>
      <c r="I17" s="2"/>
      <c r="J17" s="2"/>
      <c r="K17" s="2"/>
    </row>
    <row customFormat="1" r="18" s="1" spans="1:11" x14ac:dyDescent="0.25">
      <c r="A18" s="37" t="s">
        <v>4170</v>
      </c>
      <c r="B18" s="1" t="s">
        <v>23</v>
      </c>
      <c r="C18" s="1" t="s">
        <v>23</v>
      </c>
      <c r="D18" s="1" t="s">
        <v>23</v>
      </c>
      <c r="E18" s="1" t="s">
        <v>23</v>
      </c>
      <c r="F18" s="1" t="s">
        <v>23</v>
      </c>
    </row>
    <row customFormat="1" r="19" s="1" spans="1:11" x14ac:dyDescent="0.25">
      <c r="A19" s="37" t="s">
        <v>4171</v>
      </c>
      <c r="B19" s="1" t="s">
        <v>23</v>
      </c>
      <c r="C19" s="1" t="s">
        <v>23</v>
      </c>
      <c r="D19" s="1" t="s">
        <v>23</v>
      </c>
      <c r="E19" s="1" t="s">
        <v>23</v>
      </c>
      <c r="F19" s="1" t="s">
        <v>23</v>
      </c>
    </row>
    <row customFormat="1" r="20" s="1" spans="1:11" x14ac:dyDescent="0.25">
      <c r="A20" s="37" t="s">
        <v>4172</v>
      </c>
      <c r="B20" s="1" t="s">
        <v>250</v>
      </c>
      <c r="C20" s="1" t="s">
        <v>250</v>
      </c>
      <c r="D20" s="1" t="s">
        <v>250</v>
      </c>
      <c r="E20" s="1" t="s">
        <v>250</v>
      </c>
      <c r="F20" s="1" t="s">
        <v>250</v>
      </c>
    </row>
    <row customFormat="1" r="21" s="1" spans="1:11" x14ac:dyDescent="0.25">
      <c r="A21" s="37" t="s">
        <v>4173</v>
      </c>
      <c r="B21" s="2">
        <v>123</v>
      </c>
      <c r="C21" s="2">
        <v>123</v>
      </c>
      <c r="D21" s="2">
        <v>321</v>
      </c>
      <c r="E21" s="2">
        <v>321</v>
      </c>
      <c r="F21" s="2">
        <v>321</v>
      </c>
      <c r="G21" s="2"/>
      <c r="H21" s="2"/>
      <c r="I21" s="2"/>
      <c r="J21" s="2"/>
      <c r="K21" s="2"/>
    </row>
    <row customFormat="1" r="22" s="1" spans="1:11" x14ac:dyDescent="0.25">
      <c r="A22" s="37" t="s">
        <v>4174</v>
      </c>
      <c r="B22" s="2">
        <v>4124</v>
      </c>
      <c r="C22" s="2">
        <v>4124</v>
      </c>
      <c r="D22" s="2">
        <v>6484</v>
      </c>
      <c r="E22" s="2">
        <v>6484</v>
      </c>
      <c r="F22" s="2">
        <v>6484</v>
      </c>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4175</v>
      </c>
      <c r="B32" s="1" t="s">
        <v>2998</v>
      </c>
      <c r="C32" s="1" t="s">
        <v>2998</v>
      </c>
      <c r="D32" s="1" t="s">
        <v>2998</v>
      </c>
      <c r="E32" s="1" t="s">
        <v>2998</v>
      </c>
      <c r="F32" s="1" t="s">
        <v>2998</v>
      </c>
    </row>
  </sheetData>
  <conditionalFormatting sqref="B14:E20 G14:XFD20">
    <cfRule dxfId="86" priority="3" type="expression">
      <formula>AND(B$13&lt;&gt;"",B$13&lt;&gt;"Copy Address From")</formula>
    </cfRule>
  </conditionalFormatting>
  <conditionalFormatting sqref="A14:A20">
    <cfRule dxfId="85" priority="2" type="expression">
      <formula>AND(A$13&lt;&gt;"",A$13&lt;&gt;"Copy Address From")</formula>
    </cfRule>
  </conditionalFormatting>
  <conditionalFormatting sqref="F14:F20">
    <cfRule dxfId="84" priority="1" type="expression">
      <formula>AND(F$13&lt;&gt;"",F$13&lt;&gt;"Copy Address From")</formula>
    </cfRule>
  </conditionalFormatting>
  <dataValidations count="6">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F20" type="custom">
      <formula1>ISBLANK(B$13)</formula1>
    </dataValidation>
    <dataValidation errorStyle="information" showErrorMessage="1" showInputMessage="1" sqref="B12:F12" type="list">
      <formula1>"Legal, Mailing, Residence, Residence 2"</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6" bestFit="true" customWidth="true" width="24.0"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 ref="B4:C4" si="0" t="shared">IF(B12="Employee",COUNTIFS($A$14:$A$26,"*$*",B14:B26,"")+COUNTIFS($A$55:$A$61,"*$*",B55:B61,""),IF(B12="Professional",COUNTIFS($A$28:$A$36,"*$*",B28:B36,"")+COUNTIFS($A$55:$A$61,"*$*",B55:B61,""),IF(B12="Non Professional",COUNTIFS($A$38:$A$40,"*$*",B38:B40,"")+COUNTIFS($A$55:$A$61,"*$*",B55:B61,""),IF(B12="Small Medium Enterprise",COUNTIFS($A$42:$A$53,"*$*",B42:B53,"")+COUNTIFS($A$55:$A$61,"*$*",B55:B61,"")))))</f>
        <v>0</v>
      </c>
      <c r="C4" s="1">
        <f si="0" t="shared"/>
        <v>0</v>
      </c>
      <c r="D4" s="1">
        <f ref="D4" si="1" t="shared">IF(D12="Employee",COUNTIFS($A$14:$A$26,"*$*",D14:D26,"")+COUNTIFS($A$55:$A$61,"*$*",D55:D61,""),IF(D12="Professional",COUNTIFS($A$28:$A$36,"*$*",D28:D36,"")+COUNTIFS($A$55:$A$61,"*$*",D55:D61,""),IF(D12="Non Professional",COUNTIFS($A$38:$A$40,"*$*",D38:D40,"")+COUNTIFS($A$55:$A$61,"*$*",D55:D61,""),IF(D12="Small Medium Enterprise",COUNTIFS($A$42:$A$53,"*$*",D42:D53,"")+COUNTIFS($A$55:$A$61,"*$*",D55:D61,"")))))</f>
        <v>0</v>
      </c>
      <c r="E4" s="1">
        <f ref="E4:F4" si="2" t="shared">IF(E12="Employee",COUNTIFS($A$14:$A$26,"*$*",E14:E26,"")+COUNTIFS($A$55:$A$61,"*$*",E55:E61,""),IF(E12="Professional",COUNTIFS($A$28:$A$36,"*$*",E28:E36,"")+COUNTIFS($A$55:$A$61,"*$*",E55:E61,""),IF(E12="Non Professional",COUNTIFS($A$38:$A$40,"*$*",E38:E40,"")+COUNTIFS($A$55:$A$61,"*$*",E55:E61,""),IF(E12="Small Medium Enterprise",COUNTIFS($A$42:$A$53,"*$*",E42:E53,"")+COUNTIFS($A$55:$A$61,"*$*",E55:E61,"")))))</f>
        <v>0</v>
      </c>
      <c r="F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0002APP20221206283</v>
      </c>
      <c r="C10" s="1">
        <f>'1.CustomerDetail'!C$12</f>
        <v>0</v>
      </c>
      <c r="D10" s="1">
        <f>'1.CustomerDetail'!D$12</f>
        <v>0</v>
      </c>
      <c r="E10" s="1">
        <f>'1.CustomerDetail'!E$12</f>
        <v>0</v>
      </c>
      <c r="F10" s="1">
        <f>'1.CustomerDetail'!F$12</f>
        <v>0</v>
      </c>
    </row>
    <row customFormat="1" r="11" s="64" spans="1:11" x14ac:dyDescent="0.25">
      <c r="A11" s="61" t="s">
        <v>4219</v>
      </c>
      <c r="B11" s="62"/>
      <c r="C11" s="62"/>
      <c r="D11" s="62"/>
      <c r="E11" s="62"/>
      <c r="F11" s="62"/>
      <c r="G11" s="62"/>
      <c r="H11" s="62"/>
      <c r="I11" s="62"/>
      <c r="J11" s="62"/>
      <c r="K11" s="63"/>
    </row>
    <row customFormat="1" r="12" s="1" spans="1:11" x14ac:dyDescent="0.25">
      <c r="A12" s="1" t="s">
        <v>4219</v>
      </c>
      <c r="B12" s="1" t="s">
        <v>4218</v>
      </c>
      <c r="C12" s="1" t="s">
        <v>4218</v>
      </c>
      <c r="D12" s="1" t="s">
        <v>4218</v>
      </c>
      <c r="E12" s="1" t="s">
        <v>4218</v>
      </c>
      <c r="F12" s="1" t="s">
        <v>4218</v>
      </c>
    </row>
    <row customFormat="1" r="13" s="64" spans="1:11" x14ac:dyDescent="0.25">
      <c r="A13" s="61" t="s">
        <v>3561</v>
      </c>
      <c r="B13" s="62"/>
      <c r="C13" s="62"/>
      <c r="D13" s="62"/>
      <c r="E13" s="62"/>
      <c r="F13" s="62"/>
      <c r="G13" s="62"/>
      <c r="H13" s="62"/>
      <c r="I13" s="62"/>
      <c r="J13" s="62"/>
      <c r="K13" s="63"/>
    </row>
    <row customFormat="1" r="14" s="1" spans="1:1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4210</v>
      </c>
      <c r="B15" s="3" t="s">
        <v>63</v>
      </c>
      <c r="C15" s="3" t="s">
        <v>63</v>
      </c>
      <c r="D15" s="3" t="s">
        <v>63</v>
      </c>
      <c r="E15" s="3" t="s">
        <v>63</v>
      </c>
      <c r="F15" s="3" t="s">
        <v>63</v>
      </c>
      <c r="G15" s="3"/>
      <c r="H15" s="3"/>
      <c r="I15" s="3"/>
      <c r="J15" s="3"/>
      <c r="K15" s="3"/>
    </row>
    <row customFormat="1" r="16" s="1" spans="1:11" x14ac:dyDescent="0.25">
      <c r="A16" s="37" t="s">
        <v>4211</v>
      </c>
      <c r="B16" s="3" t="s">
        <v>263</v>
      </c>
      <c r="C16" s="3" t="s">
        <v>263</v>
      </c>
      <c r="D16" s="3" t="s">
        <v>263</v>
      </c>
      <c r="E16" s="3" t="s">
        <v>263</v>
      </c>
      <c r="F16" s="3" t="s">
        <v>263</v>
      </c>
      <c r="G16" s="3"/>
      <c r="H16" s="3"/>
      <c r="I16" s="3"/>
      <c r="J16" s="3"/>
      <c r="K16" s="3"/>
    </row>
    <row customFormat="1" r="17" s="1" spans="1:11" x14ac:dyDescent="0.25">
      <c r="A17" s="37" t="s">
        <v>4212</v>
      </c>
      <c r="B17" s="3" t="s">
        <v>34</v>
      </c>
      <c r="C17" s="3" t="s">
        <v>34</v>
      </c>
      <c r="D17" s="3" t="s">
        <v>34</v>
      </c>
      <c r="E17" s="3" t="s">
        <v>34</v>
      </c>
      <c r="F17" s="3" t="s">
        <v>34</v>
      </c>
      <c r="G17" s="3"/>
      <c r="H17" s="3"/>
      <c r="I17" s="3"/>
      <c r="J17" s="3"/>
      <c r="K17" s="3"/>
    </row>
    <row customFormat="1" r="18" s="1" spans="1:11" x14ac:dyDescent="0.25">
      <c r="A18" s="1" t="s">
        <v>35</v>
      </c>
      <c r="B18" s="1" t="s">
        <v>6</v>
      </c>
      <c r="C18" s="1" t="s">
        <v>6</v>
      </c>
      <c r="D18" s="1" t="s">
        <v>6</v>
      </c>
      <c r="E18" s="1" t="s">
        <v>6</v>
      </c>
      <c r="F18" s="1" t="s">
        <v>6</v>
      </c>
    </row>
    <row customFormat="1" r="19" s="1" spans="1:11" x14ac:dyDescent="0.25">
      <c r="A19" s="1" t="s">
        <v>36</v>
      </c>
      <c r="B19" s="1" t="s">
        <v>5</v>
      </c>
      <c r="C19" s="1" t="s">
        <v>5</v>
      </c>
      <c r="D19" s="1" t="s">
        <v>5</v>
      </c>
      <c r="E19" s="1" t="s">
        <v>5</v>
      </c>
      <c r="F19" s="1" t="s">
        <v>5</v>
      </c>
    </row>
    <row customFormat="1" r="20" s="1" spans="1:11" x14ac:dyDescent="0.25">
      <c r="A20" s="37" t="s">
        <v>4213</v>
      </c>
      <c r="B20" s="1" t="s">
        <v>37</v>
      </c>
      <c r="C20" s="1" t="s">
        <v>37</v>
      </c>
      <c r="D20" s="1" t="s">
        <v>37</v>
      </c>
      <c r="E20" s="1" t="s">
        <v>37</v>
      </c>
      <c r="F20" s="1" t="s">
        <v>37</v>
      </c>
    </row>
    <row customFormat="1" r="21" s="1" spans="1:1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customFormat="1" r="22" s="1" spans="1:11" x14ac:dyDescent="0.25">
      <c r="A22" s="37" t="s">
        <v>4215</v>
      </c>
      <c r="B22" s="1" t="s">
        <v>3324</v>
      </c>
      <c r="C22" s="1" t="s">
        <v>3328</v>
      </c>
      <c r="D22" s="1" t="s">
        <v>3332</v>
      </c>
      <c r="E22" s="1" t="s">
        <v>3330</v>
      </c>
      <c r="F22" s="1" t="s">
        <v>3332</v>
      </c>
    </row>
    <row customFormat="1" r="23" s="1" spans="1:11" x14ac:dyDescent="0.25">
      <c r="A23" s="1" t="s">
        <v>38</v>
      </c>
    </row>
    <row customFormat="1" r="24" s="1" spans="1:11" x14ac:dyDescent="0.25">
      <c r="A24" s="37" t="s">
        <v>4216</v>
      </c>
      <c r="B24" s="41">
        <v>43959</v>
      </c>
      <c r="C24" s="41">
        <v>43959</v>
      </c>
      <c r="D24" s="41">
        <v>43959</v>
      </c>
      <c r="E24" s="41">
        <v>43959</v>
      </c>
      <c r="F24" s="41">
        <v>43959</v>
      </c>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6" spans="1:11" x14ac:dyDescent="0.25">
      <c r="A27" s="56" t="s">
        <v>4065</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62</v>
      </c>
      <c r="B29" s="3" t="s">
        <v>207</v>
      </c>
      <c r="C29" s="3" t="s">
        <v>207</v>
      </c>
      <c r="D29" s="3" t="s">
        <v>207</v>
      </c>
      <c r="E29" s="3" t="s">
        <v>207</v>
      </c>
      <c r="F29" s="3" t="s">
        <v>207</v>
      </c>
    </row>
    <row customFormat="1" r="30" s="1" spans="1:11" x14ac:dyDescent="0.25">
      <c r="A30" s="1" t="s">
        <v>36</v>
      </c>
      <c r="B30" s="1" t="s">
        <v>5</v>
      </c>
      <c r="C30" s="1" t="s">
        <v>5</v>
      </c>
      <c r="D30" s="1" t="s">
        <v>5</v>
      </c>
      <c r="E30" s="1" t="s">
        <v>5</v>
      </c>
      <c r="F30" s="1" t="s">
        <v>5</v>
      </c>
    </row>
    <row customFormat="1" r="31" s="1" spans="1:11" x14ac:dyDescent="0.25">
      <c r="A31" s="1" t="s">
        <v>242</v>
      </c>
      <c r="B31" s="1" t="s">
        <v>4063</v>
      </c>
      <c r="C31" s="1" t="s">
        <v>4063</v>
      </c>
      <c r="D31" s="1" t="s">
        <v>4063</v>
      </c>
      <c r="E31" s="1" t="s">
        <v>4063</v>
      </c>
      <c r="F31" s="1" t="s">
        <v>4063</v>
      </c>
    </row>
    <row customFormat="1" r="32" s="1" spans="1:1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4067</v>
      </c>
      <c r="B33" s="1" t="s">
        <v>4068</v>
      </c>
      <c r="C33" s="1" t="s">
        <v>4068</v>
      </c>
      <c r="D33" s="1" t="s">
        <v>4068</v>
      </c>
      <c r="E33" s="1" t="s">
        <v>4068</v>
      </c>
      <c r="F33" s="1" t="s">
        <v>4068</v>
      </c>
    </row>
    <row customFormat="1" r="34" s="1" spans="1:6" x14ac:dyDescent="0.25">
      <c r="A34" s="1" t="s">
        <v>4069</v>
      </c>
      <c r="B34" s="1">
        <v>1823612695</v>
      </c>
      <c r="C34" s="1">
        <v>1823612695</v>
      </c>
      <c r="D34" s="1">
        <v>1823612695</v>
      </c>
      <c r="E34" s="1">
        <v>1823612695</v>
      </c>
      <c r="F34" s="1">
        <v>1823612695</v>
      </c>
    </row>
    <row customFormat="1" r="35" s="1" spans="1:6" x14ac:dyDescent="0.25">
      <c r="A35" s="1" t="s">
        <v>4070</v>
      </c>
      <c r="B35" s="42">
        <v>44444</v>
      </c>
      <c r="C35" s="42">
        <v>44444</v>
      </c>
      <c r="D35" s="42">
        <v>44444</v>
      </c>
      <c r="E35" s="42">
        <v>44444</v>
      </c>
      <c r="F35" s="42">
        <v>44444</v>
      </c>
    </row>
    <row customFormat="1" r="36" s="1" spans="1:6" x14ac:dyDescent="0.25">
      <c r="A36" s="1" t="s">
        <v>243</v>
      </c>
      <c r="B36" s="1" t="s">
        <v>271</v>
      </c>
      <c r="C36" s="1" t="s">
        <v>271</v>
      </c>
      <c r="D36" s="1" t="s">
        <v>271</v>
      </c>
      <c r="E36" s="1" t="s">
        <v>271</v>
      </c>
      <c r="F36" s="1" t="s">
        <v>271</v>
      </c>
    </row>
    <row customFormat="1" r="37" s="56" spans="1:6" x14ac:dyDescent="0.25">
      <c r="A37" s="56" t="s">
        <v>4071</v>
      </c>
    </row>
    <row customFormat="1" r="38" s="1" spans="1:6"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4210</v>
      </c>
      <c r="B39" s="3" t="s">
        <v>4072</v>
      </c>
      <c r="C39" s="3" t="s">
        <v>4072</v>
      </c>
      <c r="D39" s="3" t="s">
        <v>4072</v>
      </c>
      <c r="E39" s="3" t="s">
        <v>4072</v>
      </c>
      <c r="F39" s="3" t="s">
        <v>4072</v>
      </c>
    </row>
    <row customFormat="1" r="40" s="1" spans="1:6" x14ac:dyDescent="0.25">
      <c r="A40" s="1" t="s">
        <v>4217</v>
      </c>
      <c r="B40" s="1" t="s">
        <v>4101</v>
      </c>
      <c r="C40" s="1" t="s">
        <v>4101</v>
      </c>
      <c r="D40" s="1" t="s">
        <v>4101</v>
      </c>
      <c r="E40" s="1" t="s">
        <v>4101</v>
      </c>
      <c r="F40" s="1" t="s">
        <v>4101</v>
      </c>
    </row>
    <row customFormat="1" r="41" s="56" spans="1:6" x14ac:dyDescent="0.25">
      <c r="A41" s="56" t="s">
        <v>4073</v>
      </c>
    </row>
    <row customFormat="1" r="42" s="1" spans="1:6"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62</v>
      </c>
      <c r="B43" s="3" t="s">
        <v>233</v>
      </c>
      <c r="C43" s="3" t="s">
        <v>233</v>
      </c>
      <c r="D43" s="3" t="s">
        <v>233</v>
      </c>
      <c r="E43" s="3" t="s">
        <v>233</v>
      </c>
      <c r="F43" s="3" t="s">
        <v>233</v>
      </c>
    </row>
    <row customFormat="1" r="44" s="1" spans="1:6" x14ac:dyDescent="0.25">
      <c r="A44" s="1" t="s">
        <v>31</v>
      </c>
      <c r="B44" s="3" t="s">
        <v>272</v>
      </c>
      <c r="C44" s="3" t="s">
        <v>272</v>
      </c>
      <c r="D44" s="3" t="s">
        <v>272</v>
      </c>
      <c r="E44" s="3" t="s">
        <v>272</v>
      </c>
      <c r="F44" s="3" t="s">
        <v>272</v>
      </c>
    </row>
    <row customFormat="1" r="45" s="1" spans="1:6" x14ac:dyDescent="0.25">
      <c r="A45" s="1" t="s">
        <v>36</v>
      </c>
      <c r="B45" s="1" t="s">
        <v>5</v>
      </c>
      <c r="C45" s="1" t="s">
        <v>5</v>
      </c>
      <c r="D45" s="1" t="s">
        <v>5</v>
      </c>
      <c r="E45" s="1" t="s">
        <v>5</v>
      </c>
      <c r="F45" s="1" t="s">
        <v>5</v>
      </c>
    </row>
    <row customFormat="1" r="46" s="1" spans="1:6" x14ac:dyDescent="0.25">
      <c r="A46" s="1" t="s">
        <v>242</v>
      </c>
      <c r="B46" s="1" t="s">
        <v>4074</v>
      </c>
      <c r="C46" s="1" t="s">
        <v>4074</v>
      </c>
      <c r="D46" s="1" t="s">
        <v>4074</v>
      </c>
      <c r="E46" s="1" t="s">
        <v>4074</v>
      </c>
      <c r="F46" s="1" t="s">
        <v>4074</v>
      </c>
    </row>
    <row customFormat="1" r="47" s="1" spans="1:6"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4067</v>
      </c>
      <c r="B48" s="1" t="s">
        <v>3324</v>
      </c>
      <c r="C48" s="1" t="s">
        <v>3324</v>
      </c>
      <c r="D48" s="1" t="s">
        <v>3324</v>
      </c>
      <c r="E48" s="1" t="s">
        <v>3324</v>
      </c>
      <c r="F48" s="1" t="s">
        <v>3324</v>
      </c>
    </row>
    <row customFormat="1" r="49" s="1" spans="1:11" x14ac:dyDescent="0.25">
      <c r="A49" s="1" t="s">
        <v>4075</v>
      </c>
      <c r="B49" s="1" t="s">
        <v>39</v>
      </c>
      <c r="C49" s="1" t="s">
        <v>39</v>
      </c>
      <c r="D49" s="1" t="s">
        <v>39</v>
      </c>
      <c r="E49" s="1" t="s">
        <v>39</v>
      </c>
      <c r="F49" s="1" t="s">
        <v>39</v>
      </c>
    </row>
    <row customFormat="1" r="50" s="1" spans="1:11" x14ac:dyDescent="0.25">
      <c r="A50" s="1" t="s">
        <v>4076</v>
      </c>
      <c r="B50" s="41">
        <v>43959</v>
      </c>
      <c r="C50" s="41">
        <v>43959</v>
      </c>
      <c r="D50" s="41">
        <v>43959</v>
      </c>
      <c r="E50" s="41">
        <v>43959</v>
      </c>
      <c r="F50" s="41">
        <v>43959</v>
      </c>
    </row>
    <row customFormat="1" r="51" s="1" spans="1:11" x14ac:dyDescent="0.25">
      <c r="A51" s="1" t="s">
        <v>243</v>
      </c>
      <c r="B51" s="2" t="s">
        <v>33</v>
      </c>
      <c r="C51" s="2" t="s">
        <v>33</v>
      </c>
      <c r="D51" s="2" t="s">
        <v>33</v>
      </c>
      <c r="E51" s="2" t="s">
        <v>33</v>
      </c>
      <c r="F51" s="2" t="s">
        <v>33</v>
      </c>
    </row>
    <row customFormat="1" r="52" s="1" spans="1:11" x14ac:dyDescent="0.25">
      <c r="A52" s="1" t="s">
        <v>40</v>
      </c>
      <c r="B52" s="2">
        <v>102</v>
      </c>
      <c r="C52" s="2">
        <v>102</v>
      </c>
      <c r="D52" s="2">
        <v>102</v>
      </c>
      <c r="E52" s="2">
        <v>102</v>
      </c>
      <c r="F52" s="2">
        <v>102</v>
      </c>
    </row>
    <row customFormat="1" r="53" s="1" spans="1:11" x14ac:dyDescent="0.25">
      <c r="A53" s="1" t="s">
        <v>4077</v>
      </c>
      <c r="B53" s="1" t="s">
        <v>4078</v>
      </c>
      <c r="C53" s="1" t="s">
        <v>4078</v>
      </c>
      <c r="D53" s="1" t="s">
        <v>4078</v>
      </c>
      <c r="E53" s="1" t="s">
        <v>4078</v>
      </c>
      <c r="F53" s="1" t="s">
        <v>4078</v>
      </c>
    </row>
    <row customFormat="1" r="54" s="56" spans="1:11" x14ac:dyDescent="0.25">
      <c r="A54" s="57" t="s">
        <v>3562</v>
      </c>
      <c r="B54" s="58"/>
      <c r="C54" s="58"/>
      <c r="D54" s="58"/>
      <c r="E54" s="58"/>
      <c r="F54" s="58"/>
      <c r="G54" s="58"/>
      <c r="H54" s="58"/>
      <c r="I54" s="58"/>
      <c r="J54" s="58"/>
      <c r="K54" s="59"/>
    </row>
    <row customFormat="1" r="55" s="1" spans="1:11" x14ac:dyDescent="0.25">
      <c r="A55" s="37" t="s">
        <v>4166</v>
      </c>
      <c r="B55" s="1" t="s">
        <v>4152</v>
      </c>
      <c r="C55" s="1" t="s">
        <v>4152</v>
      </c>
      <c r="D55" s="1" t="s">
        <v>4152</v>
      </c>
      <c r="E55" s="1" t="s">
        <v>4152</v>
      </c>
      <c r="F55" s="1" t="s">
        <v>4152</v>
      </c>
    </row>
    <row customFormat="1" r="56" s="1" spans="1:11" x14ac:dyDescent="0.25">
      <c r="A56" s="37" t="s">
        <v>4167</v>
      </c>
      <c r="B56" s="3" t="s">
        <v>57</v>
      </c>
      <c r="C56" s="3" t="s">
        <v>57</v>
      </c>
      <c r="D56" s="3" t="s">
        <v>57</v>
      </c>
      <c r="E56" s="3" t="s">
        <v>57</v>
      </c>
      <c r="F56" s="3" t="s">
        <v>57</v>
      </c>
      <c r="G56" s="2"/>
      <c r="H56" s="2"/>
      <c r="I56" s="2"/>
      <c r="J56" s="2"/>
      <c r="K56" s="2"/>
    </row>
    <row customFormat="1" r="57" s="1" spans="1:11" x14ac:dyDescent="0.25">
      <c r="A57" s="37" t="s">
        <v>4168</v>
      </c>
      <c r="B57" s="3" t="s">
        <v>58</v>
      </c>
      <c r="C57" s="3" t="s">
        <v>58</v>
      </c>
      <c r="D57" s="3" t="s">
        <v>58</v>
      </c>
      <c r="E57" s="3" t="s">
        <v>58</v>
      </c>
      <c r="F57" s="3" t="s">
        <v>58</v>
      </c>
      <c r="G57" s="2"/>
      <c r="H57" s="2"/>
      <c r="I57" s="2"/>
      <c r="J57" s="2"/>
      <c r="K57" s="2"/>
    </row>
    <row customFormat="1" r="58" s="1" spans="1:11" x14ac:dyDescent="0.25">
      <c r="A58" s="37" t="s">
        <v>4169</v>
      </c>
      <c r="B58" s="1">
        <v>25586</v>
      </c>
      <c r="C58" s="1">
        <v>25586</v>
      </c>
      <c r="D58" s="1">
        <v>25586</v>
      </c>
      <c r="E58" s="1">
        <v>25586</v>
      </c>
      <c r="F58" s="1">
        <v>25586</v>
      </c>
      <c r="G58" s="2"/>
      <c r="H58" s="2"/>
      <c r="I58" s="2"/>
      <c r="J58" s="2"/>
      <c r="K58" s="2"/>
    </row>
    <row customFormat="1" r="59" s="1" spans="1:11" x14ac:dyDescent="0.25">
      <c r="A59" s="37" t="s">
        <v>4171</v>
      </c>
      <c r="B59" s="1" t="s">
        <v>4103</v>
      </c>
      <c r="C59" s="1" t="s">
        <v>4103</v>
      </c>
      <c r="D59" s="1" t="s">
        <v>4103</v>
      </c>
      <c r="E59" s="1" t="s">
        <v>4103</v>
      </c>
      <c r="F59" s="1" t="s">
        <v>4103</v>
      </c>
    </row>
    <row customFormat="1" r="60" s="1" spans="1:11" x14ac:dyDescent="0.25">
      <c r="A60" s="37" t="s">
        <v>4170</v>
      </c>
      <c r="B60" s="1" t="s">
        <v>4153</v>
      </c>
      <c r="C60" s="1" t="s">
        <v>4153</v>
      </c>
      <c r="D60" s="1" t="s">
        <v>4153</v>
      </c>
      <c r="E60" s="1" t="s">
        <v>4153</v>
      </c>
      <c r="F60" s="1" t="s">
        <v>4153</v>
      </c>
    </row>
    <row customFormat="1" r="61" s="1" spans="1:11" x14ac:dyDescent="0.25">
      <c r="A61" s="37" t="s">
        <v>4172</v>
      </c>
      <c r="B61" s="1" t="s">
        <v>4104</v>
      </c>
      <c r="C61" s="1" t="s">
        <v>4104</v>
      </c>
      <c r="D61" s="1" t="s">
        <v>4104</v>
      </c>
      <c r="E61" s="1" t="s">
        <v>4104</v>
      </c>
      <c r="F61" s="1" t="s">
        <v>4104</v>
      </c>
    </row>
    <row customFormat="1" r="62" s="1" spans="1:11" x14ac:dyDescent="0.25">
      <c r="A62" s="2" t="s">
        <v>26</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27</v>
      </c>
      <c r="B74" s="1" t="s">
        <v>28</v>
      </c>
      <c r="C74" s="1" t="s">
        <v>28</v>
      </c>
      <c r="D74" s="1" t="s">
        <v>28</v>
      </c>
      <c r="E74" s="1" t="s">
        <v>28</v>
      </c>
      <c r="F74" s="1" t="s">
        <v>28</v>
      </c>
    </row>
    <row customFormat="1" r="75" s="56" spans="1:11" x14ac:dyDescent="0.25">
      <c r="A75" s="57" t="s">
        <v>3563</v>
      </c>
      <c r="B75" s="58"/>
      <c r="C75" s="58"/>
      <c r="D75" s="58"/>
      <c r="E75" s="58"/>
      <c r="F75" s="58"/>
      <c r="G75" s="58"/>
      <c r="H75" s="58"/>
      <c r="I75" s="58"/>
      <c r="J75" s="58"/>
      <c r="K75" s="59"/>
    </row>
    <row customFormat="1" r="76" s="1" spans="1:11" x14ac:dyDescent="0.25">
      <c r="A76" s="2" t="s">
        <v>244</v>
      </c>
    </row>
    <row customFormat="1" r="77" s="1" spans="1:11" x14ac:dyDescent="0.25">
      <c r="A77" s="2" t="s">
        <v>245</v>
      </c>
      <c r="B77" s="42"/>
      <c r="C77" s="42"/>
      <c r="D77" s="42"/>
      <c r="E77" s="42"/>
      <c r="F77" s="42"/>
    </row>
    <row customFormat="1" r="78" s="56" spans="1:11" x14ac:dyDescent="0.25">
      <c r="A78" s="57" t="s">
        <v>3564</v>
      </c>
      <c r="B78" s="58"/>
      <c r="C78" s="58"/>
      <c r="D78" s="58"/>
      <c r="E78" s="58"/>
      <c r="F78" s="58"/>
      <c r="G78" s="58"/>
      <c r="H78" s="58"/>
      <c r="I78" s="58"/>
      <c r="J78" s="58"/>
      <c r="K78" s="59"/>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6" spans="1:11" x14ac:dyDescent="0.25">
      <c r="A99" s="57" t="s">
        <v>3565</v>
      </c>
      <c r="B99" s="58"/>
      <c r="C99" s="58"/>
      <c r="D99" s="58"/>
      <c r="E99" s="58"/>
      <c r="F99" s="58"/>
      <c r="G99" s="58"/>
      <c r="H99" s="58"/>
      <c r="I99" s="58"/>
      <c r="J99" s="58"/>
      <c r="K99" s="59"/>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c r="F104" s="42"/>
    </row>
    <row customFormat="1" r="105" s="56" spans="1:11" x14ac:dyDescent="0.25">
      <c r="A105" s="57" t="s">
        <v>3566</v>
      </c>
      <c r="B105" s="58"/>
      <c r="C105" s="58"/>
      <c r="D105" s="58"/>
      <c r="E105" s="58"/>
      <c r="F105" s="58"/>
      <c r="G105" s="58"/>
      <c r="H105" s="58"/>
      <c r="I105" s="58"/>
      <c r="J105" s="58"/>
      <c r="K105" s="59"/>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125:F125 B98:F98 B74:F74" type="list">
      <formula1>"Dinas, Family, KPR, Rented, Self - Owned"</formula1>
    </dataValidation>
    <dataValidation allowBlank="1" errorStyle="information" showErrorMessage="1" showInputMessage="1" sqref="B23:F25 B28:F28 B31:F32 B34:F36 B38:F38 B40:F40 B42:F42 B46:F47 B49:F51 B55:F61 B106:F124 B79:F85 B100:F104 B14:F14 B20:F21"/>
    <dataValidation allowBlank="1" errorStyle="information" showErrorMessage="1" showInputMessage="1" sqref="B39:F39 B43:F43 B15:F15 B29:F29" type="list">
      <formula1>ListJobProfession</formula1>
    </dataValidation>
    <dataValidation allowBlank="1" errorStyle="information" showErrorMessage="1" showInputMessage="1" sqref="B16:F16 B44:F44"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45:F45 B18:F19 B30:F30" type="list">
      <formula1>"Yes, No"</formula1>
    </dataValidation>
    <dataValidation allowBlank="1" errorStyle="information" showErrorMessage="1" showInputMessage="1" sqref="B48:F48 B22:F22 B33:F33"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0" sqref="B10"/>
    </sheetView>
  </sheetViews>
  <sheetFormatPr defaultRowHeight="15" x14ac:dyDescent="0.25"/>
  <cols>
    <col min="1" max="1" bestFit="true" customWidth="true" width="32.7109375" collapsed="true"/>
    <col min="2" max="6" bestFit="true" customWidth="true" width="34.140625" collapsed="true"/>
  </cols>
  <sheetData>
    <row customFormat="1" r="1" s="1" spans="1:11" x14ac:dyDescent="0.25">
      <c r="A1" s="1" t="s">
        <v>12</v>
      </c>
      <c r="B1" t="s">
        <v>3285</v>
      </c>
      <c r="C1" t="s">
        <v>3285</v>
      </c>
      <c r="D1" t="s">
        <v>3285</v>
      </c>
      <c r="E1" t="s">
        <v>3285</v>
      </c>
      <c r="F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IF(B12="Input Data",COUNTIFS($A$15:$A$42,"*$*",B15:B42,""),COUNTIFS($A$13:$A$14,"*$*",B13:B14,""))</f>
        <v>0</v>
      </c>
      <c r="C4" s="1">
        <f>IF(C12="Input Data",COUNTIFS($A$15:$A$42,"*$*",C15:C42,""),COUNTIFS($A$13:$A$14,"*$*",C13:C14,""))</f>
        <v>0</v>
      </c>
      <c r="D4" s="1">
        <f>IF(D12="Input Data",COUNTIFS($A$15:$A$42,"*$*",D15:D42,""),COUNTIFS($A$13:$A$14,"*$*",D13:D14,""))</f>
        <v>0</v>
      </c>
      <c r="E4" s="1">
        <f ref="E4:F4" si="0" t="shared">IF(E12="Input Data",COUNTIFS($A$15:$A$42,"*$*",E15:E42,""),COUNTIFS($A$13:$A$14,"*$*",E13:E14,""))</f>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0002APP20221206283</v>
      </c>
      <c r="C10" s="1">
        <f>'1.CustomerDetail'!C$12</f>
        <v>0</v>
      </c>
      <c r="D10" s="1">
        <f>'1.CustomerDetail'!D$12</f>
        <v>0</v>
      </c>
      <c r="E10" s="1">
        <f>'1.CustomerDetail'!E$12</f>
        <v>0</v>
      </c>
      <c r="F10" s="1">
        <f>'1.CustomerDetail'!F$12</f>
        <v>0</v>
      </c>
    </row>
    <row customFormat="1" r="11" s="53" spans="1:11" x14ac:dyDescent="0.25">
      <c r="B11" s="54"/>
      <c r="C11" s="54"/>
      <c r="D11" s="54"/>
      <c r="E11" s="54"/>
      <c r="F11" s="54"/>
    </row>
    <row customFormat="1" r="12" s="1" spans="1:11" x14ac:dyDescent="0.25">
      <c r="A12" s="1" t="s">
        <v>4108</v>
      </c>
      <c r="B12" s="50" t="s">
        <v>4109</v>
      </c>
      <c r="C12" s="50" t="s">
        <v>4109</v>
      </c>
      <c r="D12" s="50" t="s">
        <v>4109</v>
      </c>
      <c r="E12" s="50" t="s">
        <v>4109</v>
      </c>
      <c r="F12" s="50" t="s">
        <v>4109</v>
      </c>
    </row>
    <row customFormat="1" r="13" s="1" spans="1:11" x14ac:dyDescent="0.25">
      <c r="A13" s="37" t="s">
        <v>4176</v>
      </c>
      <c r="B13" s="4"/>
      <c r="C13" s="4"/>
      <c r="D13" s="4"/>
      <c r="E13" s="4"/>
      <c r="F13" s="4"/>
    </row>
    <row customFormat="1" r="14" s="1" spans="1:11" x14ac:dyDescent="0.25">
      <c r="A14" s="37" t="s">
        <v>4177</v>
      </c>
      <c r="G14" s="2"/>
      <c r="H14" s="2"/>
      <c r="I14" s="2"/>
      <c r="J14" s="2"/>
      <c r="K14" s="2"/>
    </row>
    <row customFormat="1" r="15" s="1" spans="1:11" x14ac:dyDescent="0.25">
      <c r="A15" s="37" t="s">
        <v>4178</v>
      </c>
      <c r="B15" s="1" t="s">
        <v>4137</v>
      </c>
      <c r="C15" s="1" t="s">
        <v>4137</v>
      </c>
      <c r="D15" s="1" t="s">
        <v>4137</v>
      </c>
      <c r="E15" s="1" t="s">
        <v>4137</v>
      </c>
      <c r="F15" s="1" t="s">
        <v>4137</v>
      </c>
      <c r="G15" s="8"/>
      <c r="H15" s="8"/>
      <c r="I15" s="8"/>
      <c r="J15" s="8"/>
      <c r="K15" s="8"/>
    </row>
    <row customFormat="1" r="16" s="1" spans="1:11" x14ac:dyDescent="0.25">
      <c r="A16" s="2" t="s">
        <v>4110</v>
      </c>
      <c r="B16" s="1" t="s">
        <v>4124</v>
      </c>
      <c r="C16" s="1" t="s">
        <v>4124</v>
      </c>
      <c r="D16" s="1" t="s">
        <v>4124</v>
      </c>
      <c r="E16" s="1" t="s">
        <v>4124</v>
      </c>
      <c r="F16" s="1" t="s">
        <v>4124</v>
      </c>
      <c r="G16" s="8"/>
      <c r="H16" s="8"/>
      <c r="I16" s="8"/>
      <c r="J16" s="8"/>
      <c r="K16" s="8"/>
    </row>
    <row customFormat="1" r="17" s="1" spans="1:11" x14ac:dyDescent="0.25">
      <c r="A17" s="37" t="s">
        <v>4111</v>
      </c>
      <c r="B17" s="3" t="s">
        <v>4138</v>
      </c>
      <c r="C17" s="3" t="s">
        <v>4138</v>
      </c>
      <c r="D17" s="3" t="s">
        <v>4138</v>
      </c>
      <c r="E17" s="3" t="s">
        <v>4138</v>
      </c>
      <c r="F17" s="3" t="s">
        <v>4138</v>
      </c>
      <c r="G17" s="8"/>
      <c r="H17" s="8"/>
      <c r="I17" s="8"/>
      <c r="J17" s="8"/>
      <c r="K17" s="8"/>
    </row>
    <row customFormat="1" r="18" s="1" spans="1:11" x14ac:dyDescent="0.25">
      <c r="A18" s="2" t="s">
        <v>4112</v>
      </c>
      <c r="G18" s="8"/>
      <c r="H18" s="8"/>
      <c r="I18" s="8"/>
      <c r="J18" s="8"/>
      <c r="K18" s="8"/>
    </row>
    <row customFormat="1" r="19" s="1" spans="1:11" x14ac:dyDescent="0.25">
      <c r="A19" s="51" t="s">
        <v>43</v>
      </c>
      <c r="B19" s="8" t="s">
        <v>335</v>
      </c>
      <c r="C19" s="8" t="s">
        <v>335</v>
      </c>
      <c r="D19" s="8" t="s">
        <v>335</v>
      </c>
      <c r="E19" s="8" t="s">
        <v>335</v>
      </c>
      <c r="F19" s="8" t="s">
        <v>335</v>
      </c>
      <c r="G19" s="8"/>
      <c r="H19" s="8"/>
      <c r="I19" s="8"/>
      <c r="J19" s="8"/>
      <c r="K19" s="8"/>
    </row>
    <row customFormat="1" r="20" s="1" spans="1:11" x14ac:dyDescent="0.25">
      <c r="A20" s="2" t="s">
        <v>4114</v>
      </c>
      <c r="B20" s="52" t="s">
        <v>4139</v>
      </c>
      <c r="C20" s="52" t="s">
        <v>4139</v>
      </c>
      <c r="D20" s="52" t="s">
        <v>4139</v>
      </c>
      <c r="E20" s="52" t="s">
        <v>4139</v>
      </c>
      <c r="F20" s="52" t="s">
        <v>4139</v>
      </c>
      <c r="G20" s="8"/>
      <c r="H20" s="8"/>
      <c r="I20" s="8"/>
      <c r="J20" s="8"/>
      <c r="K20" s="8"/>
    </row>
    <row customFormat="1" r="21" s="1" spans="1:11" x14ac:dyDescent="0.25">
      <c r="A21" s="37" t="s">
        <v>4115</v>
      </c>
      <c r="B21" s="1" t="s">
        <v>4135</v>
      </c>
      <c r="C21" s="1" t="s">
        <v>4135</v>
      </c>
      <c r="D21" s="1" t="s">
        <v>4135</v>
      </c>
      <c r="E21" s="1" t="s">
        <v>4135</v>
      </c>
      <c r="F21" s="1" t="s">
        <v>4135</v>
      </c>
      <c r="G21" s="8"/>
      <c r="H21" s="8"/>
      <c r="I21" s="8"/>
      <c r="J21" s="8"/>
      <c r="K21" s="8"/>
    </row>
    <row customFormat="1" r="22" s="1" spans="1:11" x14ac:dyDescent="0.25">
      <c r="A22" s="2" t="s">
        <v>4116</v>
      </c>
      <c r="B22" s="1" t="s">
        <v>4140</v>
      </c>
      <c r="C22" s="1" t="s">
        <v>4140</v>
      </c>
      <c r="D22" s="1" t="s">
        <v>4140</v>
      </c>
      <c r="E22" s="1" t="s">
        <v>4140</v>
      </c>
      <c r="F22" s="1" t="s">
        <v>4140</v>
      </c>
      <c r="G22" s="8"/>
      <c r="H22" s="8"/>
      <c r="I22" s="8"/>
      <c r="J22" s="8"/>
      <c r="K22" s="8"/>
    </row>
    <row customFormat="1" r="23" s="1" spans="1:11" x14ac:dyDescent="0.25">
      <c r="A23" s="2" t="s">
        <v>4117</v>
      </c>
      <c r="B23" s="3" t="s">
        <v>4142</v>
      </c>
      <c r="C23" s="3" t="s">
        <v>4142</v>
      </c>
      <c r="D23" s="3" t="s">
        <v>4142</v>
      </c>
      <c r="E23" s="3" t="s">
        <v>4142</v>
      </c>
      <c r="F23" s="3" t="s">
        <v>4142</v>
      </c>
      <c r="G23" s="8"/>
      <c r="H23" s="8"/>
      <c r="I23" s="8"/>
      <c r="J23" s="8"/>
      <c r="K23" s="8"/>
    </row>
    <row customFormat="1" r="24" s="1" spans="1:11" x14ac:dyDescent="0.25">
      <c r="A24" s="37" t="s">
        <v>4113</v>
      </c>
      <c r="B24" s="3" t="s">
        <v>4141</v>
      </c>
      <c r="C24" s="3" t="s">
        <v>4141</v>
      </c>
      <c r="D24" s="3" t="s">
        <v>4141</v>
      </c>
      <c r="E24" s="3" t="s">
        <v>4141</v>
      </c>
      <c r="F24" s="3" t="s">
        <v>4141</v>
      </c>
      <c r="G24" s="8"/>
      <c r="H24" s="8"/>
      <c r="I24" s="8"/>
      <c r="J24" s="8"/>
      <c r="K24" s="8"/>
    </row>
    <row customFormat="1" r="25" s="1" spans="1:11" x14ac:dyDescent="0.25">
      <c r="A25" s="2" t="s">
        <v>4118</v>
      </c>
      <c r="G25" s="8"/>
      <c r="H25" s="8"/>
      <c r="I25" s="8"/>
      <c r="J25" s="8"/>
      <c r="K25" s="8"/>
    </row>
    <row customFormat="1" r="26" s="1" spans="1:11" x14ac:dyDescent="0.25">
      <c r="A26" s="2" t="s">
        <v>14</v>
      </c>
      <c r="G26" s="2"/>
      <c r="H26" s="2"/>
      <c r="I26" s="2"/>
      <c r="J26" s="2"/>
      <c r="K26" s="2"/>
    </row>
    <row customFormat="1" r="27" s="1" spans="1:11" x14ac:dyDescent="0.25">
      <c r="A27" s="2" t="s">
        <v>15</v>
      </c>
      <c r="B27" s="1" t="s">
        <v>4143</v>
      </c>
      <c r="C27" s="1" t="s">
        <v>4143</v>
      </c>
      <c r="D27" s="1" t="s">
        <v>4143</v>
      </c>
      <c r="E27" s="1" t="s">
        <v>4143</v>
      </c>
      <c r="F27" s="1" t="s">
        <v>4143</v>
      </c>
    </row>
    <row customFormat="1" r="28" s="1" spans="1:11" x14ac:dyDescent="0.25">
      <c r="A28" s="2" t="s">
        <v>19</v>
      </c>
      <c r="B28" s="2">
        <v>23</v>
      </c>
      <c r="C28" s="2">
        <v>23</v>
      </c>
      <c r="D28" s="2">
        <v>23</v>
      </c>
      <c r="E28" s="2">
        <v>23</v>
      </c>
      <c r="F28" s="2">
        <v>23</v>
      </c>
    </row>
    <row customFormat="1" r="29" s="1" spans="1:11" x14ac:dyDescent="0.25">
      <c r="A29" s="2" t="s">
        <v>20</v>
      </c>
      <c r="B29" s="2">
        <v>22</v>
      </c>
      <c r="C29" s="2">
        <v>22</v>
      </c>
      <c r="D29" s="2">
        <v>22</v>
      </c>
      <c r="E29" s="2">
        <v>22</v>
      </c>
      <c r="F29" s="2">
        <v>22</v>
      </c>
    </row>
    <row customFormat="1" r="30" s="1" spans="1:11" x14ac:dyDescent="0.25">
      <c r="A30" s="2" t="s">
        <v>21</v>
      </c>
      <c r="B30" s="2">
        <v>11530</v>
      </c>
      <c r="C30" s="2">
        <v>11530</v>
      </c>
      <c r="D30" s="2">
        <v>11530</v>
      </c>
      <c r="E30" s="2">
        <v>11530</v>
      </c>
      <c r="F30" s="2">
        <v>11530</v>
      </c>
    </row>
    <row customFormat="1" r="31" s="1" spans="1:11" x14ac:dyDescent="0.25">
      <c r="A31" s="2" t="s">
        <v>24</v>
      </c>
      <c r="B31" s="2" t="s">
        <v>4144</v>
      </c>
      <c r="C31" s="2" t="s">
        <v>4144</v>
      </c>
      <c r="D31" s="2" t="s">
        <v>4144</v>
      </c>
      <c r="E31" s="2" t="s">
        <v>4144</v>
      </c>
      <c r="F31" s="2" t="s">
        <v>4144</v>
      </c>
    </row>
    <row customFormat="1" r="32" s="1" spans="1:11" x14ac:dyDescent="0.25">
      <c r="A32" s="2" t="s">
        <v>22</v>
      </c>
      <c r="B32" s="2" t="s">
        <v>4144</v>
      </c>
      <c r="C32" s="2" t="s">
        <v>4144</v>
      </c>
      <c r="D32" s="2" t="s">
        <v>4144</v>
      </c>
      <c r="E32" s="2" t="s">
        <v>4144</v>
      </c>
      <c r="F32" s="2" t="s">
        <v>4144</v>
      </c>
    </row>
    <row customFormat="1" r="33" s="1" spans="1:6" x14ac:dyDescent="0.25">
      <c r="A33" s="2" t="s">
        <v>25</v>
      </c>
      <c r="B33" s="2" t="s">
        <v>4145</v>
      </c>
      <c r="C33" s="2" t="s">
        <v>4145</v>
      </c>
      <c r="D33" s="2" t="s">
        <v>4145</v>
      </c>
      <c r="E33" s="2" t="s">
        <v>4145</v>
      </c>
      <c r="F33" s="2" t="s">
        <v>4145</v>
      </c>
    </row>
    <row customFormat="1" r="34" s="1" spans="1:6" x14ac:dyDescent="0.25">
      <c r="A34" s="2" t="s">
        <v>251</v>
      </c>
      <c r="B34" s="2"/>
      <c r="C34" s="2"/>
      <c r="D34" s="2"/>
      <c r="E34" s="2"/>
      <c r="F34" s="2"/>
    </row>
    <row customFormat="1" r="35" s="1" spans="1:6" x14ac:dyDescent="0.25">
      <c r="A35" s="2" t="s">
        <v>252</v>
      </c>
      <c r="B35" s="2"/>
      <c r="C35" s="2"/>
      <c r="D35" s="2"/>
      <c r="E35" s="2"/>
      <c r="F35" s="2"/>
    </row>
    <row customFormat="1" r="36" s="1" spans="1:6" x14ac:dyDescent="0.25">
      <c r="A36" s="2" t="s">
        <v>253</v>
      </c>
      <c r="B36" s="2"/>
      <c r="C36" s="2"/>
      <c r="D36" s="2"/>
      <c r="E36" s="2"/>
      <c r="F36" s="2"/>
    </row>
    <row customFormat="1" r="37" s="1" spans="1:6" x14ac:dyDescent="0.25">
      <c r="A37" s="2" t="s">
        <v>254</v>
      </c>
    </row>
    <row customFormat="1" r="38" s="1" spans="1:6" x14ac:dyDescent="0.25">
      <c r="A38" s="2" t="s">
        <v>255</v>
      </c>
    </row>
    <row customFormat="1" r="39" s="1" spans="1:6" x14ac:dyDescent="0.25">
      <c r="A39" s="2" t="s">
        <v>256</v>
      </c>
    </row>
    <row customFormat="1" r="40" s="1" spans="1:6" x14ac:dyDescent="0.25">
      <c r="A40" s="1" t="s">
        <v>257</v>
      </c>
      <c r="B40" s="2"/>
      <c r="C40" s="2"/>
      <c r="D40" s="2"/>
      <c r="E40" s="2"/>
      <c r="F40" s="2"/>
    </row>
    <row customFormat="1" r="41" s="1" spans="1:6" x14ac:dyDescent="0.25">
      <c r="A41" s="1" t="s">
        <v>258</v>
      </c>
      <c r="B41" s="2"/>
      <c r="C41" s="2"/>
      <c r="D41" s="2"/>
      <c r="E41" s="2"/>
      <c r="F41" s="2"/>
    </row>
    <row customFormat="1" r="42" s="1" spans="1:6" x14ac:dyDescent="0.25">
      <c r="A42" s="1" t="s">
        <v>259</v>
      </c>
      <c r="B42" s="2"/>
      <c r="C42" s="2"/>
      <c r="D42" s="2"/>
      <c r="E42" s="2"/>
      <c r="F42" s="2"/>
    </row>
  </sheetData>
  <conditionalFormatting sqref="B27:B39">
    <cfRule dxfId="83" priority="8" type="expression">
      <formula>AND(B$13&lt;&gt;"",B$13&lt;&gt;"Copy Address From")</formula>
    </cfRule>
  </conditionalFormatting>
  <conditionalFormatting sqref="B16">
    <cfRule dxfId="82" priority="7" type="expression">
      <formula>B$13="LookUp"</formula>
    </cfRule>
  </conditionalFormatting>
  <conditionalFormatting sqref="C27:C39">
    <cfRule dxfId="81" priority="6" type="expression">
      <formula>AND(C$13&lt;&gt;"",C$13&lt;&gt;"Copy Address From")</formula>
    </cfRule>
  </conditionalFormatting>
  <conditionalFormatting sqref="C16">
    <cfRule dxfId="80" priority="5" type="expression">
      <formula>C$13="LookUp"</formula>
    </cfRule>
  </conditionalFormatting>
  <conditionalFormatting sqref="D27:D39">
    <cfRule dxfId="79" priority="4" type="expression">
      <formula>AND(D$13&lt;&gt;"",D$13&lt;&gt;"Copy Address From")</formula>
    </cfRule>
  </conditionalFormatting>
  <conditionalFormatting sqref="D16">
    <cfRule dxfId="78" priority="3" type="expression">
      <formula>D$13="LookUp"</formula>
    </cfRule>
  </conditionalFormatting>
  <conditionalFormatting sqref="E27:F39">
    <cfRule dxfId="77" priority="2" type="expression">
      <formula>AND(E$13&lt;&gt;"",E$13&lt;&gt;"Copy Address From")</formula>
    </cfRule>
  </conditionalFormatting>
  <conditionalFormatting sqref="E16:F16">
    <cfRule dxfId="76" priority="1" type="expression">
      <formula>E$13="LookUp"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17:F18 B20:F24"/>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28" sqref="B28"/>
    </sheetView>
  </sheetViews>
  <sheetFormatPr defaultRowHeight="15" x14ac:dyDescent="0.25"/>
  <cols>
    <col min="1" max="1" bestFit="true" customWidth="true" width="22.0" collapsed="true"/>
    <col min="2" max="4" bestFit="true" customWidth="true" width="19.85546875" collapsed="true"/>
    <col min="5" max="5" customWidth="true" width="20.0" collapsed="true"/>
    <col min="6" max="6" bestFit="true" customWidth="true" width="19.85546875"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4223</v>
      </c>
      <c r="B9" s="1" t="str">
        <f>'1.CustomerDetail'!B12</f>
        <v>0002APP20221206283</v>
      </c>
      <c r="C9" s="1" t="str">
        <f>'1.CustomerDetail'!B12</f>
        <v>0002APP20221206283</v>
      </c>
      <c r="D9" s="1">
        <f>'1.CustomerDetail'!D12</f>
        <v>0</v>
      </c>
      <c r="E9" s="1">
        <f>'1.CustomerDetail'!E12</f>
        <v>0</v>
      </c>
      <c r="F9" s="1">
        <f>'1.CustomerDetail'!F12</f>
        <v>0</v>
      </c>
    </row>
    <row customFormat="1" r="10" s="1" spans="1:11" x14ac:dyDescent="0.25">
      <c r="A10" s="1" t="s">
        <v>4220</v>
      </c>
      <c r="B10" s="1" t="str">
        <f>'1.CustomerDetail'!B13</f>
        <v>FT ANDI</v>
      </c>
      <c r="C10" s="1" t="str">
        <f>'1.CustomerDetail'!B13</f>
        <v>FT ANDI</v>
      </c>
      <c r="D10" s="1" t="str">
        <f>'1.CustomerDetail'!D13</f>
        <v>JOKO</v>
      </c>
      <c r="E10" s="1" t="str">
        <f>'1.CustomerDetail'!E13</f>
        <v>hendry</v>
      </c>
      <c r="F10" s="1" t="str">
        <f>'1.CustomerDetail'!F13</f>
        <v>FT ANDI</v>
      </c>
    </row>
    <row customFormat="1" r="11" s="56" spans="1:11" x14ac:dyDescent="0.25">
      <c r="A11" s="57" t="s">
        <v>3567</v>
      </c>
      <c r="B11" s="58"/>
      <c r="C11" s="58"/>
      <c r="D11" s="58"/>
      <c r="E11" s="58"/>
      <c r="F11" s="58"/>
      <c r="G11" s="58"/>
      <c r="H11" s="58"/>
      <c r="I11" s="58"/>
      <c r="J11" s="58"/>
      <c r="K11" s="59"/>
    </row>
    <row customFormat="1" r="12" s="1" spans="1:11" x14ac:dyDescent="0.25">
      <c r="A12" s="37" t="s">
        <v>4179</v>
      </c>
      <c r="B12" s="44">
        <v>5000000000</v>
      </c>
      <c r="C12" s="44">
        <v>5000000000</v>
      </c>
      <c r="D12" s="44">
        <v>5000000000</v>
      </c>
      <c r="E12" s="44">
        <v>5000000000</v>
      </c>
      <c r="F12" s="44">
        <v>5000000000</v>
      </c>
      <c r="G12" s="8"/>
      <c r="H12" s="8"/>
      <c r="I12" s="8"/>
      <c r="J12" s="8"/>
      <c r="K12" s="8"/>
    </row>
    <row customFormat="1" r="13" s="1" spans="1:11" x14ac:dyDescent="0.25">
      <c r="A13" s="1" t="s">
        <v>46</v>
      </c>
      <c r="B13" s="44">
        <v>5000000000</v>
      </c>
      <c r="C13" s="44">
        <v>5000000000</v>
      </c>
      <c r="D13" s="44">
        <v>5000000000</v>
      </c>
      <c r="E13" s="44">
        <v>5000000000</v>
      </c>
      <c r="F13" s="44">
        <v>5000000000</v>
      </c>
      <c r="G13" s="8"/>
      <c r="H13" s="8"/>
      <c r="I13" s="8"/>
      <c r="J13" s="8"/>
      <c r="K13" s="8"/>
    </row>
    <row customFormat="1" r="14" s="1" spans="1:11" x14ac:dyDescent="0.25">
      <c r="A14" s="1" t="s">
        <v>47</v>
      </c>
      <c r="B14" s="2" t="s">
        <v>48</v>
      </c>
      <c r="C14" s="2" t="s">
        <v>48</v>
      </c>
      <c r="D14" s="2" t="s">
        <v>48</v>
      </c>
      <c r="E14" s="2" t="s">
        <v>48</v>
      </c>
      <c r="F14" s="2" t="s">
        <v>48</v>
      </c>
      <c r="G14" s="2"/>
      <c r="H14" s="2"/>
      <c r="I14" s="2"/>
      <c r="J14" s="2"/>
      <c r="K14" s="2"/>
    </row>
    <row customFormat="1" r="15" s="1" spans="1:11" x14ac:dyDescent="0.25">
      <c r="A15" s="1" t="s">
        <v>49</v>
      </c>
      <c r="B15" s="43">
        <v>15000000</v>
      </c>
      <c r="C15" s="43">
        <v>15000000</v>
      </c>
      <c r="D15" s="43">
        <v>15000000</v>
      </c>
      <c r="E15" s="43">
        <v>15000000</v>
      </c>
      <c r="F15" s="43">
        <v>15000000</v>
      </c>
      <c r="G15" s="2"/>
      <c r="H15" s="2"/>
      <c r="I15" s="2"/>
      <c r="J15" s="2"/>
      <c r="K15" s="2"/>
    </row>
    <row customFormat="1" r="16" s="1" spans="1:11" x14ac:dyDescent="0.25">
      <c r="A16" s="1" t="s">
        <v>50</v>
      </c>
      <c r="B16" s="43">
        <v>15000000</v>
      </c>
      <c r="C16" s="43">
        <v>15000000</v>
      </c>
      <c r="D16" s="43">
        <v>15000000</v>
      </c>
      <c r="E16" s="43">
        <v>15000000</v>
      </c>
      <c r="F16" s="43">
        <v>15000000</v>
      </c>
      <c r="G16" s="2"/>
      <c r="H16" s="2"/>
      <c r="I16" s="2"/>
      <c r="J16" s="2"/>
      <c r="K16" s="2"/>
    </row>
    <row customFormat="1" r="17" s="1" spans="1:11" x14ac:dyDescent="0.25">
      <c r="A17" s="37" t="s">
        <v>4180</v>
      </c>
      <c r="B17" s="41" t="s">
        <v>4105</v>
      </c>
      <c r="C17" s="41" t="s">
        <v>4105</v>
      </c>
      <c r="D17" s="41" t="s">
        <v>4105</v>
      </c>
      <c r="E17" s="41" t="s">
        <v>4105</v>
      </c>
      <c r="F17" s="41" t="s">
        <v>4105</v>
      </c>
      <c r="G17" s="8"/>
      <c r="H17" s="8"/>
      <c r="I17" s="8"/>
      <c r="J17" s="8"/>
      <c r="K17" s="8"/>
    </row>
    <row customFormat="1" r="18" s="1" spans="1:11" x14ac:dyDescent="0.25">
      <c r="A18" s="2" t="s">
        <v>4079</v>
      </c>
      <c r="B18" s="44"/>
      <c r="C18" s="44"/>
      <c r="D18" s="44"/>
      <c r="E18" s="44"/>
      <c r="F18" s="44"/>
      <c r="G18" s="8"/>
      <c r="H18" s="8"/>
      <c r="I18" s="8"/>
      <c r="J18" s="8"/>
      <c r="K18" s="8"/>
    </row>
    <row customFormat="1" r="19" s="49" spans="1:11" x14ac:dyDescent="0.25">
      <c r="A19" s="20" t="s">
        <v>4080</v>
      </c>
      <c r="B19" s="48"/>
      <c r="C19" s="48"/>
      <c r="D19" s="48"/>
      <c r="E19" s="48"/>
      <c r="F19" s="48"/>
      <c r="G19" s="48"/>
      <c r="H19" s="48"/>
      <c r="I19" s="48"/>
      <c r="J19" s="48"/>
      <c r="K19" s="48"/>
    </row>
    <row customFormat="1" r="20" s="57" spans="1:11" x14ac:dyDescent="0.25">
      <c r="A20" s="57" t="s">
        <v>3568</v>
      </c>
      <c r="B20" s="58"/>
      <c r="C20" s="58"/>
      <c r="D20" s="58"/>
      <c r="E20" s="58"/>
      <c r="F20" s="58"/>
      <c r="G20" s="58"/>
      <c r="H20" s="58"/>
      <c r="I20" s="58"/>
      <c r="J20" s="58"/>
      <c r="K20" s="58"/>
    </row>
    <row customFormat="1" r="21" s="1" spans="1:11" x14ac:dyDescent="0.25">
      <c r="A21" s="1" t="s">
        <v>51</v>
      </c>
      <c r="B21" s="43">
        <v>100000000000</v>
      </c>
      <c r="C21" s="43">
        <v>100000000000</v>
      </c>
      <c r="D21" s="43">
        <v>100000000000</v>
      </c>
      <c r="E21" s="43">
        <v>100000000000</v>
      </c>
      <c r="F21" s="43">
        <v>100000000000</v>
      </c>
      <c r="G21" s="2"/>
      <c r="H21" s="2"/>
      <c r="I21" s="2"/>
      <c r="J21" s="2"/>
      <c r="K21" s="2"/>
    </row>
    <row customFormat="1" r="22" s="56" spans="1:11" x14ac:dyDescent="0.25">
      <c r="A22" s="57" t="s">
        <v>3569</v>
      </c>
      <c r="B22" s="58"/>
      <c r="C22" s="58"/>
      <c r="D22" s="58"/>
      <c r="E22" s="58"/>
      <c r="F22" s="58"/>
      <c r="G22" s="58"/>
      <c r="H22" s="58"/>
      <c r="I22" s="58"/>
      <c r="J22" s="58"/>
      <c r="K22" s="59"/>
    </row>
    <row customFormat="1" r="23" s="1" spans="1:1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customFormat="1" r="24" s="1" spans="1:11" x14ac:dyDescent="0.25">
      <c r="A24" s="36" t="s">
        <v>4227</v>
      </c>
      <c r="B24" s="3" t="s">
        <v>342</v>
      </c>
      <c r="C24" s="3" t="s">
        <v>342</v>
      </c>
      <c r="D24" s="3" t="s">
        <v>342</v>
      </c>
      <c r="E24" s="3" t="s">
        <v>342</v>
      </c>
      <c r="F24" s="3" t="s">
        <v>342</v>
      </c>
      <c r="G24" s="3"/>
      <c r="H24" s="3"/>
      <c r="I24" s="3"/>
      <c r="J24" s="3"/>
      <c r="K24" s="3"/>
    </row>
    <row customFormat="1" r="25" s="1" spans="1:11" x14ac:dyDescent="0.25">
      <c r="A25" s="36" t="s">
        <v>4228</v>
      </c>
      <c r="B25" s="1" t="s">
        <v>4224</v>
      </c>
      <c r="C25" s="1" t="s">
        <v>4224</v>
      </c>
      <c r="D25" s="1" t="s">
        <v>4224</v>
      </c>
      <c r="E25" s="1" t="s">
        <v>4224</v>
      </c>
      <c r="F25" s="1" t="s">
        <v>4224</v>
      </c>
    </row>
    <row customFormat="1" r="26" s="1" spans="1:11" x14ac:dyDescent="0.25">
      <c r="A26" s="36" t="s">
        <v>4229</v>
      </c>
      <c r="B26" s="1" t="s">
        <v>4253</v>
      </c>
      <c r="C26" s="1" t="s">
        <v>4252</v>
      </c>
      <c r="D26" s="1" t="s">
        <v>4225</v>
      </c>
      <c r="E26" s="1" t="s">
        <v>4225</v>
      </c>
      <c r="F26" s="1" t="s">
        <v>4225</v>
      </c>
    </row>
    <row customFormat="1" r="27" s="1" spans="1:11" x14ac:dyDescent="0.25">
      <c r="A27" s="36" t="s">
        <v>4230</v>
      </c>
      <c r="B27" s="8" t="s">
        <v>4254</v>
      </c>
      <c r="C27" s="8" t="s">
        <v>4226</v>
      </c>
      <c r="D27" s="8" t="s">
        <v>4226</v>
      </c>
      <c r="E27" s="8" t="s">
        <v>4226</v>
      </c>
      <c r="F27" s="8" t="s">
        <v>4226</v>
      </c>
      <c r="G27" s="8"/>
      <c r="H27" s="8"/>
      <c r="I27" s="8"/>
      <c r="J27" s="8"/>
      <c r="K27" s="8"/>
    </row>
    <row customFormat="1" r="28" s="1" spans="1:11" x14ac:dyDescent="0.25">
      <c r="A28" s="1" t="s">
        <v>54</v>
      </c>
      <c r="B28" s="1" t="s">
        <v>6</v>
      </c>
      <c r="C28" s="1" t="s">
        <v>6</v>
      </c>
      <c r="D28" s="1" t="s">
        <v>6</v>
      </c>
      <c r="E28" s="1" t="s">
        <v>6</v>
      </c>
      <c r="F28" s="1" t="s">
        <v>6</v>
      </c>
    </row>
    <row customFormat="1" r="29" s="1" spans="1:11" x14ac:dyDescent="0.25">
      <c r="A29" s="1" t="s">
        <v>55</v>
      </c>
      <c r="B29" s="1" t="s">
        <v>6</v>
      </c>
      <c r="C29" s="1" t="s">
        <v>6</v>
      </c>
      <c r="D29" s="1" t="s">
        <v>6</v>
      </c>
      <c r="E29" s="1" t="s">
        <v>6</v>
      </c>
      <c r="F29" s="1" t="s">
        <v>6</v>
      </c>
    </row>
    <row customFormat="1" r="30" s="1" spans="1:11" x14ac:dyDescent="0.25">
      <c r="A30" s="36" t="s">
        <v>4231</v>
      </c>
      <c r="B30" s="16">
        <v>2500000</v>
      </c>
      <c r="C30" s="16">
        <v>2500000</v>
      </c>
      <c r="D30" s="16">
        <v>2500000</v>
      </c>
      <c r="E30" s="16">
        <v>2500000</v>
      </c>
      <c r="F30" s="16">
        <v>2500000</v>
      </c>
    </row>
    <row customFormat="1" r="31" s="1" spans="1:11" x14ac:dyDescent="0.25">
      <c r="A31" s="36" t="s">
        <v>4232</v>
      </c>
      <c r="B31" s="1" t="s">
        <v>4233</v>
      </c>
      <c r="C31" s="1" t="s">
        <v>4233</v>
      </c>
      <c r="D31" s="1" t="s">
        <v>4233</v>
      </c>
      <c r="E31" s="1" t="s">
        <v>4233</v>
      </c>
      <c r="F31" s="1" t="s">
        <v>4233</v>
      </c>
    </row>
    <row customFormat="1" r="32" s="1" spans="1:11" x14ac:dyDescent="0.25">
      <c r="A32" s="36" t="s">
        <v>4234</v>
      </c>
      <c r="B32" s="1" t="s">
        <v>4235</v>
      </c>
      <c r="C32" s="1" t="s">
        <v>4235</v>
      </c>
      <c r="D32" s="1" t="s">
        <v>4235</v>
      </c>
      <c r="E32" s="1" t="s">
        <v>4235</v>
      </c>
      <c r="F32" s="1" t="s">
        <v>4235</v>
      </c>
    </row>
    <row customFormat="1" r="33" s="1" spans="1:6" x14ac:dyDescent="0.25">
      <c r="A33" s="36" t="s">
        <v>4236</v>
      </c>
      <c r="B33" s="1" t="s">
        <v>4246</v>
      </c>
      <c r="C33" s="1" t="s">
        <v>4246</v>
      </c>
      <c r="D33" s="1" t="s">
        <v>4246</v>
      </c>
      <c r="E33" s="1" t="s">
        <v>4246</v>
      </c>
      <c r="F33" s="1" t="s">
        <v>4246</v>
      </c>
    </row>
    <row customFormat="1" r="34" s="1" spans="1:6" x14ac:dyDescent="0.25">
      <c r="A34" s="36" t="s">
        <v>4237</v>
      </c>
      <c r="B34" s="1" t="s">
        <v>4222</v>
      </c>
      <c r="C34" s="1" t="s">
        <v>4222</v>
      </c>
      <c r="D34" s="1" t="s">
        <v>4222</v>
      </c>
      <c r="E34" s="1" t="s">
        <v>4222</v>
      </c>
      <c r="F34" s="1" t="s">
        <v>4222</v>
      </c>
    </row>
    <row customFormat="1" r="35" s="1" spans="1:6" x14ac:dyDescent="0.25">
      <c r="A35" s="36" t="s">
        <v>4238</v>
      </c>
      <c r="B35" s="1" t="s">
        <v>4246</v>
      </c>
      <c r="C35" s="1" t="s">
        <v>4246</v>
      </c>
      <c r="D35" s="1" t="s">
        <v>4246</v>
      </c>
      <c r="E35" s="1" t="s">
        <v>4246</v>
      </c>
      <c r="F35" s="1" t="s">
        <v>4246</v>
      </c>
    </row>
    <row customFormat="1" r="36" s="1" spans="1:6" x14ac:dyDescent="0.25">
      <c r="A36" s="36" t="s">
        <v>4239</v>
      </c>
      <c r="B36" s="1" t="s">
        <v>4240</v>
      </c>
      <c r="C36" s="1" t="s">
        <v>4240</v>
      </c>
      <c r="D36" s="1" t="s">
        <v>4240</v>
      </c>
      <c r="E36" s="1" t="s">
        <v>4240</v>
      </c>
      <c r="F36" s="1" t="s">
        <v>4240</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18:F18 B25:F27"/>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18.140625" collapsed="true"/>
  </cols>
  <sheetData>
    <row customFormat="1" r="1" s="1" spans="1:7" x14ac:dyDescent="0.25">
      <c r="A1" s="1" t="s">
        <v>12</v>
      </c>
      <c r="B1" t="s">
        <v>3285</v>
      </c>
      <c r="C1" t="s">
        <v>3285</v>
      </c>
      <c r="D1" t="s">
        <v>3285</v>
      </c>
      <c r="E1" t="s">
        <v>3285</v>
      </c>
      <c r="F1" t="s">
        <v>3285</v>
      </c>
      <c r="G1"/>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IF(B12="Yes",COUNTIFS($A$13:$A$16,"*$*",B13:B16,""),0)</f>
        <v>0</v>
      </c>
      <c r="C4" s="1">
        <f ref="C4:F4" si="0" t="shared">IF(C12="Yes",COUNTIFS($A$13:$A$16,"*$*",C13:C16,""),0)</f>
        <v>0</v>
      </c>
      <c r="D4" s="1">
        <f si="0" t="shared"/>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0002APP20221206283</v>
      </c>
      <c r="C10" s="1">
        <f>'1.CustomerDetail'!C$12</f>
        <v>0</v>
      </c>
      <c r="D10" s="1">
        <f>'1.CustomerDetail'!D$12</f>
        <v>0</v>
      </c>
      <c r="E10" s="1">
        <f>'1.CustomerDetail'!E$12</f>
        <v>0</v>
      </c>
      <c r="F10" s="1">
        <f>'1.CustomerDetail'!F$12</f>
        <v>0</v>
      </c>
    </row>
    <row customFormat="1" r="11" s="60" spans="1:7" x14ac:dyDescent="0.25">
      <c r="B11" s="54"/>
      <c r="C11" s="54"/>
      <c r="D11" s="54"/>
      <c r="E11" s="54"/>
      <c r="F11" s="54"/>
      <c r="G11" s="54"/>
    </row>
    <row customFormat="1" r="12" s="2" spans="1:7" x14ac:dyDescent="0.25">
      <c r="A12" s="2" t="s">
        <v>4221</v>
      </c>
      <c r="B12" s="2" t="s">
        <v>6</v>
      </c>
      <c r="C12" s="2" t="s">
        <v>6</v>
      </c>
      <c r="D12" s="2" t="s">
        <v>6</v>
      </c>
      <c r="E12" s="2" t="s">
        <v>6</v>
      </c>
      <c r="F12" s="2" t="s">
        <v>6</v>
      </c>
    </row>
    <row customFormat="1" r="13" s="1" spans="1:7" x14ac:dyDescent="0.25">
      <c r="A13" s="36" t="s">
        <v>4181</v>
      </c>
      <c r="B13" s="1" t="s">
        <v>4242</v>
      </c>
      <c r="C13" s="1" t="s">
        <v>4242</v>
      </c>
      <c r="D13" s="1" t="s">
        <v>4242</v>
      </c>
      <c r="E13" s="1" t="s">
        <v>4242</v>
      </c>
      <c r="F13" s="1" t="s">
        <v>4242</v>
      </c>
    </row>
    <row customFormat="1" r="14" s="1" spans="1:7" x14ac:dyDescent="0.25">
      <c r="A14" s="1" t="s">
        <v>56</v>
      </c>
    </row>
    <row customFormat="1" r="15" s="1" spans="1:7" x14ac:dyDescent="0.25">
      <c r="A15" s="36" t="s">
        <v>4182</v>
      </c>
      <c r="B15" s="43">
        <v>500000000</v>
      </c>
      <c r="C15" s="43">
        <v>500000000</v>
      </c>
      <c r="D15" s="43">
        <v>500000000</v>
      </c>
      <c r="E15" s="43">
        <v>500000000</v>
      </c>
      <c r="F15" s="43">
        <v>500000000</v>
      </c>
      <c r="G15" s="43"/>
    </row>
    <row customFormat="1" r="16" s="1" spans="1:7" x14ac:dyDescent="0.25">
      <c r="A16" s="36" t="s">
        <v>4183</v>
      </c>
      <c r="B16" s="2">
        <v>1</v>
      </c>
      <c r="C16" s="2">
        <v>1</v>
      </c>
      <c r="D16" s="2">
        <v>1</v>
      </c>
      <c r="E16" s="2">
        <v>1</v>
      </c>
      <c r="F16" s="2">
        <v>1</v>
      </c>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B10" sqref="B10"/>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3285</v>
      </c>
      <c r="C1" s="1" t="s">
        <v>3285</v>
      </c>
      <c r="D1" s="1" t="s">
        <v>3285</v>
      </c>
      <c r="E1" s="1" t="s">
        <v>3285</v>
      </c>
      <c r="F1" s="1" t="s">
        <v>3285</v>
      </c>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COUNTIFS($A$12:$A$42,"*$*",B12:B42,"")</f>
        <v>0</v>
      </c>
      <c r="C4" s="1">
        <f>COUNTIFS($A$12:$A$42,"*$*",C12:C42,"")</f>
        <v>0</v>
      </c>
      <c r="D4" s="1">
        <f ref="D4:F4" si="0" t="shared">COUNTIFS($A$12:$A$42,"*$*",D12:D42,"")</f>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0002APP20221206283</v>
      </c>
      <c r="C10" s="1">
        <f>'1.CustomerDetail'!C$12</f>
        <v>0</v>
      </c>
      <c r="D10" s="1">
        <f>'1.CustomerDetail'!D$12</f>
        <v>0</v>
      </c>
      <c r="E10" s="1">
        <f>'1.CustomerDetail'!E$12</f>
        <v>0</v>
      </c>
      <c r="F10" s="1">
        <f>'1.CustomerDetail'!F$12</f>
        <v>0</v>
      </c>
    </row>
    <row customFormat="1" r="11" s="56" spans="1:7" x14ac:dyDescent="0.25">
      <c r="A11" s="57" t="s">
        <v>3570</v>
      </c>
      <c r="B11" s="58"/>
      <c r="C11" s="58"/>
      <c r="D11" s="58"/>
      <c r="E11" s="59"/>
    </row>
    <row customFormat="1" r="12" s="1" spans="1:7"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customFormat="1" r="13" s="1" spans="1:7" x14ac:dyDescent="0.25">
      <c r="A13" s="37" t="s">
        <v>4185</v>
      </c>
      <c r="B13" s="13" t="s">
        <v>685</v>
      </c>
      <c r="C13" s="13" t="s">
        <v>685</v>
      </c>
      <c r="D13" s="13" t="s">
        <v>685</v>
      </c>
      <c r="E13" s="13" t="s">
        <v>685</v>
      </c>
      <c r="F13" s="13" t="s">
        <v>685</v>
      </c>
      <c r="G13" s="13"/>
    </row>
    <row customFormat="1" r="14" s="1" spans="1:7"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customFormat="1" r="15" s="1" spans="1:7" x14ac:dyDescent="0.25">
      <c r="A15" s="37" t="s">
        <v>4187</v>
      </c>
      <c r="B15" s="14" t="s">
        <v>1236</v>
      </c>
      <c r="C15" s="14" t="s">
        <v>1236</v>
      </c>
      <c r="D15" s="14" t="s">
        <v>1236</v>
      </c>
      <c r="E15" s="14" t="s">
        <v>1236</v>
      </c>
      <c r="F15" s="14" t="s">
        <v>1236</v>
      </c>
      <c r="G15" s="14"/>
    </row>
    <row customFormat="1" r="16" s="1" spans="1:7"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customFormat="1" ht="90" r="17" s="1" spans="1:7" x14ac:dyDescent="0.25">
      <c r="A17" s="37" t="s">
        <v>4190</v>
      </c>
      <c r="B17" s="14" t="s">
        <v>4107</v>
      </c>
      <c r="C17" s="14" t="s">
        <v>4107</v>
      </c>
      <c r="D17" s="14" t="s">
        <v>4107</v>
      </c>
      <c r="E17" s="14" t="s">
        <v>4107</v>
      </c>
      <c r="F17" s="14" t="s">
        <v>4107</v>
      </c>
      <c r="G17" s="14"/>
    </row>
    <row customFormat="1" r="18" s="1" spans="1:7"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customFormat="1" ht="30" r="19" s="1" spans="1:7" x14ac:dyDescent="0.25">
      <c r="A19" s="37" t="s">
        <v>4189</v>
      </c>
      <c r="B19" s="14" t="s">
        <v>1411</v>
      </c>
      <c r="C19" s="14" t="s">
        <v>1411</v>
      </c>
      <c r="D19" s="14" t="s">
        <v>1411</v>
      </c>
      <c r="E19" s="14" t="s">
        <v>1411</v>
      </c>
      <c r="F19" s="14" t="s">
        <v>1411</v>
      </c>
      <c r="G19" s="14"/>
    </row>
    <row customFormat="1" r="20" s="56" spans="1:7" x14ac:dyDescent="0.25">
      <c r="A20" s="57" t="s">
        <v>3571</v>
      </c>
      <c r="B20" s="58"/>
      <c r="C20" s="58"/>
      <c r="D20" s="58"/>
      <c r="E20" s="58"/>
      <c r="F20" s="58"/>
      <c r="G20" s="58"/>
    </row>
    <row customFormat="1" r="21" s="1" spans="1:7" x14ac:dyDescent="0.25">
      <c r="A21" s="2" t="s">
        <v>1596</v>
      </c>
      <c r="B21" s="14" t="s">
        <v>4064</v>
      </c>
      <c r="C21" s="14" t="s">
        <v>4064</v>
      </c>
      <c r="D21" s="14" t="s">
        <v>4064</v>
      </c>
      <c r="E21" s="14" t="s">
        <v>4064</v>
      </c>
      <c r="F21" s="14" t="s">
        <v>4064</v>
      </c>
      <c r="G21" s="14"/>
    </row>
    <row customFormat="1" r="22" s="1" spans="1:7"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customFormat="1" r="23" s="1" spans="1:7" x14ac:dyDescent="0.25">
      <c r="A23" s="37" t="s">
        <v>4193</v>
      </c>
      <c r="B23" s="14" t="s">
        <v>2734</v>
      </c>
      <c r="C23" s="14" t="s">
        <v>2734</v>
      </c>
      <c r="D23" s="14" t="s">
        <v>2734</v>
      </c>
      <c r="E23" s="14" t="s">
        <v>2734</v>
      </c>
      <c r="F23" s="14" t="s">
        <v>2734</v>
      </c>
      <c r="G23" s="14"/>
    </row>
    <row customFormat="1" r="24" s="1" spans="1:7" x14ac:dyDescent="0.25">
      <c r="A24" s="2" t="s">
        <v>1597</v>
      </c>
      <c r="B24" s="14" t="s">
        <v>4064</v>
      </c>
      <c r="C24" s="14" t="s">
        <v>4064</v>
      </c>
      <c r="D24" s="14" t="s">
        <v>4064</v>
      </c>
      <c r="E24" s="14" t="s">
        <v>4064</v>
      </c>
      <c r="F24" s="14" t="s">
        <v>4064</v>
      </c>
      <c r="G24" s="14"/>
    </row>
    <row customFormat="1" r="25" s="1" spans="1:7" x14ac:dyDescent="0.25">
      <c r="A25" s="2" t="s">
        <v>1598</v>
      </c>
      <c r="B25" s="14" t="s">
        <v>4064</v>
      </c>
      <c r="C25" s="14" t="s">
        <v>4064</v>
      </c>
      <c r="D25" s="14" t="s">
        <v>4064</v>
      </c>
      <c r="E25" s="14" t="s">
        <v>4064</v>
      </c>
      <c r="F25" s="14" t="s">
        <v>4064</v>
      </c>
      <c r="G25" s="14"/>
    </row>
    <row customFormat="1" r="26" s="1" spans="1:7"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customFormat="1" ht="30" r="27" s="1" spans="1:7" x14ac:dyDescent="0.25">
      <c r="A27" s="37" t="s">
        <v>4195</v>
      </c>
      <c r="B27" s="14" t="s">
        <v>2965</v>
      </c>
      <c r="C27" s="14" t="s">
        <v>2965</v>
      </c>
      <c r="D27" s="14" t="s">
        <v>2965</v>
      </c>
      <c r="E27" s="14" t="s">
        <v>2965</v>
      </c>
      <c r="F27" s="14" t="s">
        <v>2965</v>
      </c>
      <c r="G27" s="14"/>
    </row>
    <row customFormat="1" r="28" s="1" spans="1:7"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customFormat="1" ht="75" r="29" s="1" spans="1:7" x14ac:dyDescent="0.25">
      <c r="A29" s="37" t="s">
        <v>4198</v>
      </c>
      <c r="B29" s="14" t="s">
        <v>1997</v>
      </c>
      <c r="C29" s="14" t="s">
        <v>1997</v>
      </c>
      <c r="D29" s="14" t="s">
        <v>1997</v>
      </c>
      <c r="E29" s="14" t="s">
        <v>1997</v>
      </c>
      <c r="F29" s="14" t="s">
        <v>1997</v>
      </c>
      <c r="G29" s="14"/>
    </row>
    <row customFormat="1" r="30" s="1" spans="1:7"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customFormat="1" ht="30" r="31" s="1" spans="1:7" x14ac:dyDescent="0.25">
      <c r="A31" s="39" t="s">
        <v>4199</v>
      </c>
      <c r="B31" s="15" t="s">
        <v>2967</v>
      </c>
      <c r="C31" s="15" t="s">
        <v>2967</v>
      </c>
      <c r="D31" s="15" t="s">
        <v>2967</v>
      </c>
      <c r="E31" s="15" t="s">
        <v>2967</v>
      </c>
      <c r="F31" s="15" t="s">
        <v>2967</v>
      </c>
      <c r="G31" s="15"/>
    </row>
    <row customFormat="1" ht="30" r="32" s="1" spans="1:7"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customFormat="1" r="33" s="1" spans="1:7" x14ac:dyDescent="0.25">
      <c r="A33" s="37" t="s">
        <v>4202</v>
      </c>
      <c r="B33" s="15" t="s">
        <v>2977</v>
      </c>
      <c r="C33" s="15" t="s">
        <v>2977</v>
      </c>
      <c r="D33" s="15" t="s">
        <v>2977</v>
      </c>
      <c r="E33" s="15" t="s">
        <v>2977</v>
      </c>
      <c r="F33" s="15" t="s">
        <v>2977</v>
      </c>
      <c r="G33" s="15"/>
    </row>
    <row customFormat="1" r="34" s="1" spans="1:7" x14ac:dyDescent="0.25">
      <c r="A34" s="37" t="s">
        <v>4201</v>
      </c>
      <c r="B34" s="14" t="s">
        <v>4064</v>
      </c>
      <c r="C34" s="14" t="s">
        <v>4064</v>
      </c>
      <c r="D34" s="14" t="s">
        <v>4064</v>
      </c>
      <c r="E34" s="14" t="s">
        <v>4064</v>
      </c>
      <c r="F34" s="14" t="s">
        <v>4064</v>
      </c>
      <c r="G34" s="14"/>
    </row>
    <row customFormat="1" r="35" s="1" spans="1:7"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customFormat="1" r="36" s="1" spans="1:7" x14ac:dyDescent="0.25">
      <c r="A36" s="2" t="s">
        <v>1600</v>
      </c>
      <c r="B36" s="15"/>
      <c r="C36" s="15"/>
      <c r="D36" s="15"/>
      <c r="E36" s="15"/>
      <c r="F36" s="15"/>
      <c r="G36" s="15"/>
    </row>
    <row customFormat="1" r="37" s="1" spans="1:7" x14ac:dyDescent="0.25">
      <c r="A37" s="37" t="s">
        <v>4204</v>
      </c>
      <c r="B37" s="45" t="s">
        <v>4105</v>
      </c>
      <c r="C37" s="45" t="s">
        <v>4105</v>
      </c>
      <c r="D37" s="45" t="s">
        <v>4105</v>
      </c>
      <c r="E37" s="45" t="s">
        <v>4105</v>
      </c>
      <c r="F37" s="45" t="s">
        <v>4105</v>
      </c>
      <c r="G37" s="45"/>
    </row>
    <row customFormat="1" r="38" s="1" spans="1:7"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customFormat="1" r="39" s="1" spans="1:7" x14ac:dyDescent="0.25">
      <c r="A39" s="37" t="s">
        <v>4206</v>
      </c>
      <c r="B39" s="46" t="s">
        <v>2987</v>
      </c>
      <c r="C39" s="46" t="s">
        <v>2987</v>
      </c>
      <c r="D39" s="46" t="s">
        <v>2987</v>
      </c>
      <c r="E39" s="46" t="s">
        <v>2987</v>
      </c>
      <c r="F39" s="46" t="s">
        <v>2987</v>
      </c>
      <c r="G39" s="46"/>
    </row>
    <row customFormat="1" r="40" s="1" spans="1:7" x14ac:dyDescent="0.25">
      <c r="A40" s="37" t="s">
        <v>4207</v>
      </c>
      <c r="B40" s="45" t="s">
        <v>4105</v>
      </c>
      <c r="C40" s="45" t="s">
        <v>4105</v>
      </c>
      <c r="D40" s="45" t="s">
        <v>4105</v>
      </c>
      <c r="E40" s="45" t="s">
        <v>4105</v>
      </c>
      <c r="F40" s="45" t="s">
        <v>4105</v>
      </c>
      <c r="G40" s="45"/>
    </row>
    <row customFormat="1" r="41" s="1" spans="1:7"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customFormat="1" r="42" s="1" spans="1:7" x14ac:dyDescent="0.25">
      <c r="A42" s="2" t="s">
        <v>1601</v>
      </c>
      <c r="B42" s="15" t="s">
        <v>28</v>
      </c>
      <c r="C42" s="15" t="s">
        <v>28</v>
      </c>
      <c r="D42" s="15" t="s">
        <v>28</v>
      </c>
      <c r="E42" s="15" t="s">
        <v>28</v>
      </c>
      <c r="F42" s="15" t="s">
        <v>28</v>
      </c>
      <c r="G42" s="15"/>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K12" sqref="BK1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ht="30" r="10" spans="1:61"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2023-02-16T08:52:39Z</dcterms:modified>
</cp:coreProperties>
</file>