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10"/>
  <c i="1" r="B12"/>
  <c i="5" r="C9" s="1"/>
  <c i="7" l="1" r="C3"/>
  <c i="7" r="D3"/>
  <c i="7" r="E3"/>
  <c i="7" r="F3"/>
  <c i="7" r="G3"/>
  <c i="7" r="B3"/>
  <c i="7" r="G41"/>
  <c i="7" r="G38"/>
  <c i="7" r="G35"/>
  <c i="7" r="G32"/>
  <c i="7" r="G30"/>
  <c i="7" r="G28"/>
  <c i="7" r="G26"/>
  <c i="7" r="G22"/>
  <c i="7" r="G4" s="1"/>
  <c i="7" r="G18"/>
  <c i="7" r="G16"/>
  <c i="7" r="G14"/>
  <c i="7" r="G12"/>
  <c i="7" r="G10"/>
  <c i="7" r="F41"/>
  <c i="7" r="F38"/>
  <c i="7" r="F35"/>
  <c i="7" r="F32"/>
  <c i="7" r="F30"/>
  <c i="7" r="F28"/>
  <c i="7" r="F26"/>
  <c i="7" r="F22"/>
  <c i="7" r="F4" s="1"/>
  <c i="7" r="F18"/>
  <c i="7" r="F16"/>
  <c i="7" r="F14"/>
  <c i="7" r="F12"/>
  <c i="7" r="F10"/>
  <c i="7" r="E41"/>
  <c i="7" r="E38"/>
  <c i="7" r="E35"/>
  <c i="7" r="E32"/>
  <c i="7" r="E30"/>
  <c i="7" r="E28"/>
  <c i="7" r="E26"/>
  <c i="7" r="E22"/>
  <c i="7" r="E4" s="1"/>
  <c i="7" r="E18"/>
  <c i="7" r="E16"/>
  <c i="7" r="E14"/>
  <c i="7" r="E12"/>
  <c i="7" r="E10"/>
  <c i="7" r="D41"/>
  <c i="7" r="D38"/>
  <c i="7" r="D35"/>
  <c i="7" r="D32"/>
  <c i="7" r="D30"/>
  <c i="7" r="D28"/>
  <c i="7" r="D26"/>
  <c i="7" r="D22"/>
  <c i="7" r="D18"/>
  <c i="7" r="D4" s="1"/>
  <c i="7" r="D16"/>
  <c i="7" r="D14"/>
  <c i="7" r="D12"/>
  <c i="7" r="D10"/>
  <c i="7" r="C41"/>
  <c i="7" r="C38"/>
  <c i="7" r="C35"/>
  <c i="7" r="C32"/>
  <c i="7" r="C30"/>
  <c i="7" r="C28"/>
  <c i="7" r="C26"/>
  <c i="7" r="C22"/>
  <c i="7" r="C18"/>
  <c i="7" r="C16"/>
  <c i="7" r="C14"/>
  <c i="7" r="C12"/>
  <c i="7" r="C10"/>
  <c i="7" r="C4"/>
  <c i="6" r="G3"/>
  <c i="6" r="F3"/>
  <c i="6" r="E3"/>
  <c i="6" r="D3"/>
  <c i="6" r="C3"/>
  <c i="6" r="B3"/>
  <c i="6" r="G10"/>
  <c i="6" r="G4"/>
  <c i="6" r="F10"/>
  <c i="6" r="F4"/>
  <c i="6" r="E10"/>
  <c i="6" r="E4"/>
  <c i="5" r="G3"/>
  <c i="5" r="F3"/>
  <c i="5" r="E3"/>
  <c i="5" r="D3"/>
  <c i="5" r="C3"/>
  <c i="5" r="B3"/>
  <c i="5" r="G10"/>
  <c i="5" r="G9"/>
  <c i="5" r="G4"/>
  <c i="5" r="F10"/>
  <c i="5" r="F9"/>
  <c i="5" r="F4"/>
  <c i="5" r="E10"/>
  <c i="5" r="E9"/>
  <c i="5" r="E4"/>
  <c i="4" r="G3"/>
  <c i="4" r="F3"/>
  <c i="4" r="E3"/>
  <c i="4" r="D3"/>
  <c i="4" r="C3"/>
  <c i="4" r="B3"/>
  <c i="4" r="G10"/>
  <c i="4" r="G4"/>
  <c i="4" r="E10"/>
  <c i="4" r="E4"/>
  <c i="4" r="F10"/>
  <c i="4" r="F4"/>
  <c i="3" r="G3"/>
  <c i="3" r="F3"/>
  <c i="3" r="E3"/>
  <c i="3" r="D3"/>
  <c i="3" r="C3"/>
  <c i="3" r="B3"/>
  <c i="3" r="G47"/>
  <c i="3" r="G42"/>
  <c i="3" r="G38"/>
  <c i="3" r="G32"/>
  <c i="3" r="G28"/>
  <c i="3" r="G21"/>
  <c i="3" r="G14"/>
  <c i="3" r="G10"/>
  <c i="3" r="G4"/>
  <c i="3" r="F47"/>
  <c i="3" r="F42"/>
  <c i="3" r="F38"/>
  <c i="3" r="F32"/>
  <c i="3" r="F28"/>
  <c i="3" r="F21"/>
  <c i="3" r="F14"/>
  <c i="3" r="F10"/>
  <c i="3" r="F4"/>
  <c i="3" r="E47"/>
  <c i="3" r="E42"/>
  <c i="3" r="E38"/>
  <c i="3" r="E32"/>
  <c i="3" r="E28"/>
  <c i="3" r="E21"/>
  <c i="3" r="E14"/>
  <c i="3" r="E4" s="1"/>
  <c i="3" r="E10"/>
  <c i="3" r="D47"/>
  <c i="3" r="D42"/>
  <c i="3" r="D38"/>
  <c i="3" r="D32"/>
  <c i="3" r="D28"/>
  <c i="3" r="D21"/>
  <c i="3" r="D14"/>
  <c i="3" r="D10"/>
  <c i="3" r="D4"/>
  <c i="3" r="B47"/>
  <c i="3" r="B42"/>
  <c i="3" r="B38"/>
  <c i="3" r="B32"/>
  <c i="3" r="B28"/>
  <c i="3" r="B21"/>
  <c i="3" r="B14"/>
  <c i="3" r="B10"/>
  <c i="3" r="B4"/>
  <c i="3" r="C10"/>
  <c i="2" r="B3"/>
  <c i="3" l="1" r="C21"/>
  <c i="2" l="1" r="B10"/>
  <c i="4" r="D4"/>
  <c i="4" r="C4"/>
  <c i="4" r="D10"/>
  <c i="5" r="D10"/>
  <c i="5" r="D9"/>
  <c i="6" r="D10"/>
  <c i="6" r="D4"/>
  <c i="6" r="C4"/>
  <c i="5" l="1" r="B10"/>
  <c i="5" l="1" r="D4"/>
  <c i="5" l="1" r="C4"/>
  <c i="6" l="1" r="B4"/>
  <c i="3" l="1" r="C4"/>
  <c i="4" r="B4"/>
  <c i="2" l="1" r="B4"/>
  <c i="1" r="B4"/>
  <c i="5" l="1" r="C23"/>
  <c i="3" r="C14"/>
  <c i="3" r="C28"/>
  <c i="3" r="C32"/>
  <c i="3" r="C38"/>
  <c i="3" r="C42"/>
  <c i="3" r="C47"/>
  <c i="4" l="1" r="C10"/>
  <c i="6" r="C10"/>
  <c i="2" r="B9"/>
  <c i="7" l="1" r="B10"/>
  <c i="6" r="B10"/>
  <c i="4" r="B10"/>
  <c i="5" r="B9"/>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<sst xmlns="http://schemas.openxmlformats.org/spreadsheetml/2006/main" count="4892" uniqueCount="4255">
  <si>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</si>
  <si>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</si>
  <si>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</si>
  <si>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</si>
  <si>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</si>
  <si>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</si>
  <si>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</si>
  <si>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</si>
  <si>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</si>
  <si>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</si>
  <si>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</si>
  <si>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</si>
  <si>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</si>
  <si>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</si>
  <si>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</si>
  <si>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</si>
  <si>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</si>
  <si>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</si>
  <si>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</si>
  <si>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</si>
  <si>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</si>
  <si>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</si>
  <si>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</si>
  <si>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</si>
  <si>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</si>
  <si>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</si>
  <si>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</si>
  <si>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</si>
  <si>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</si>
  <si>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</si>
  <si>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</si>
  <si>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</si>
  <si>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</si>
  <si>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</si>
  <si>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</si>
  <si>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</si>
  <si>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</si>
  <si>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</si>
  <si>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</si>
  <si>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</si>
  <si>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</si>
  <si>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</si>
  <si>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</si>
  <si>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</si>
  <si>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</si>
  <si>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</si>
  <si>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</si>
  <si>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</si>
  <si>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</si>
  <si>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</si>
  <si>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</si>
  <si>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</si>
  <si>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</si>
  <si>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</si>
  <si>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</si>
  <si>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</si>
  <si>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</si>
  <si>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</si>
  <si>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</si>
  <si>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</si>
  <si>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</si>
  <si>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</si>
  <si>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</si>
  <si>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</si>
  <si>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</si>
  <si>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</si>
  <si>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</si>
  <si>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</si>
  <si>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</si>
  <si>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</si>
  <si>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</si>
  <si>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</si>
  <si>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</si>
  <si>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</si>
  <si>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</si>
  <si>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</si>
  <si>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</si>
  <si>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</si>
  <si>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</si>
  <si>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</si>
  <si>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</si>
  <si>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</si>
  <si>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</si>
  <si>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</si>
  <si>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</si>
  <si>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</si>
  <si>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</si>
  <si>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</si>
  <si>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</si>
  <si>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</si>
  <si>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</si>
  <si>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</si>
  <si>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</si>
  <si>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</si>
  <si>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</si>
  <si>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</si>
  <si>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</si>
  <si>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</si>
  <si>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</si>
  <si>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</si>
  <si>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</si>
  <si>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</si>
  <si>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</si>
  <si>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</si>
  <si>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</si>
  <si>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</si>
  <si>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</si>
  <si>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</si>
  <si>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</si>
  <si>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</si>
  <si>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</si>
  <si>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</si>
  <si>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</si>
  <si>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</si>
  <si>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</si>
  <si>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</si>
  <si>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</si>
  <si>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</si>
  <si>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</si>
  <si>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</si>
  <si>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</si>
  <si>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</si>
  <si>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</si>
  <si>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</si>
  <si>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</si>
  <si>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</si>
  <si>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</si>
  <si>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</si>
  <si>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</si>
  <si>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</si>
  <si>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</si>
  <si>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</si>
  <si>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</si>
  <si>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</si>
  <si>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</si>
  <si>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</si>
  <si>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</si>
  <si>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</si>
  <si>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</si>
  <si>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</si>
  <si>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</si>
  <si>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</si>
  <si>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</si>
  <si>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</si>
  <si>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</si>
  <si>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</si>
  <si>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</si>
  <si>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</si>
  <si>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</si>
  <si>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</si>
  <si>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</si>
  <si>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</si>
  <si>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</si>
  <si>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</si>
  <si>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</si>
  <si>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</si>
  <si>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</si>
  <si>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</si>
  <si>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</si>
  <si>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</si>
  <si>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</si>
  <si>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</si>
  <si>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</si>
  <si>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</si>
  <si>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</si>
  <si>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</si>
  <si>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</si>
  <si>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</si>
  <si>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</si>
  <si>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</si>
  <si>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</si>
  <si>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</si>
  <si>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</si>
  <si>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</si>
  <si>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</si>
  <si>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</si>
  <si>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</si>
  <si>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</si>
  <si>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</si>
  <si>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</si>
  <si>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</si>
  <si>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</si>
  <si>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</si>
  <si>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</si>
  <si>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</si>
  <si>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</si>
  <si>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</si>
  <si>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</si>
  <si>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</si>
  <si>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</si>
  <si>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</si>
  <si>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</si>
  <si>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</si>
  <si>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</si>
  <si>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</si>
  <si>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</si>
  <si>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</si>
  <si>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</si>
  <si>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</si>
  <si>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</si>
  <si>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</si>
  <si>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</si>
  <si>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</si>
  <si>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</si>
  <si>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</si>
  <si>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</si>
  <si>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</si>
  <si>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</si>
  <si>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</si>
  <si>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</si>
  <si>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</si>
  <si>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</si>
  <si>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</si>
  <si>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</si>
  <si>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</si>
  <si>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</si>
  <si>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</si>
  <si>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</si>
  <si>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</si>
  <si>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</si>
  <si>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</si>
  <si>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</si>
  <si>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</si>
  <si>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</si>
  <si>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</si>
  <si>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</si>
  <si>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</si>
  <si>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</si>
  <si>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</si>
  <si>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</si>
  <si>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</si>
  <si>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</si>
  <si>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</si>
  <si>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</si>
  <si>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</si>
  <si>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</si>
  <si>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</si>
  <si>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</si>
  <si>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</si>
  <si>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</si>
  <si>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</si>
  <si>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</si>
  <si>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</si>
  <si>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</si>
  <si>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</si>
  <si>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</si>
  <si>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</si>
  <si>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</si>
  <si>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</si>
  <si>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</si>
  <si>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</si>
  <si>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</si>
  <si>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</si>
  <si>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</si>
  <si>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</si>
  <si>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</si>
  <si>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</si>
  <si>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</si>
  <si>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</si>
  <si>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</si>
  <si>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</si>
  <si>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</si>
  <si>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</si>
  <si>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</si>
  <si>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</si>
  <si>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</si>
  <si>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</si>
  <si>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</si>
  <si>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</si>
  <si>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</si>
  <si>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</si>
  <si>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</si>
  <si>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</si>
  <si>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</si>
  <si>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</si>
  <si>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</si>
  <si>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</si>
  <si>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</si>
  <si>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</si>
  <si>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</si>
  <si>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</si>
  <si>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</si>
  <si>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</si>
  <si>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</si>
  <si>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</si>
  <si>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</si>
  <si>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</si>
  <si>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</si>
  <si>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</si>
  <si>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</si>
  <si>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</si>
  <si>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</si>
  <si>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</si>
  <si>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</si>
  <si>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</si>
  <si>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</si>
  <si>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</si>
  <si>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</si>
  <si>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</si>
  <si>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</si>
  <si>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</si>
  <si>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</si>
  <si>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</si>
  <si>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</si>
  <si>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</si>
  <si>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</si>
  <si>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</si>
  <si>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</si>
  <si>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</si>
  <si>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</si>
  <si>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</si>
  <si>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</si>
  <si>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</si>
  <si>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</si>
  <si>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</si>
  <si>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</si>
  <si>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</si>
  <si>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</si>
  <si>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</si>
  <si>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</si>
  <si>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</si>
  <si>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</si>
  <si>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</si>
  <si>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</si>
  <si>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</si>
  <si>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</si>
  <si>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</si>
  <si>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</si>
  <si>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</si>
  <si>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</si>
  <si>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</si>
  <si>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</si>
  <si>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</si>
  <si>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</si>
  <si>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</si>
  <si>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</si>
  <si>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</si>
  <si>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</si>
  <si>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</si>
  <si>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</si>
  <si>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</si>
  <si>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</si>
  <si>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</si>
  <si>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</si>
  <si>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</si>
  <si>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</si>
  <si>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</si>
  <si>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</si>
  <si>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</si>
  <si>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</si>
  <si>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</si>
  <si>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</si>
  <si>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</si>
  <si>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</si>
  <si>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</si>
  <si>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</si>
  <si>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</si>
  <si>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</si>
  <si>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</si>
  <si>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</si>
  <si>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</si>
  <si>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</si>
  <si>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</si>
  <si>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</si>
  <si>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</si>
  <si>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</si>
  <si>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</si>
  <si>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</si>
  <si>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</si>
  <si>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</si>
  <si>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</si>
  <si>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</si>
  <si>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</si>
  <si>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</si>
  <si>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</si>
  <si>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</si>
  <si>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</si>
  <si>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</si>
  <si>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</si>
  <si>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</si>
  <si>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</si>
  <si>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</si>
  <si>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</si>
  <si>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</si>
  <si>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</si>
  <si>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</si>
  <si>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</si>
  <si>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</si>
  <si>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</si>
  <si>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</si>
  <si>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</si>
  <si>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</si>
  <si>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</si>
  <si>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</si>
  <si>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</si>
  <si>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</si>
  <si>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</si>
  <si>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</si>
  <si>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</si>
  <si>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</si>
  <si>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</si>
  <si>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</si>
  <si>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</si>
  <si>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</si>
  <si>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</si>
  <si>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</si>
  <si>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</si>
  <si>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</si>
  <si>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</si>
  <si>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</si>
  <si>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</si>
  <si>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</si>
  <si>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</si>
  <si>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</si>
  <si>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</si>
  <si>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</si>
  <si>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</si>
  <si>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</si>
  <si>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</si>
  <si>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</si>
  <si>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</si>
  <si>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</si>
  <si>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</si>
  <si>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</si>
  <si>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</si>
  <si>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</si>
  <si>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</si>
  <si>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</si>
  <si>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</si>
  <si>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</si>
  <si>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</si>
  <si>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</si>
  <si>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</si>
  <si>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</si>
  <si>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</si>
  <si>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</si>
  <si>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</si>
  <si>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</si>
  <si>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</si>
  <si>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</si>
  <si>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</si>
  <si>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</si>
  <si>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</si>
  <si>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</si>
  <si>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</si>
  <si>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</si>
  <si>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</si>
  <si>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</si>
  <si>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</si>
  <si>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</si>
  <si>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</si>
  <si>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</si>
  <si>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</si>
  <si>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</si>
  <si>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</si>
  <si>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</si>
  <si>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</si>
  <si>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</si>
  <si>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</si>
  <si>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</si>
  <si>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</si>
  <si>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</si>
  <si>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</si>
  <si>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</si>
  <si>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</si>
  <si>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</si>
  <si>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</si>
  <si>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</si>
  <si>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</si>
  <si>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</si>
  <si>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</si>
  <si>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</si>
  <si>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</si>
  <si>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</si>
  <si>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</si>
  <si>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</si>
  <si>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</si>
  <si>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</si>
  <si>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</si>
  <si>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</si>
  <si>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</si>
  <si>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</si>
  <si>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</si>
  <si>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</si>
  <si>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</si>
  <si>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</si>
  <si>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</si>
  <si>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</si>
  <si>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</si>
  <si>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</si>
  <si>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</si>
  <si>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</si>
  <si>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</si>
  <si>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</si>
  <si>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</si>
  <si>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</si>
  <si>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</si>
  <si>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</si>
  <si>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</si>
  <si>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</si>
  <si>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</si>
  <si>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</si>
  <si>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</si>
  <si>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</si>
  <si>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</si>
  <si>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</si>
  <si>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</si>
  <si>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</si>
  <si>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</si>
  <si>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</si>
  <si>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</si>
  <si>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</si>
  <si>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</si>
  <si>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</si>
  <si>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</si>
  <si>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</si>
  <si>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</si>
  <si>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</si>
  <si>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</si>
  <si>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</si>
  <si>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</si>
  <si>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</si>
  <si>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</si>
  <si>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</si>
  <si>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</si>
  <si>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</si>
  <si>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</si>
  <si>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</si>
  <si>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</si>
  <si>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</si>
  <si>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</si>
  <si>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</si>
  <si>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</si>
  <si>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</si>
  <si>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</si>
  <si>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</si>
  <si>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</si>
  <si>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</si>
  <si>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</si>
  <si>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</si>
  <si>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</si>
  <si>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</si>
  <si>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</si>
  <si>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</si>
  <si>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</si>
  <si>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</si>
  <si>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</si>
  <si>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</si>
  <si>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</si>
  <si>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</si>
  <si>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</si>
  <si>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</si>
  <si>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</si>
  <si>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</si>
  <si>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</si>
  <si>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</si>
  <si>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</si>
  <si>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</si>
  <si>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</si>
  <si>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</si>
  <si>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</si>
  <si>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</si>
  <si>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</si>
  <si>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</si>
  <si>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</si>
  <si>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</si>
  <si>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</si>
  <si>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</si>
  <si>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</si>
  <si>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</si>
  <si>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</si>
  <si>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</si>
  <si>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</si>
  <si>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</si>
  <si>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</si>
  <si>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</si>
  <si>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</si>
  <si>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</si>
  <si>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</si>
  <si>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</si>
  <si>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</si>
  <si>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</si>
  <si>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</si>
  <si>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</si>
  <si>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</si>
  <si>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</si>
  <si>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</si>
  <si>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</si>
  <si>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</si>
  <si>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</si>
  <si>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</si>
  <si>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</si>
  <si>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</si>
  <si>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</si>
  <si>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</si>
  <si>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</si>
  <si>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</si>
  <si>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</si>
  <si>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</si>
  <si>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</si>
  <si>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</si>
  <si>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</si>
  <si>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</si>
  <si>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</si>
  <si>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</si>
  <si>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</si>
  <si>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</si>
  <si>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</si>
  <si>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</si>
  <si>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</si>
  <si>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</si>
  <si>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</si>
  <si>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</si>
  <si>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</si>
  <si>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</si>
  <si>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</si>
  <si>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</si>
  <si>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</si>
  <si>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</si>
  <si>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</si>
  <si>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</si>
  <si>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</si>
  <si>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</si>
  <si>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</si>
  <si>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</si>
  <si>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</si>
  <si>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</si>
  <si>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</si>
  <si>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</si>
  <si>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</si>
  <si>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</si>
  <si>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</si>
  <si>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</si>
  <si>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</si>
  <si>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</si>
  <si>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</si>
  <si>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</si>
  <si>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</si>
  <si>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</si>
  <si>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</si>
  <si>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</si>
  <si>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</si>
  <si>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</si>
  <si>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</si>
  <si>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</si>
  <si>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</si>
  <si>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</si>
  <si>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</si>
  <si>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</si>
  <si>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</si>
  <si>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</si>
  <si>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</si>
  <si>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</si>
  <si>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</si>
  <si>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</si>
  <si>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</si>
  <si>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</si>
  <si>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</si>
  <si>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</si>
  <si>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</si>
  <si>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</si>
  <si>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</si>
  <si>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</si>
  <si>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</si>
  <si>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</si>
  <si>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</si>
  <si>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</si>
  <si>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</si>
  <si>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</si>
  <si>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</si>
  <si>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</si>
  <si>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</si>
  <si>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</si>
  <si>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</si>
  <si>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</si>
  <si>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</si>
  <si>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</si>
  <si>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</si>
  <si>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</si>
  <si>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</si>
  <si>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</si>
  <si>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</si>
  <si>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</si>
  <si>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</si>
  <si>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</si>
  <si>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</si>
  <si>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</si>
  <si>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</si>
  <si>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</si>
  <si>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</si>
  <si>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</si>
  <si>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</si>
  <si>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</si>
  <si>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</si>
  <si>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</si>
  <si>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</si>
  <si>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</si>
  <si>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</si>
  <si>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</si>
  <si>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</si>
  <si>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</si>
  <si>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</si>
  <si>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</si>
  <si>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</si>
  <si>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</si>
  <si>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</si>
  <si>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</si>
  <si>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</si>
  <si>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</si>
  <si>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</si>
  <si>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</si>
  <si>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</si>
  <si>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</si>
  <si>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</si>
  <si>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</si>
  <si>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</si>
  <si>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</si>
  <si>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</si>
  <si>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</si>
  <si>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</si>
  <si>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</si>
  <si>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</si>
  <si>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</si>
  <si>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</si>
  <si>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</si>
  <si>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</si>
  <si>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</si>
  <si>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</si>
  <si>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</si>
  <si>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</si>
  <si>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</si>
  <si>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</si>
  <si>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</si>
  <si>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</si>
  <si>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</si>
  <si>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</si>
  <si>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</si>
  <si>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</si>
  <si>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</si>
  <si>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</si>
  <si>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</si>
  <si>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</si>
  <si>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</si>
  <si>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</si>
  <si>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</si>
  <si>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</si>
  <si>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</si>
  <si>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</si>
  <si>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</si>
  <si>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</si>
  <si>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</si>
  <si>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</si>
  <si>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</si>
  <si>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</si>
  <si>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</si>
  <si>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</si>
  <si>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</si>
  <si>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</si>
  <si>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</si>
  <si>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</si>
  <si>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</si>
  <si>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</si>
  <si>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</si>
  <si>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</si>
  <si>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</si>
  <si>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</si>
  <si>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</si>
  <si>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</si>
  <si>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</si>
  <si>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</si>
  <si>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</si>
  <si>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</si>
  <si>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</si>
  <si>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</si>
  <si>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</si>
  <si>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</si>
  <si>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</si>
  <si>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</si>
  <si>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</si>
  <si>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</si>
  <si>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</si>
  <si>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</si>
  <si>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</si>
  <si>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</si>
  <si>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</si>
  <si>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</si>
  <si>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</si>
  <si>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</si>
  <si>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</si>
  <si>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</si>
  <si>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</si>
  <si>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</si>
  <si>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</si>
  <si>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</si>
  <si>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</si>
  <si>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</si>
  <si>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</si>
  <si>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</si>
  <si>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</si>
  <si>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</si>
  <si>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</si>
  <si>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</si>
  <si>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</si>
  <si>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</si>
  <si>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</si>
  <si>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</si>
  <si>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</si>
  <si>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</si>
  <si>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</si>
  <si>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</si>
  <si>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</si>
  <si>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</si>
  <si>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</si>
  <si>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</si>
  <si>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</si>
  <si>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</si>
  <si>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</si>
  <si>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</si>
  <si>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</si>
  <si>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</si>
  <si>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</si>
  <si>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</si>
  <si>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</si>
  <si>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</si>
  <si>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</si>
  <si>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</si>
  <si>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</si>
  <si>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</si>
  <si>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</si>
  <si>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</si>
  <si>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</si>
  <si>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</si>
  <si>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</si>
  <si>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</si>
  <si>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</si>
  <si>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</si>
  <si>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</si>
  <si>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</si>
  <si>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</si>
  <si>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</si>
  <si>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</si>
  <si>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</si>
  <si>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</si>
  <si>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</si>
  <si>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</si>
  <si>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</si>
  <si>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</si>
  <si>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</si>
  <si>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</si>
  <si>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</si>
  <si>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</si>
  <si>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</si>
  <si>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</si>
  <si>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</si>
  <si>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</si>
  <si>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</si>
  <si>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</si>
  <si>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</si>
  <si>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</si>
  <si>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</si>
  <si>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</si>
  <si>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</si>
  <si>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</si>
  <si>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</si>
  <si>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</si>
  <si>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</si>
  <si>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</si>
  <si>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</si>
  <si>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</si>
  <si>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</si>
  <si>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</si>
  <si>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</si>
  <si>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</si>
  <si>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</si>
  <si>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</si>
  <si>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</si>
  <si>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</si>
  <si>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</si>
  <si>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</si>
  <si>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</si>
  <si>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</si>
  <si>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</si>
  <si>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</si>
  <si>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</si>
  <si>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</si>
  <si>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</si>
  <si>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</si>
  <si>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</si>
  <si>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</si>
  <si>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</si>
  <si>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</si>
  <si>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</si>
  <si>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</si>
  <si>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</si>
  <si>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</si>
  <si>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</si>
  <si>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</si>
  <si>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</si>
  <si>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</si>
  <si>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</si>
  <si>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</si>
  <si>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</si>
  <si>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</si>
  <si>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</si>
  <si>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</si>
  <si>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</si>
  <si>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</si>
  <si>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</si>
  <si>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</si>
  <si>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</si>
  <si>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</si>
  <si>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</si>
  <si>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</si>
  <si>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</si>
  <si>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</si>
  <si>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</si>
  <si>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</si>
  <si>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</si>
  <si>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</si>
  <si>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</si>
  <si>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</si>
  <si>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</si>
  <si>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</si>
  <si>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</si>
  <si>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</si>
  <si>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</si>
  <si>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</si>
  <si>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</si>
  <si>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</si>
  <si>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</si>
  <si>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</si>
  <si>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</si>
  <si>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</si>
  <si>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</si>
  <si>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</si>
  <si>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</si>
  <si>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</si>
  <si>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</si>
  <si>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</si>
  <si>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</si>
  <si>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</si>
  <si>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</si>
  <si>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</si>
  <si>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</si>
  <si>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</si>
  <si>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</si>
  <si>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</si>
  <si>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</si>
  <si>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</si>
  <si>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</si>
  <si>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</si>
  <si>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</si>
  <si>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</si>
  <si>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</si>
  <si>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</si>
  <si>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</si>
  <si>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</si>
  <si>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</si>
  <si>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</si>
  <si>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</si>
  <si>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</si>
  <si>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</si>
  <si>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</si>
  <si>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</si>
  <si>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</si>
  <si>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</si>
  <si>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</si>
  <si>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</si>
  <si>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</si>
  <si>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</si>
  <si>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</si>
  <si>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</si>
  <si>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</si>
  <si>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</si>
  <si>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</si>
  <si>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</si>
  <si>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</si>
  <si>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</si>
  <si>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</si>
  <si>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</si>
  <si>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</si>
  <si>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</si>
  <si>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</si>
  <si>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</si>
  <si>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</si>
  <si>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</si>
  <si>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</si>
  <si>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</si>
  <si>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</si>
  <si>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</si>
  <si>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</si>
  <si>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</si>
  <si>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</si>
  <si>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</si>
  <si>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</si>
  <si>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</si>
  <si>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</si>
  <si>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</si>
  <si>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</si>
  <si>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</si>
  <si>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</si>
  <si>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</si>
  <si>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</si>
  <si>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</si>
  <si>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</si>
  <si>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</si>
  <si>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</si>
  <si>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</si>
  <si>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</si>
  <si>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</si>
  <si>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</si>
  <si>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</si>
  <si>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</si>
  <si>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</si>
  <si>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</si>
  <si>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</si>
  <si>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</si>
  <si>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</si>
  <si>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</si>
  <si>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</si>
  <si>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</si>
  <si>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</si>
  <si>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</si>
  <si>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</si>
  <si>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</si>
  <si>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</si>
  <si>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</si>
  <si>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</si>
  <si>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</si>
  <si>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</si>
  <si>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</si>
  <si>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</si>
  <si>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</si>
  <si>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</si>
  <si>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</si>
  <si>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</si>
  <si>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</si>
  <si>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</si>
  <si>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</si>
  <si>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</si>
  <si>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</si>
  <si>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</si>
  <si>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</si>
  <si>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</si>
  <si>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</si>
  <si>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</si>
  <si>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</si>
  <si>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</si>
  <si>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</si>
  <si>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</si>
  <si>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</si>
  <si>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</si>
  <si>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</si>
  <si>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</si>
  <si>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</si>
  <si>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</si>
  <si>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</si>
  <si>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</si>
  <si>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</si>
  <si>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</si>
  <si>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</si>
  <si>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</si>
  <si>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</si>
  <si>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</si>
  <si>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</si>
  <si>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</si>
  <si>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</si>
  <si>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</si>
  <si>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</si>
  <si>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</si>
  <si>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</si>
  <si>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</si>
  <si>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</si>
  <si>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</si>
  <si>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</si>
  <si>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</si>
  <si>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</si>
  <si>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</si>
  <si>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</si>
  <si>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</si>
  <si>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</si>
  <si>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</si>
  <si>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</si>
  <si>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</si>
  <si>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</si>
  <si>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</si>
  <si>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</si>
  <si>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</si>
  <si>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</si>
  <si>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</si>
  <si>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</si>
  <si>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</si>
  <si>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</si>
  <si>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</si>
  <si>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</si>
  <si>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</si>
  <si>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</si>
  <si>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</si>
  <si>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</si>
  <si>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</si>
  <si>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</si>
  <si>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</si>
  <si>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</si>
  <si>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</si>
  <si>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</si>
  <si>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</si>
  <si>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</si>
  <si>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</si>
  <si>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</si>
  <si>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</si>
  <si>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</si>
  <si>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</si>
  <si>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</si>
  <si>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</si>
  <si>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</si>
  <si>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</si>
  <si>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</si>
  <si>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</si>
  <si>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</si>
  <si>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</si>
  <si>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</si>
  <si>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</si>
  <si>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</si>
  <si>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</si>
  <si>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</si>
  <si>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</si>
  <si>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</si>
  <si>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</si>
  <si>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</si>
  <si>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</si>
  <si>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</si>
  <si>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</si>
  <si>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</si>
  <si>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</si>
  <si>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</si>
  <si>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</si>
  <si>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</si>
  <si>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</si>
  <si>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</si>
  <si>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</si>
  <si>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</si>
  <si>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</si>
  <si>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</si>
  <si>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</si>
  <si>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</si>
  <si>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</si>
  <si>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</si>
  <si>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</si>
  <si>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</si>
  <si>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</si>
  <si>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</si>
  <si>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</si>
  <si>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</si>
  <si>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</si>
  <si>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</si>
  <si>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</si>
  <si>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</si>
  <si>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</si>
  <si>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</si>
  <si>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</si>
  <si>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</si>
  <si>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</si>
  <si>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</si>
  <si>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</si>
  <si>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</si>
  <si>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</si>
  <si>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</si>
  <si>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</si>
  <si>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</si>
  <si>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</si>
  <si>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</si>
  <si>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</si>
  <si>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</si>
  <si>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</si>
  <si>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</si>
  <si>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</si>
  <si>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</si>
  <si>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</si>
  <si>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</si>
  <si>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</si>
  <si>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</si>
  <si>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</si>
  <si>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</si>
  <si>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</si>
  <si>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</si>
  <si>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</si>
  <si>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</si>
  <si>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</si>
  <si>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</si>
  <si>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</si>
  <si>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</si>
  <si>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</si>
  <si>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</si>
  <si>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</si>
  <si>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</si>
  <si>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</si>
  <si>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</si>
  <si>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</si>
  <si>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</si>
  <si>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</si>
  <si>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</si>
  <si>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</si>
  <si>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</si>
  <si>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</si>
  <si>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</si>
  <si>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</si>
  <si>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</si>
  <si>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</si>
  <si>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</si>
  <si>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</si>
  <si>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</si>
  <si>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</si>
  <si>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</si>
  <si>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</si>
  <si>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</si>
  <si>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</si>
  <si>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</si>
  <si>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</si>
  <si>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</si>
  <si>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</si>
  <si>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</si>
  <si>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</si>
  <si>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</si>
  <si>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</si>
  <si>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</si>
  <si>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</si>
  <si>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</si>
  <si>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</si>
  <si>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</si>
  <si>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</si>
  <si>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</si>
  <si>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</si>
  <si>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</si>
  <si>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</si>
  <si>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</si>
  <si>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</si>
  <si>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</si>
  <si>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</si>
  <si>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</si>
  <si>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</si>
  <si>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</si>
  <si>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</si>
  <si>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</si>
  <si>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</si>
  <si>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</si>
  <si>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</si>
  <si>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</si>
  <si>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</si>
  <si>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</si>
  <si>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</si>
  <si>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</si>
  <si>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</si>
  <si>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</si>
  <si>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</si>
  <si>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</si>
  <si>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</si>
  <si>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</si>
  <si>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</si>
  <si>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</si>
  <si>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</si>
  <si>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</si>
  <si>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</si>
  <si>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</si>
  <si>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</si>
  <si>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</si>
  <si>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</si>
  <si>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</si>
  <si>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</si>
  <si>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</si>
  <si>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</si>
  <si>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</si>
  <si>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</si>
  <si>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</si>
  <si>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</si>
  <si>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</si>
  <si>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</si>
  <si>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</si>
  <si>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</si>
  <si>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</si>
  <si>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</si>
  <si>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</si>
  <si>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</si>
  <si>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</si>
  <si>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</si>
  <si>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</si>
  <si>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</si>
  <si>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</si>
  <si>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</si>
  <si>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</si>
  <si>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</si>
  <si>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</si>
  <si>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</si>
  <si>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</si>
  <si>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</si>
  <si>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</si>
  <si>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</si>
  <si>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</si>
  <si>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</si>
  <si>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</si>
  <si>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</si>
  <si>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</si>
  <si>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</si>
  <si>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</si>
  <si>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</si>
  <si>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</si>
  <si>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</si>
  <si>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</si>
  <si>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</si>
  <si>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</si>
  <si>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</si>
  <si>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</si>
  <si>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</si>
  <si>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</si>
  <si>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</si>
  <si>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</si>
  <si>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</si>
  <si>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</si>
  <si>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</si>
  <si>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</si>
  <si>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</si>
  <si>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</si>
  <si>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</si>
  <si>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</si>
  <si>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</si>
  <si>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</si>
  <si>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</si>
  <si>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</si>
  <si>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</si>
  <si>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</si>
  <si>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</si>
  <si>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</si>
  <si>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</si>
  <si>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</si>
  <si>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</si>
  <si>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</si>
  <si>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</si>
  <si>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</si>
  <si>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</si>
  <si>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</si>
  <si>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</si>
  <si>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</si>
  <si>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</si>
  <si>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</si>
  <si>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</si>
  <si>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</si>
  <si>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</si>
  <si>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</si>
  <si>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</si>
  <si>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</si>
  <si>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</si>
  <si>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</si>
  <si>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</si>
  <si>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</si>
  <si>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</si>
  <si>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</si>
  <si>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</si>
  <si>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</si>
  <si>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</si>
  <si>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</si>
  <si>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</si>
  <si>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</si>
  <si>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</si>
  <si>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</si>
  <si>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</si>
  <si>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</si>
  <si>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</si>
  <si>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</si>
  <si>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</si>
  <si>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</si>
  <si>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</si>
  <si>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</si>
  <si>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</si>
  <si>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</si>
  <si>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</si>
  <si>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</si>
  <si>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</si>
  <si>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</si>
  <si>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</si>
  <si>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</si>
  <si>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</si>
  <si>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</si>
  <si>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</si>
  <si>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</si>
  <si>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</si>
  <si>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</si>
  <si>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</si>
  <si>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</si>
  <si>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</si>
  <si>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</si>
  <si>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</si>
  <si>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</si>
  <si>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</si>
  <si>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</si>
  <si>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</si>
  <si>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</si>
  <si>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</si>
  <si>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</si>
  <si>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</si>
  <si>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</si>
  <si>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</si>
  <si>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</si>
  <si>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</si>
  <si>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</si>
  <si>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</si>
  <si>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</si>
  <si>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</si>
  <si>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</si>
  <si>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</si>
  <si>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</si>
  <si>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</si>
  <si>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</si>
  <si>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</si>
  <si>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</si>
  <si>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</si>
  <si>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</si>
  <si>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</si>
  <si>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</si>
  <si>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</si>
  <si>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</si>
  <si>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</si>
  <si>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</si>
  <si>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</si>
  <si>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</si>
  <si>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</si>
  <si>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</si>
  <si>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</si>
  <si>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</si>
  <si>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</si>
  <si>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</si>
  <si>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</si>
  <si>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</si>
  <si>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</si>
  <si>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</si>
  <si>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</si>
  <si>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</si>
  <si>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</si>
  <si>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</si>
  <si>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</si>
  <si>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</si>
  <si>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</si>
  <si>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</si>
  <si>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</si>
  <si>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</si>
  <si>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</si>
  <si>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</si>
  <si>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</si>
  <si>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</si>
  <si>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</si>
  <si>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</si>
  <si>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</si>
  <si>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</si>
  <si>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</si>
  <si>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</si>
  <si>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</si>
  <si>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</si>
  <si>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</si>
  <si>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</si>
  <si>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</si>
  <si>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</si>
  <si>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</si>
  <si>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</si>
  <si>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</si>
  <si>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</si>
  <si>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</si>
  <si>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</si>
  <si>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</si>
  <si>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</si>
  <si>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</si>
  <si>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</si>
  <si>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</si>
  <si>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</si>
  <si>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</si>
  <si>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</si>
  <si>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</si>
  <si>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</si>
  <si>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</si>
  <si>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</si>
  <si>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</si>
  <si>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</si>
  <si>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</si>
  <si>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</si>
  <si>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</si>
  <si>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</si>
  <si>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</si>
  <si>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</si>
  <si>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</si>
  <si>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</si>
  <si>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</si>
  <si>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</si>
  <si>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</si>
  <si>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</si>
  <si>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</si>
  <si>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</si>
  <si>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</si>
  <si>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</si>
  <si>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</si>
  <si>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</si>
  <si>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</si>
  <si>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</si>
  <si>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</si>
  <si>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</si>
  <si>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</si>
  <si>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</si>
  <si>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</si>
  <si>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</si>
  <si>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</si>
  <si>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</si>
  <si>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</si>
  <si>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</si>
  <si>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</si>
  <si>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</si>
  <si>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</si>
  <si>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</si>
  <si>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</si>
  <si>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</si>
  <si>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</si>
  <si>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</si>
  <si>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</si>
  <si>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</si>
  <si>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</si>
  <si>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</si>
  <si>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</si>
  <si>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</si>
  <si>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</si>
  <si>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</si>
  <si>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</si>
  <si>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</si>
  <si>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</si>
  <si>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</si>
  <si>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</si>
  <si>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</si>
  <si>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</si>
  <si>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</si>
  <si>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</si>
  <si>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</si>
  <si>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</si>
  <si>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</si>
  <si>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</si>
  <si>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</si>
  <si>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</si>
  <si>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</si>
  <si>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</si>
  <si>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</si>
  <si>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</si>
  <si>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</si>
  <si>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</si>
  <si>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</si>
  <si>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</si>
  <si>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</si>
  <si>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</si>
  <si>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</si>
  <si>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</si>
  <si>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</si>
  <si>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</si>
  <si>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</si>
  <si>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</si>
  <si>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</si>
  <si>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</si>
  <si>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</si>
  <si>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</si>
  <si>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</si>
  <si>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</si>
  <si>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</si>
  <si>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</si>
  <si>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</si>
  <si>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</si>
  <si>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</si>
  <si>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</si>
  <si>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</si>
  <si>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</si>
  <si>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</si>
  <si>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</si>
  <si>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</si>
  <si>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</si>
  <si>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</si>
  <si>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</si>
  <si>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</si>
  <si>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</si>
  <si>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</si>
  <si>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</si>
  <si>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</si>
  <si>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</si>
  <si>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</si>
  <si>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</si>
  <si>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</si>
  <si>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</si>
  <si>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</si>
  <si>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</si>
  <si>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</si>
  <si>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</si>
  <si>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</si>
  <si>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</si>
  <si>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</si>
  <si>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</si>
  <si>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</si>
  <si>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</si>
  <si>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</si>
  <si>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</si>
  <si>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</si>
  <si>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</si>
  <si>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</si>
  <si>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</si>
  <si>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</si>
  <si>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</si>
  <si>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</si>
  <si>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</si>
  <si>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</si>
  <si>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</si>
  <si>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</si>
  <si>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</si>
  <si>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</si>
  <si>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</si>
  <si>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</si>
  <si>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</si>
  <si>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</si>
  <si>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</si>
  <si>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</si>
  <si>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</si>
  <si>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</si>
  <si>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</si>
  <si>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</si>
  <si>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</si>
  <si>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</si>
  <si>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</si>
  <si>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</si>
  <si>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</si>
  <si>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</si>
  <si>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</si>
  <si>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</si>
  <si>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</si>
  <si>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</si>
  <si>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</si>
  <si>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</si>
  <si>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</si>
  <si>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</si>
  <si>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</si>
  <si>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</si>
  <si>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</si>
  <si>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</si>
  <si>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</si>
  <si>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</si>
  <si>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</si>
  <si>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</si>
  <si>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</si>
  <si>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</si>
  <si>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</si>
  <si>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</si>
  <si>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</si>
  <si>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</si>
  <si>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</si>
  <si>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</si>
  <si>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</si>
  <si>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</si>
  <si>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</si>
  <si>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</si>
  <si>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</si>
  <si>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</si>
  <si>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</si>
  <si>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</si>
  <si>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</si>
  <si>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</si>
  <si>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</si>
  <si>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</si>
  <si>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</si>
  <si>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</si>
  <si>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</si>
  <si>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</si>
  <si>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</si>
  <si>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</si>
  <si>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</si>
  <si>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</si>
  <si>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</si>
  <si>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</si>
  <si>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</si>
  <si>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</si>
  <si>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</si>
  <si>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</si>
  <si>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</si>
  <si>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</si>
  <si>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</si>
  <si>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</si>
  <si>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</si>
  <si>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</si>
  <si>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</si>
  <si>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</si>
  <si>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</si>
  <si>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</si>
  <si>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</si>
  <si>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</si>
  <si>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</si>
  <si>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</si>
  <si>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</si>
  <si>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</si>
  <si>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</si>
  <si>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</si>
  <si>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</si>
  <si>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</si>
  <si>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</si>
  <si>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</si>
  <si>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</si>
  <si>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</si>
  <si>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</si>
  <si>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</si>
  <si>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</si>
  <si>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</si>
  <si>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</si>
  <si>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</si>
  <si>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</si>
  <si>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</si>
  <si>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</si>
  <si>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</si>
  <si>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</si>
  <si>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</si>
  <si>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</si>
  <si>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</si>
  <si>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</si>
  <si>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</si>
  <si>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</si>
  <si>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</si>
  <si>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</si>
  <si>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</si>
  <si>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</si>
  <si>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</si>
  <si>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</si>
  <si>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</si>
  <si>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</si>
  <si>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</si>
  <si>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</si>
  <si>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</si>
  <si>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</si>
  <si>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</si>
  <si>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</si>
  <si>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</si>
  <si>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</si>
  <si>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</si>
  <si>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</si>
  <si>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</si>
  <si>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</si>
  <si>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</si>
  <si>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</si>
  <si>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</si>
  <si>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</si>
  <si>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</si>
  <si>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</si>
  <si>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</si>
  <si>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</si>
  <si>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</si>
  <si>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</si>
  <si>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</si>
  <si>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</si>
  <si>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</si>
  <si>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</si>
  <si>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</si>
  <si>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</si>
  <si>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</si>
  <si>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</si>
  <si>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</si>
  <si>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</si>
  <si>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</si>
  <si>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</si>
  <si>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</si>
  <si>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</si>
  <si>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</si>
  <si>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</si>
  <si>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</si>
  <si>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</si>
  <si>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</si>
  <si>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</si>
  <si>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</si>
  <si>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</si>
  <si>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</si>
  <si>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</si>
  <si>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</si>
  <si>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</si>
  <si>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</si>
  <si>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</si>
  <si>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</si>
  <si>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</si>
  <si>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</si>
  <si>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</si>
  <si>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</si>
  <si>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</si>
  <si>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</si>
  <si>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</si>
  <si>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</si>
  <si>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</si>
  <si>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</si>
  <si>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</si>
  <si>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</si>
  <si>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</si>
  <si>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</si>
  <si>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</si>
  <si>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</si>
  <si>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</si>
  <si>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</si>
  <si>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</si>
  <si>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</si>
  <si>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</si>
  <si>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</si>
  <si>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</si>
  <si>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</si>
  <si>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</si>
  <si>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</si>
  <si>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</si>
  <si>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</si>
  <si>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</si>
  <si>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</si>
  <si>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</si>
  <si>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</si>
  <si>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</si>
  <si>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</si>
  <si>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</si>
  <si>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</si>
  <si>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</si>
  <si>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</si>
  <si>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</si>
  <si>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</si>
  <si>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</si>
  <si>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</si>
  <si>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</si>
  <si>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</si>
  <si>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</si>
  <si>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</si>
  <si>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</si>
  <si>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</si>
  <si>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</si>
  <si>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</si>
  <si>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</si>
  <si>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</si>
  <si>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</si>
  <si>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</si>
  <si>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</si>
  <si>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</si>
  <si>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</si>
  <si>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</si>
  <si>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</si>
  <si>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</si>
  <si>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</si>
  <si>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</si>
  <si>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</si>
  <si>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</si>
  <si>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</si>
  <si>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</si>
  <si>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</si>
  <si>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</si>
  <si>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</si>
  <si>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</si>
  <si>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</si>
  <si>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</si>
  <si>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</si>
  <si>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</si>
  <si>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</si>
  <si>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</si>
  <si>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</si>
  <si>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</si>
  <si>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</si>
  <si>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</si>
  <si>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</si>
  <si>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</si>
  <si>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</si>
  <si>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</si>
  <si>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</si>
  <si>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</si>
  <si>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</si>
  <si>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</si>
  <si>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</si>
  <si>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</si>
  <si>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</si>
  <si>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</si>
  <si>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</si>
  <si>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</si>
  <si>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</si>
  <si>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</si>
  <si>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</si>
  <si>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</si>
  <si>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</si>
  <si>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</si>
  <si>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</si>
  <si>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</si>
  <si>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</si>
  <si>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</si>
  <si>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</si>
  <si>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</si>
  <si>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</si>
  <si>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</si>
  <si>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</si>
  <si>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</si>
  <si>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</si>
  <si>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</si>
  <si>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</si>
  <si>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</si>
  <si>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</si>
  <si>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</si>
  <si>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</si>
  <si>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</si>
  <si>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</si>
  <si>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</si>
  <si>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</si>
  <si>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</si>
  <si>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</si>
  <si>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</si>
  <si>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</si>
  <si>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</si>
  <si>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</si>
  <si>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</si>
  <si>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</si>
  <si>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</si>
  <si>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</si>
  <si>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</si>
  <si>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</si>
  <si>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</si>
  <si>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</si>
  <si>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</si>
  <si>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</si>
  <si>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</si>
  <si>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</si>
  <si>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</si>
  <si>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</si>
  <si>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</si>
  <si>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</si>
  <si>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</si>
  <si>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</si>
  <si>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</si>
  <si>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</si>
  <si>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</si>
  <si>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</si>
  <si>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</si>
  <si>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</si>
  <si>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</si>
  <si>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</si>
  <si>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</si>
  <si>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</si>
  <si>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</si>
  <si>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</si>
  <si>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</si>
  <si>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</si>
  <si>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</si>
  <si>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</si>
  <si>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</si>
  <si>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</si>
  <si>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</si>
  <si>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</si>
  <si>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</si>
  <si>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</si>
  <si>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</si>
  <si>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</si>
  <si>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</si>
  <si>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</si>
  <si>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</si>
  <si>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</si>
  <si>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</si>
  <si>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</si>
  <si>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</si>
  <si>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</si>
  <si>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</si>
  <si>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</si>
  <si>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</si>
  <si>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</si>
  <si>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</si>
  <si>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</si>
  <si>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</si>
  <si>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</si>
  <si>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</si>
  <si>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</si>
  <si>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</si>
  <si>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</si>
  <si>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</si>
  <si>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</si>
  <si>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</si>
  <si>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</si>
  <si>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</si>
  <si>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</si>
  <si>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</si>
  <si>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</si>
  <si>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</si>
  <si>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</si>
  <si>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</si>
  <si>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</si>
  <si>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</si>
  <si>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</si>
  <si>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</si>
  <si>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</si>
  <si>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</si>
  <si>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</si>
  <si>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</si>
  <si>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</si>
  <si>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</si>
  <si>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</si>
  <si>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</si>
  <si>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</si>
  <si>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</si>
  <si>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</si>
  <si>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</si>
  <si>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</si>
  <si>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</si>
  <si>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</si>
  <si>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</si>
  <si>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</si>
  <si>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</si>
  <si>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</si>
  <si>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</si>
  <si>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</si>
  <si>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</si>
  <si>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</si>
  <si>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</si>
  <si>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</si>
  <si>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</si>
  <si>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</si>
  <si>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</si>
  <si>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</si>
  <si>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</si>
  <si>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</si>
  <si>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</si>
  <si>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</si>
  <si>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</si>
  <si>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</si>
  <si>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</si>
  <si>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</si>
  <si>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</si>
  <si>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</si>
  <si>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</si>
  <si>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</si>
  <si>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</si>
  <si>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</si>
  <si>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</si>
  <si>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</si>
  <si>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</si>
  <si>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</si>
  <si>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</si>
  <si>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</si>
  <si>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</si>
  <si>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</si>
  <si>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</si>
  <si>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</si>
  <si>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</si>
  <si>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</si>
  <si>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</si>
  <si>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</si>
  <si>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</si>
  <si>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</si>
  <si>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</si>
  <si>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</si>
  <si>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</si>
  <si>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</si>
  <si>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</si>
  <si>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</si>
  <si>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</si>
  <si>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</si>
  <si>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</si>
  <si>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</si>
  <si>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</si>
  <si>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</si>
  <si>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</si>
  <si>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</si>
  <si>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</si>
  <si>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</si>
  <si>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</si>
  <si>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</si>
  <si>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</si>
  <si>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</si>
  <si>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</si>
  <si>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</si>
  <si>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</si>
  <si>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</si>
  <si>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</si>
  <si>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</si>
  <si>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</si>
  <si>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</si>
  <si>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</si>
  <si>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</si>
  <si>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</si>
  <si>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</si>
  <si>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</si>
  <si>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</si>
  <si>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</si>
  <si>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</si>
  <si>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</si>
  <si>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</si>
  <si>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</si>
  <si>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</si>
  <si>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</si>
  <si>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</si>
  <si>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</si>
  <si>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</si>
  <si>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</si>
  <si>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</si>
  <si>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</si>
  <si>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</si>
  <si>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</si>
  <si>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</si>
  <si>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</si>
  <si>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</si>
  <si>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</si>
  <si>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</si>
  <si>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</si>
  <si>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</si>
  <si>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</si>
  <si>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</si>
  <si>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</si>
  <si>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</si>
  <si>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</si>
  <si>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</si>
  <si>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</si>
  <si>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</si>
  <si>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</si>
  <si>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</si>
  <si>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</si>
  <si>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</si>
  <si>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</si>
  <si>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</si>
  <si>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</si>
  <si>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</si>
  <si>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</si>
  <si>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</si>
  <si>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</si>
  <si>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</si>
  <si>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</si>
  <si>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</si>
  <si>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</si>
  <si>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</si>
  <si>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</si>
  <si>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</si>
  <si>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</si>
  <si>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</si>
  <si>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</si>
  <si>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</si>
  <si>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</si>
  <si>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</si>
  <si>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</si>
  <si>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</si>
  <si>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</si>
  <si>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</si>
  <si>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</si>
  <si>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</si>
  <si>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</si>
  <si>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</si>
  <si>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</si>
  <si>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</si>
  <si>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</si>
  <si>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</si>
  <si>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</si>
  <si>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</si>
  <si>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</si>
  <si>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</si>
  <si>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</si>
  <si>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</si>
  <si>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</si>
  <si>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</si>
  <si>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</si>
  <si>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</si>
  <si>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</si>
  <si>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</si>
  <si>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</si>
  <si>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</si>
  <si>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</si>
  <si>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</si>
  <si>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</si>
  <si>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</si>
  <si>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</si>
  <si>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</si>
  <si>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</si>
  <si>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</si>
  <si>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</si>
  <si>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</si>
  <si>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</si>
  <si>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</si>
  <si>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</si>
  <si>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</si>
  <si>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</si>
  <si>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</si>
  <si>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</si>
  <si>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</si>
  <si>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</si>
  <si>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</si>
  <si>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</si>
  <si>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</si>
  <si>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</si>
  <si>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</si>
  <si>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</si>
  <si>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</si>
  <si>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</si>
  <si>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</si>
  <si>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</si>
  <si>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</si>
  <si>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</si>
  <si>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</si>
  <si>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</si>
  <si>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</si>
  <si>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</si>
  <si>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</si>
  <si>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</si>
  <si>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</si>
  <si>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</si>
  <si>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</si>
  <si>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</si>
  <si>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</si>
  <si>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</si>
  <si>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</si>
  <si>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</si>
  <si>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</si>
  <si>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</si>
  <si>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</si>
  <si>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</si>
  <si>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</si>
  <si>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</si>
  <si>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</si>
  <si>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</si>
  <si>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</si>
  <si>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</si>
  <si>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</si>
  <si>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</si>
  <si>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</si>
  <si>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</si>
  <si>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</si>
  <si>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</si>
  <si>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</si>
  <si>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</si>
  <si>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</si>
  <si>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</si>
  <si>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</si>
  <si>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</si>
  <si>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</si>
  <si>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</si>
  <si>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</si>
  <si>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</si>
  <si>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</si>
  <si>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</si>
  <si>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</si>
  <si>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</si>
  <si>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</si>
  <si>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</si>
  <si>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</si>
  <si>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</si>
  <si>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</si>
  <si>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</si>
  <si>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</si>
  <si>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</si>
  <si>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</si>
  <si>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</si>
  <si>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</si>
  <si>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</si>
  <si>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</si>
  <si>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</si>
  <si>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</si>
  <si>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</si>
  <si>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</si>
  <si>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</si>
  <si>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</si>
  <si>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</si>
  <si>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</si>
  <si>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</si>
  <si>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</si>
  <si>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</si>
  <si>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</si>
  <si>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</si>
  <si>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</si>
  <si>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</si>
  <si>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</si>
  <si>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</si>
  <si>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</si>
  <si>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</si>
  <si>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</si>
  <si>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</si>
  <si>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</si>
  <si>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</si>
  <si>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</si>
  <si>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</si>
  <si>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</si>
  <si>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</si>
  <si>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</si>
  <si>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</si>
  <si>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</si>
  <si>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</si>
  <si>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</si>
  <si>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</si>
  <si>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</si>
  <si>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</si>
  <si>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</si>
  <si>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</si>
  <si>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</si>
  <si>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</si>
  <si>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</si>
  <si>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</si>
  <si>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</si>
  <si>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</si>
  <si>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</si>
  <si>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</si>
  <si>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</si>
  <si>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</si>
  <si>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</si>
  <si>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</si>
  <si>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</si>
  <si>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</si>
  <si>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</si>
  <si>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</si>
  <si>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</si>
  <si>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</si>
  <si>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</si>
  <si>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</si>
  <si>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</si>
  <si>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</si>
  <si>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</si>
  <si>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</si>
  <si>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</si>
  <si>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</si>
  <si>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</si>
  <si>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</si>
  <si>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</si>
  <si>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</si>
  <si>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</si>
  <si>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</si>
  <si>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</si>
  <si>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</si>
  <si>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</si>
  <si>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</si>
  <si>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</si>
  <si>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</si>
  <si>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</si>
  <si>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</si>
  <si>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</si>
  <si>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</si>
  <si>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</si>
  <si>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</si>
  <si>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</si>
  <si>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</si>
  <si>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</si>
  <si>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</si>
  <si>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</si>
  <si>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</si>
  <si>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</si>
  <si>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</si>
  <si>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</si>
  <si>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</si>
  <si>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</si>
  <si>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</si>
  <si>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</si>
  <si>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</si>
  <si>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</si>
  <si>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</si>
  <si>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</si>
  <si>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</si>
  <si>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</si>
  <si>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</si>
  <si>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</si>
  <si>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</si>
  <si>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</si>
  <si>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</si>
  <si>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</si>
  <si>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</si>
  <si>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</si>
  <si>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</si>
  <si>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</si>
  <si>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</si>
  <si>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</si>
  <si>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</si>
  <si>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</si>
  <si>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</si>
  <si>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</si>
  <si>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</si>
  <si>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</si>
  <si>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</si>
  <si>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</si>
  <si>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</si>
  <si>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</si>
  <si>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</si>
  <si>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</si>
  <si>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</si>
  <si>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</si>
  <si>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</si>
  <si>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</si>
  <si>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</si>
  <si>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</si>
  <si>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</si>
  <si>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</si>
  <si>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</si>
  <si>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</si>
  <si>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</si>
  <si>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</si>
  <si>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</si>
  <si>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</si>
  <si>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</si>
  <si>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</si>
  <si>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</si>
  <si>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</si>
  <si>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</si>
  <si>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</si>
  <si>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</si>
  <si>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</si>
  <si>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</si>
  <si>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</si>
  <si>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</si>
  <si>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</si>
  <si>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</si>
  <si>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</si>
  <si>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</si>
  <si>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</si>
  <si>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</si>
  <si>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</si>
  <si>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</si>
  <si>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</si>
  <si>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</si>
  <si>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</si>
  <si>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</si>
  <si>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</si>
  <si>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</si>
  <si>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</si>
  <si>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</si>
  <si>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</si>
  <si>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</si>
  <si>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</si>
  <si>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</si>
  <si>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</si>
  <si>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</si>
  <si>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</si>
  <si>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</si>
  <si>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</si>
  <si>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</si>
  <si>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</si>
  <si>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</si>
  <si>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</si>
  <si>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</si>
  <si>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</si>
  <si>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</si>
  <si>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</si>
  <si>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</si>
  <si>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</si>
  <si>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</si>
  <si>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</si>
  <si>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</si>
  <si>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</si>
  <si>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</si>
  <si>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</si>
  <si>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</si>
  <si>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</si>
  <si>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</si>
  <si>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</si>
  <si>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</si>
  <si>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</si>
  <si>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</si>
  <si>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</si>
  <si>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</si>
  <si>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</si>
  <si>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</si>
  <si>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</si>
  <si>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</si>
  <si>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</si>
  <si>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</si>
  <si>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</si>
  <si>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</si>
  <si>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</si>
  <si>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</si>
  <si>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</si>
  <si>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</si>
  <si>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</si>
  <si>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</si>
  <si>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</si>
  <si>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</si>
  <si>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</si>
  <si>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</si>
  <si>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</si>
  <si>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</si>
  <si>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</si>
  <si>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</si>
  <si>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</si>
  <si>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</si>
  <si>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</si>
  <si>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</si>
  <si>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</si>
  <si>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</si>
  <si>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</si>
  <si>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</si>
  <si>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</si>
  <si>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</si>
  <si>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</si>
  <si>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</si>
  <si>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</si>
  <si>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</si>
  <si>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</si>
  <si>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</si>
  <si>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</si>
  <si>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</si>
  <si>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</si>
  <si>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</si>
  <si>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</si>
  <si>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</si>
  <si>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</si>
  <si>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</si>
  <si>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</si>
  <si>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</si>
  <si>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</si>
  <si>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</si>
  <si>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</si>
  <si>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</si>
  <si>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</si>
  <si>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</si>
  <si>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</si>
  <si>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</si>
  <si>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</si>
  <si>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</si>
  <si>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</si>
  <si>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</si>
  <si>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</si>
  <si>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</si>
  <si>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</si>
  <si>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</si>
  <si>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</si>
  <si>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</si>
  <si>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</si>
  <si>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</si>
  <si>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</si>
  <si>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</si>
  <si>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</si>
  <si>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</si>
  <si>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</si>
  <si>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</si>
  <si>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</si>
  <si>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</si>
  <si>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</si>
  <si>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</si>
  <si>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</si>
  <si>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</si>
  <si>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</si>
  <si>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</si>
  <si>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</si>
  <si>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</si>
  <si>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</si>
  <si>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</si>
  <si>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</si>
  <si>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</si>
  <si>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</si>
  <si>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</si>
  <si>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</si>
  <si>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</si>
  <si>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</si>
  <si>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</si>
  <si>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</si>
  <si>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</si>
  <si>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</si>
  <si>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</si>
  <si>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</si>
  <si>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</si>
  <si>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</si>
  <si>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</si>
  <si>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</si>
  <si>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</si>
  <si>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</si>
  <si>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</si>
  <si>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</si>
  <si>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</si>
  <si>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</si>
  <si>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</si>
  <si>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</si>
  <si>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</si>
  <si>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</si>
  <si>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</si>
  <si>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</si>
  <si>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</si>
  <si>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</si>
  <si>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</si>
  <si>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</si>
  <si>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</si>
  <si>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</si>
  <si>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</si>
  <si>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</si>
  <si>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</si>
  <si>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</si>
  <si>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</si>
  <si>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</si>
  <si>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</si>
  <si>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</si>
  <si>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</si>
  <si>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</si>
  <si>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</si>
  <si>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</si>
  <si>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</si>
  <si>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</si>
  <si>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</si>
  <si>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</si>
  <si>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</si>
  <si>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</si>
  <si>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</si>
  <si>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</si>
  <si>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</si>
  <si>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</si>
  <si>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</si>
  <si>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</si>
  <si>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</si>
  <si>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</si>
  <si>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</si>
  <si>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</si>
  <si>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</si>
  <si>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</si>
  <si>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</si>
  <si>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</si>
  <si>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</si>
  <si>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</si>
  <si>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</si>
  <si>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</si>
  <si>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</si>
  <si>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</si>
  <si>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</si>
  <si>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</si>
  <si>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</si>
  <si>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</si>
  <si>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</si>
  <si>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</si>
  <si>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</si>
  <si>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</si>
  <si>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</si>
  <si>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</si>
  <si>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</si>
  <si>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</si>
  <si>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</si>
  <si>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</si>
  <si>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</si>
  <si>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</si>
  <si>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</si>
  <si>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</si>
  <si>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</si>
  <si>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</si>
  <si>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</si>
  <si>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</si>
  <si>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</si>
  <si>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</si>
  <si>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</si>
  <si>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</si>
  <si>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</si>
  <si>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</si>
  <si>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</si>
  <si>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</si>
  <si>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</si>
  <si>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</si>
  <si>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</si>
  <si>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</si>
  <si>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</si>
  <si>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</si>
  <si>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</si>
  <si>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</si>
  <si>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</si>
  <si>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</si>
  <si>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</si>
  <si>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</si>
  <si>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</si>
  <si>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</si>
  <si>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</si>
  <si>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</si>
  <si>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</si>
  <si>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</si>
  <si>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</si>
  <si>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</si>
  <si>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</si>
  <si>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</si>
  <si>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</si>
  <si>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</si>
  <si>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</si>
  <si>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</si>
  <si>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</si>
  <si>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</si>
  <si>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</si>
  <si>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</si>
  <si>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</si>
  <si>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</si>
  <si>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</si>
  <si>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</si>
  <si>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</si>
  <si>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</si>
  <si>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</si>
  <si>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</si>
  <si>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</si>
  <si>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</si>
  <si>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</si>
  <si>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</si>
  <si>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</si>
  <si>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</si>
  <si>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</si>
  <si>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</si>
  <si>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</si>
  <si>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</si>
  <si>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</si>
  <si>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</si>
  <si>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</si>
  <si>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</si>
  <si>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</si>
  <si>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</si>
  <si>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</si>
  <si>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</si>
  <si>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</si>
  <si>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</si>
  <si>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</si>
  <si>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</si>
  <si>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</si>
  <si>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</si>
  <si>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</si>
  <si>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</si>
  <si>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</si>
  <si>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</si>
  <si>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</si>
  <si>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</si>
  <si>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</si>
  <si>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</si>
  <si>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</si>
  <si>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</si>
  <si>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</si>
  <si>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</si>
  <si>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</si>
  <si>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</si>
  <si>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</si>
  <si>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</si>
  <si>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</si>
  <si>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</si>
  <si>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</si>
  <si>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</si>
  <si>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</si>
  <si>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</si>
  <si>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</si>
  <si>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</si>
  <si>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</si>
  <si>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</si>
  <si>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</si>
  <si>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</si>
  <si>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</si>
  <si>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</si>
  <si>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</si>
  <si>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</si>
  <si>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</si>
  <si>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</si>
  <si>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</si>
  <si>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</si>
  <si>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</si>
  <si>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</si>
  <si>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</si>
  <si>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</si>
  <si>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</si>
  <si>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</si>
  <si>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</si>
  <si>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</si>
  <si>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</si>
  <si>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</si>
  <si>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</si>
  <si>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</si>
  <si>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</si>
  <si>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</si>
  <si>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</si>
  <si>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</si>
  <si>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</si>
  <si>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</si>
  <si>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</si>
  <si>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</si>
  <si>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</si>
  <si>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</si>
  <si>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</si>
  <si>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</si>
  <si>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</si>
  <si>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</si>
  <si>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</si>
  <si>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</si>
  <si>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</si>
  <si>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</si>
  <si>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</si>
  <si>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</si>
  <si>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</si>
  <si>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</si>
  <si>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</si>
  <si>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</si>
  <si>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</si>
  <si>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</si>
  <si>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</si>
  <si>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</si>
  <si>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</si>
  <si>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</si>
  <si>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</si>
  <si>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</si>
  <si>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</si>
  <si>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</si>
  <si>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</si>
  <si>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</si>
  <si>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</si>
  <si>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</si>
  <si>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</si>
  <si>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</si>
  <si>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</si>
  <si>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</si>
  <si>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</si>
  <si>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</si>
  <si>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</si>
  <si>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</si>
  <si>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</si>
  <si>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</si>
  <si>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</si>
  <si>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</si>
  <si>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</si>
  <si>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</si>
  <si>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</si>
  <si>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</si>
  <si>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</si>
  <si>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</si>
  <si>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</si>
  <si>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</si>
  <si>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</si>
  <si>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</si>
  <si>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</si>
  <si>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</si>
  <si>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</si>
  <si>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</si>
  <si>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</si>
  <si>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</si>
  <si>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</si>
  <si>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</si>
  <si>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</si>
  <si>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</si>
  <si>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</si>
  <si>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</si>
  <si>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</si>
  <si>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</si>
  <si>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</si>
  <si>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</si>
  <si>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</si>
  <si>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</si>
  <si>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</si>
  <si>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</si>
  <si>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</si>
  <si>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</si>
  <si>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</si>
  <si>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</si>
  <si>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</si>
  <si>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</si>
  <si>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</si>
  <si>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</si>
  <si>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</si>
  <si>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</si>
  <si>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</si>
  <si>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</si>
  <si>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</si>
  <si>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</si>
  <si>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</si>
  <si>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</si>
  <si>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</si>
  <si>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</si>
  <si>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</si>
  <si>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</si>
  <si>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</si>
  <si>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</si>
  <si>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</si>
  <si>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</si>
  <si>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</si>
  <si>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</si>
  <si>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</si>
  <si>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</si>
  <si>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</si>
  <si>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</si>
  <si>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</si>
  <si>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</si>
  <si>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</si>
  <si>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</si>
  <si>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</si>
  <si>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</si>
  <si>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</si>
  <si>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</si>
  <si>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</si>
  <si>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</si>
  <si>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</si>
  <si>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</si>
  <si>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</si>
  <si>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</si>
  <si>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</si>
  <si>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</si>
  <si>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</si>
  <si>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</si>
  <si>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</si>
  <si>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</si>
  <si>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</si>
  <si>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</si>
  <si>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</si>
  <si>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</si>
  <si>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</si>
  <si>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</si>
  <si>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</si>
  <si>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</si>
  <si>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</si>
  <si>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</si>
  <si>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</si>
  <si>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</si>
  <si>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</si>
  <si>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</si>
  <si>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</si>
  <si>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</si>
  <si>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</si>
  <si>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</si>
  <si>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</si>
  <si>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</si>
  <si>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</si>
  <si>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</si>
  <si>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</si>
  <si>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</si>
  <si>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</si>
  <si>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</si>
  <si>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</si>
  <si>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</si>
  <si>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</si>
  <si>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</si>
  <si>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</si>
  <si>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</si>
  <si>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</si>
  <si>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</si>
  <si>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</si>
  <si>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</si>
  <si>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</si>
  <si>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</si>
  <si>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</si>
  <si>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</si>
  <si>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</si>
  <si>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</si>
  <si>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</si>
  <si>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</si>
  <si>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</si>
  <si>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</si>
  <si>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</si>
  <si>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</si>
  <si>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</si>
  <si>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</si>
  <si>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</si>
  <si>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</si>
  <si>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</si>
  <si>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</si>
  <si>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</si>
  <si>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</si>
  <si>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</si>
  <si>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</si>
  <si>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</si>
  <si>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</si>
  <si>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</si>
  <si>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</si>
  <si>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</si>
  <si>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</si>
  <si>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</si>
  <si>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</si>
  <si>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</si>
  <si>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</si>
  <si>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</si>
  <si>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</si>
  <si>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</si>
  <si>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</si>
  <si>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</si>
  <si>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</si>
  <si>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</si>
  <si>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</si>
  <si>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</si>
  <si>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</si>
  <si>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</si>
  <si>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</si>
  <si>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</si>
  <si>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</si>
  <si>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</si>
  <si>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</si>
  <si>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</si>
  <si>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</si>
  <si>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</si>
  <si>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</si>
  <si>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</si>
  <si>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</si>
  <si>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</si>
  <si>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</si>
  <si>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</si>
  <si>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</si>
  <si>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</si>
  <si>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</si>
  <si>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</si>
  <si>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</si>
  <si>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</si>
  <si>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</si>
  <si>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</si>
  <si>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</si>
  <si>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</si>
  <si>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</si>
  <si>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</si>
  <si>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</si>
  <si>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</si>
  <si>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</si>
  <si>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</si>
  <si>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</si>
  <si>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</si>
  <si>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</si>
  <si>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</si>
  <si>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</si>
  <si>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</si>
  <si>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</si>
  <si>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</si>
  <si>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</si>
  <si>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</si>
  <si>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</si>
  <si>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</si>
  <si>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</si>
  <si>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</si>
  <si>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</si>
  <si>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</si>
  <si>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</si>
  <si>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</si>
  <si>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</si>
  <si>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</si>
  <si>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</si>
  <si>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</si>
  <si>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</si>
  <si>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</si>
  <si>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</si>
  <si>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</si>
  <si>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</si>
  <si>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</si>
  <si>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</si>
  <si>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</si>
  <si>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</si>
  <si>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</si>
  <si>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</si>
  <si>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</si>
  <si>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</si>
  <si>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</si>
  <si>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</si>
  <si>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</si>
  <si>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</si>
  <si>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</si>
  <si>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</si>
  <si>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</si>
  <si>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</si>
  <si>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</si>
  <si>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</si>
  <si>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</si>
  <si>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</si>
  <si>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</si>
  <si>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</si>
  <si>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</si>
  <si>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</si>
  <si>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</si>
  <si>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</si>
  <si>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</si>
  <si>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</si>
  <si>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</si>
  <si>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</si>
  <si>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</si>
  <si>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</si>
  <si>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</si>
  <si>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</si>
  <si>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</si>
  <si>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</si>
  <si>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</si>
  <si>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</si>
  <si>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</si>
  <si>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</si>
  <si>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</si>
  <si>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</si>
  <si>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</si>
  <si>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</si>
  <si>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</si>
  <si>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</si>
  <si>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</si>
  <si>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</si>
  <si>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</si>
  <si>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</si>
  <si>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</si>
  <si>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</si>
  <si>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</si>
  <si>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</si>
  <si>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</si>
  <si>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</si>
  <si>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</si>
  <si>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</si>
  <si>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</si>
  <si>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</si>
  <si>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</si>
  <si>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</si>
  <si>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</si>
  <si>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</si>
  <si>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</si>
  <si>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</si>
  <si>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</si>
  <si>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</si>
  <si>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</si>
  <si>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</si>
  <si>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</si>
  <si>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</si>
  <si>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</si>
  <si>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</si>
  <si>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</si>
  <si>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</si>
  <si>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</si>
  <si>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</si>
  <si>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</si>
  <si>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</si>
  <si>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</si>
  <si>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</si>
  <si>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</si>
  <si>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</si>
  <si>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</si>
  <si>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</si>
  <si>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</si>
  <si>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</si>
  <si>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</si>
  <si>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</si>
  <si>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</si>
  <si>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</si>
  <si>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</si>
  <si>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</si>
  <si>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</si>
  <si>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</si>
  <si>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</si>
  <si>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</si>
  <si>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</si>
  <si>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</si>
  <si>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</si>
  <si>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</si>
  <si>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</si>
  <si>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</si>
  <si>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</si>
  <si>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</si>
  <si>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</si>
  <si>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</si>
  <si>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</si>
  <si>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</si>
  <si>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</si>
  <si>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</si>
  <si>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</si>
  <si>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</si>
  <si>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</si>
  <si>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</si>
  <si>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</si>
  <si>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</si>
  <si>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</si>
  <si>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</si>
  <si>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</si>
  <si>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</si>
  <si>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</si>
  <si>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</si>
  <si>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</si>
  <si>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</si>
  <si>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</si>
  <si>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</si>
  <si>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</si>
  <si>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</si>
  <si>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</si>
  <si>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</si>
  <si>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</si>
  <si>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</si>
  <si>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</si>
  <si>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</si>
  <si>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</si>
  <si>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</si>
  <si>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</si>
  <si>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</si>
  <si>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</si>
  <si>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</si>
  <si>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</si>
  <si>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</si>
  <si>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</si>
  <si>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</si>
  <si>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</si>
  <si>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</si>
  <si>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</si>
  <si>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</si>
  <si>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</si>
  <si>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</si>
  <si>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</si>
  <si>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</si>
  <si>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</si>
  <si>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</si>
  <si>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</si>
  <si>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</si>
  <si>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</si>
  <si>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</si>
  <si>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</si>
  <si>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</si>
  <si>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</si>
  <si>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</si>
  <si>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</si>
  <si>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</si>
  <si>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</si>
  <si>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</si>
  <si>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</si>
  <si>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</si>
  <si>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</si>
  <si>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</si>
  <si>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</si>
  <si>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</si>
  <si>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</si>
  <si>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</si>
  <si>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</si>
  <si>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</si>
  <si>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</si>
  <si>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</si>
  <si>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</si>
  <si>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</si>
  <si>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</si>
  <si>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</si>
  <si>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</si>
  <si>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</si>
  <si>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</si>
  <si>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</si>
  <si>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</si>
  <si>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</si>
  <si>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</si>
  <si>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</si>
  <si>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</si>
  <si>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</si>
  <si>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</si>
  <si>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</si>
  <si>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</si>
  <si>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</si>
  <si>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</si>
  <si>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</si>
  <si>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</si>
  <si>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</si>
  <si>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</si>
  <si>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</si>
  <si>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</si>
  <si>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</si>
  <si>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</si>
  <si>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</si>
  <si>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</si>
  <si>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</si>
  <si>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</si>
  <si>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</si>
  <si>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</si>
  <si>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</si>
  <si>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</si>
  <si>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</si>
  <si>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</si>
  <si>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</si>
  <si>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</si>
  <si>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</si>
  <si>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</si>
  <si>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</si>
  <si>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</si>
  <si>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</si>
  <si>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</si>
  <si>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</si>
  <si>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</si>
  <si>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</si>
  <si>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</si>
  <si>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</si>
  <si>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</si>
  <si>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</si>
  <si>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</si>
  <si>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</si>
  <si>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</si>
  <si>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</si>
  <si>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</si>
  <si>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</si>
  <si>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</si>
  <si>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</si>
  <si>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</si>
  <si>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</si>
  <si>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</si>
  <si>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</si>
  <si>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</si>
  <si>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</si>
  <si>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</si>
  <si>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</si>
  <si>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</si>
  <si>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</si>
  <si>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</si>
  <si>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</si>
  <si>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</si>
  <si>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</si>
  <si>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</si>
  <si>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</si>
  <si>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</si>
  <si>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</si>
  <si>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</si>
  <si>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</si>
  <si>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</si>
  <si>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</si>
  <si>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</si>
  <si>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</si>
  <si>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</si>
  <si>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</si>
  <si>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</si>
  <si>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</si>
  <si>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</si>
  <si>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</si>
  <si>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</si>
  <si>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</si>
  <si>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</si>
  <si>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</si>
  <si>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</si>
  <si>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</si>
  <si>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</si>
  <si>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</si>
  <si>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</si>
  <si>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</si>
  <si>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</si>
  <si>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</si>
  <si>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</si>
  <si>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</si>
  <si>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</si>
  <si>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</si>
  <si>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</si>
  <si>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</si>
  <si>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</si>
  <si>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</si>
  <si>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</si>
  <si>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</si>
  <si>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</si>
  <si>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</si>
  <si>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</si>
  <si>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</si>
  <si>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</si>
  <si>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</si>
  <si>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</si>
  <si>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</si>
  <si>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</si>
  <si>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</si>
  <si>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</si>
  <si>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</si>
  <si>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</si>
  <si>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</si>
  <si>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</si>
  <si>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</si>
  <si>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</si>
  <si>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</si>
  <si>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</si>
  <si>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</si>
  <si>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</si>
  <si>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</si>
  <si>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</si>
  <si>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</si>
  <si>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</si>
  <si>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</si>
  <si>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</si>
  <si>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</si>
  <si>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</si>
  <si>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</si>
  <si>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</si>
  <si>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</si>
  <si>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</si>
  <si>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</si>
  <si>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</si>
  <si>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</si>
  <si>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</si>
  <si>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</si>
  <si>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</si>
  <si>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</si>
  <si>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</si>
  <si>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</si>
  <si>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</si>
  <si>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</si>
  <si>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</si>
  <si>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</si>
  <si>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</si>
  <si>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</si>
  <si>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</si>
  <si>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</si>
  <si>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</si>
  <si>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</si>
  <si>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</si>
  <si>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</si>
  <si>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</si>
  <si>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</si>
  <si>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</si>
  <si>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</si>
  <si>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</si>
  <si>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</si>
  <si>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</si>
  <si>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</si>
  <si>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</si>
  <si>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</si>
  <si>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</si>
  <si>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</si>
  <si>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</si>
  <si>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</si>
  <si>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</si>
  <si>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</si>
  <si>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</si>
  <si>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</si>
  <si>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</si>
  <si>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</si>
  <si>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</si>
  <si>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</si>
  <si>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</si>
  <si>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</si>
  <si>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</si>
  <si>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</si>
  <si>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</si>
  <si>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</si>
  <si>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</si>
  <si>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</si>
  <si>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</si>
  <si>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</si>
  <si>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</si>
  <si>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</si>
  <si>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</si>
  <si>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</si>
  <si>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</si>
  <si>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</si>
  <si>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</si>
  <si>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</si>
  <si>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</si>
  <si>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</si>
  <si>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</si>
  <si>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</si>
  <si>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</si>
  <si>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</si>
  <si>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</si>
  <si>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</si>
  <si>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</si>
  <si>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</si>
  <si>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</si>
  <si>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</si>
  <si>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</si>
  <si>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</si>
  <si>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</si>
  <si>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</si>
  <si>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</si>
  <si>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</si>
  <si>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</si>
  <si>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</si>
  <si>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</si>
  <si>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</si>
  <si>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</si>
  <si>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</si>
  <si>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</si>
  <si>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</si>
  <si>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</si>
  <si>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</si>
  <si>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</si>
  <si>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</si>
  <si>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</si>
  <si>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</si>
  <si>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</si>
  <si>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</si>
  <si>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</si>
  <si>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</si>
  <si>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</si>
  <si>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</si>
  <si>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</si>
  <si>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</si>
  <si>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</si>
  <si>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</si>
  <si>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</si>
  <si>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</si>
  <si>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</si>
  <si>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</si>
  <si>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</si>
  <si>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</si>
  <si>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</si>
  <si>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</si>
  <si>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</si>
  <si>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</si>
  <si>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</si>
  <si>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</si>
  <si>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</si>
  <si>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</si>
  <si>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</si>
  <si>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</si>
  <si>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</si>
  <si>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</si>
  <si>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</si>
  <si>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</si>
  <si>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</si>
  <si>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</si>
  <si>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</si>
  <si>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</si>
  <si>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</si>
  <si>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</si>
  <si>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</si>
  <si>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</si>
  <si>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</si>
  <si>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</si>
  <si>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</si>
  <si>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</si>
  <si>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</si>
  <si>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</si>
  <si>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</si>
  <si>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</si>
  <si>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</si>
  <si>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</si>
  <si>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</si>
  <si>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</si>
  <si>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</si>
  <si>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</si>
  <si>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</si>
  <si>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</si>
  <si>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</si>
  <si>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</si>
  <si>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</si>
  <si>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</si>
  <si>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</si>
  <si>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</si>
  <si>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</si>
  <si>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</si>
  <si>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</si>
  <si>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</si>
  <si>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</si>
  <si>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</si>
  <si>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</si>
  <si>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</si>
  <si>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</si>
  <si>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</si>
  <si>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</si>
  <si>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</si>
  <si>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</si>
  <si>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</si>
  <si>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</si>
  <si>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</si>
  <si>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</si>
  <si>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</si>
  <si>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</si>
  <si>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</si>
  <si>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</si>
  <si>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</si>
  <si>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</si>
  <si>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</si>
  <si>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</si>
  <si>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</si>
  <si>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</si>
  <si>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</si>
  <si>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</si>
  <si>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</si>
  <si>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</si>
  <si>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</si>
  <si>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</si>
  <si>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</si>
  <si>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</si>
  <si>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</si>
  <si>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</si>
  <si>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</si>
  <si>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</si>
  <si>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</si>
  <si>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</si>
  <si>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</si>
  <si>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</si>
  <si>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</si>
  <si>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</si>
  <si>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</si>
  <si>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</si>
  <si>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</si>
  <si>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</si>
  <si>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</si>
  <si>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</si>
  <si>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</si>
  <si>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</si>
  <si>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</si>
  <si>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</si>
  <si>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</si>
  <si>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</si>
  <si>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</si>
  <si>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</si>
  <si>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</si>
  <si>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</si>
  <si>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</si>
  <si>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</si>
  <si>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</si>
  <si>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</si>
  <si>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</si>
  <si>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</si>
  <si>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</si>
  <si>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</si>
  <si>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</si>
  <si>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</si>
  <si>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</si>
  <si>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</si>
  <si>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</si>
  <si>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</si>
  <si>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</si>
  <si>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</si>
  <si>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</si>
  <si>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</si>
  <si>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</si>
  <si>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</si>
  <si>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</si>
  <si>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</si>
  <si>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</si>
  <si>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</si>
  <si>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</si>
  <si>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</si>
  <si>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</si>
  <si>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</si>
  <si>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</si>
  <si>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</si>
  <si>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</si>
  <si>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</si>
  <si>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</si>
  <si>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</si>
  <si>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</si>
  <si>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</si>
  <si>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</si>
  <si>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</si>
  <si>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</si>
  <si>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</si>
  <si>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</si>
  <si>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</si>
  <si>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</si>
  <si>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</si>
  <si>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</si>
  <si>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</si>
  <si>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</si>
  <si>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</si>
  <si>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</si>
  <si>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</si>
  <si>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</si>
  <si>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</si>
  <si>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</si>
  <si>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</si>
  <si>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</si>
  <si>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</si>
  <si>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</si>
  <si>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</si>
  <si>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</si>
  <si>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</si>
  <si>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</si>
  <si>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</si>
  <si>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</si>
  <si>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</si>
  <si>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</si>
  <si>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</si>
  <si>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</si>
  <si>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</si>
  <si>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</si>
  <si>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</si>
  <si>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</si>
  <si>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</si>
  <si>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</si>
  <si>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</si>
  <si>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</si>
  <si>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</si>
  <si>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</si>
  <si>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</si>
  <si>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</si>
  <si>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</si>
  <si>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</si>
  <si>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</si>
  <si>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</si>
  <si>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</si>
  <si>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</si>
  <si>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</si>
  <si>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</si>
  <si>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</si>
  <si>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</si>
  <si>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</si>
  <si>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</si>
  <si>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</si>
  <si>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</si>
  <si>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</si>
  <si>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</si>
  <si>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</si>
  <si>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</si>
  <si>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</si>
  <si>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</si>
  <si>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</si>
  <si>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</si>
  <si>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</si>
  <si>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</si>
  <si>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</si>
  <si>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</si>
  <si>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</si>
  <si>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</si>
  <si>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</si>
  <si>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</si>
  <si>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</si>
  <si>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</si>
  <si>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</si>
  <si>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</si>
  <si>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</si>
  <si>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</si>
  <si>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</si>
  <si>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</si>
  <si>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</si>
  <si>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</si>
  <si>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</si>
  <si>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</si>
  <si>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</si>
  <si>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</si>
  <si>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</si>
  <si>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</si>
  <si>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</si>
  <si>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</si>
  <si>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</si>
  <si>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</si>
  <si>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</si>
  <si>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</si>
  <si>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</si>
  <si>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</si>
  <si>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</si>
  <si>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</si>
  <si>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</si>
  <si>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</si>
  <si>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</si>
  <si>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</si>
  <si>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</si>
  <si>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</si>
  <si>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</si>
  <si>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</si>
  <si>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</si>
  <si>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</si>
  <si>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</si>
  <si>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</si>
  <si>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</si>
  <si>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</si>
  <si>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</si>
  <si>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</si>
  <si>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</si>
  <si>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</si>
  <si>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</si>
  <si>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</si>
  <si>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</si>
  <si>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</si>
  <si>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</si>
  <si>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</si>
  <si>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</si>
  <si>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</si>
  <si>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</si>
  <si>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</si>
  <si>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</si>
  <si>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</si>
  <si>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</si>
  <si>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</si>
  <si>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</si>
  <si>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</si>
  <si>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</si>
  <si>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</si>
  <si>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</si>
  <si>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</si>
  <si>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</si>
  <si>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</si>
  <si>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</si>
  <si>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</si>
  <si>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</si>
  <si>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</si>
  <si>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</si>
  <si>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</si>
  <si>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</si>
  <si>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</si>
  <si>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</si>
  <si>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</si>
  <si>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</si>
  <si>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</si>
  <si>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</si>
  <si>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</si>
  <si>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</si>
  <si>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</si>
  <si>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</si>
  <si>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</si>
  <si>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</si>
  <si>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</si>
  <si>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</si>
  <si>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</si>
  <si>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</si>
  <si>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</si>
  <si>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</si>
  <si>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</si>
  <si>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</si>
  <si>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</si>
  <si>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</si>
  <si>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</si>
  <si>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</si>
  <si>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</si>
  <si>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</si>
  <si>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</si>
  <si>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</si>
  <si>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</si>
  <si>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</si>
  <si>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</si>
  <si>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</si>
  <si>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</si>
  <si>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</si>
  <si>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</si>
  <si>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</si>
  <si>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</si>
  <si>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</si>
  <si>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</si>
  <si>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</si>
  <si>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</si>
  <si>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</si>
  <si>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</si>
  <si>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</si>
  <si>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</si>
  <si>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</si>
  <si>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</si>
  <si>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</si>
  <si>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</si>
  <si>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</si>
  <si>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</si>
  <si>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</si>
  <si>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</si>
  <si>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</si>
  <si>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</si>
  <si>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</si>
  <si>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</si>
  <si>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</si>
  <si>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</si>
  <si>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</si>
  <si>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</si>
  <si>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</si>
  <si>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</si>
  <si>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</si>
  <si>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</si>
  <si>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</si>
  <si>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</si>
  <si>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</si>
  <si>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</si>
  <si>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</si>
  <si>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</si>
  <si>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</si>
  <si>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</si>
  <si>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</si>
  <si>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</si>
  <si>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</si>
  <si>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</si>
  <si>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</si>
  <si>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</si>
  <si>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</si>
  <si>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</si>
  <si>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</si>
  <si>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</si>
  <si>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</si>
  <si>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</si>
  <si>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</si>
  <si>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</si>
  <si>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</si>
  <si>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</si>
  <si>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</si>
  <si>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</si>
  <si>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</si>
  <si>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</si>
  <si>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</si>
  <si>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</si>
  <si>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</si>
  <si>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</si>
  <si>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</si>
  <si>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</si>
  <si>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</si>
  <si>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</si>
  <si>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</si>
  <si>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</si>
  <si>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</si>
  <si>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</si>
  <si>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</si>
  <si>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</si>
  <si>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</si>
  <si>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</si>
  <si>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</si>
  <si>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</si>
  <si>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</si>
  <si>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</si>
  <si>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</si>
  <si>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</si>
  <si>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</si>
  <si>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</si>
  <si>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</si>
  <si>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</si>
  <si>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</si>
  <si>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</si>
  <si>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</si>
  <si>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</si>
  <si>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</si>
  <si>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</si>
  <si>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</si>
  <si>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</si>
  <si>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</si>
  <si>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</si>
  <si>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</si>
  <si>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</si>
  <si>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</si>
  <si>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</si>
  <si>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</si>
  <si>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</si>
  <si>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</si>
  <si>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</si>
  <si>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</si>
  <si>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</si>
  <si>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</si>
  <si>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</si>
  <si>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</si>
  <si>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</si>
  <si>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</si>
  <si>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</si>
  <si>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</si>
  <si>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</si>
  <si>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</si>
  <si>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</si>
  <si>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</si>
  <si>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</si>
  <si>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</si>
  <si>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</si>
  <si>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</si>
  <si>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</si>
  <si>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</si>
  <si>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</si>
  <si>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</si>
  <si>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</si>
  <si>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</si>
  <si>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</si>
  <si>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</si>
  <si>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</si>
  <si>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</si>
  <si>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</si>
  <si>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</si>
  <si>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</si>
  <si>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</si>
  <si>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</si>
  <si>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</si>
  <si>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</si>
  <si>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</si>
  <si>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</si>
  <si>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</si>
  <si>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</si>
  <si>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</si>
  <si>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</si>
  <si>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</si>
  <si>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</si>
  <si>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</si>
  <si>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</si>
  <si>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</si>
  <si>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</si>
  <si>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</si>
  <si>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</si>
  <si>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</si>
  <si>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</si>
  <si>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</si>
  <si>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</si>
  <si>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</si>
  <si>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</si>
  <si>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</si>
  <si>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</si>
  <si>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</si>
  <si>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</si>
  <si>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</si>
  <si>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</si>
  <si>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</si>
  <si>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</si>
  <si>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</si>
  <si>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</si>
  <si>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</si>
  <si>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</si>
  <si>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</si>
  <si>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</si>
  <si>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</si>
  <si>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</si>
  <si>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</si>
  <si>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</si>
  <si>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</si>
  <si>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</si>
  <si>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</si>
  <si>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</si>
  <si>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</si>
  <si>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</si>
  <si>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</si>
  <si>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</si>
  <si>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</si>
  <si>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</si>
  <si>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</si>
  <si>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</si>
  <si>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</si>
  <si>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</si>
  <si>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</si>
  <si>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</si>
  <si>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</si>
  <si>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</si>
  <si>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</si>
  <si>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</si>
  <si>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</si>
  <si>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</si>
  <si>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</si>
  <si>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</si>
  <si>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</si>
  <si>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</si>
  <si>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</si>
  <si>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</si>
  <si>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</si>
  <si>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</si>
  <si>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</si>
  <si>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</si>
  <si>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</si>
  <si>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</si>
  <si>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</si>
  <si>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</si>
  <si>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</si>
  <si>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</si>
  <si>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</si>
  <si>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</si>
  <si>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</si>
  <si>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</si>
  <si>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</si>
  <si>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</si>
  <si>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</si>
  <si>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</si>
  <si>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</si>
  <si>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</si>
  <si>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</si>
  <si>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</si>
  <si>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</si>
  <si>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</si>
  <si>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</si>
  <si>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</si>
  <si>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</si>
  <si>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</si>
  <si>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</si>
  <si>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</si>
  <si>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</si>
  <si>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</si>
  <si>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</si>
  <si>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</si>
  <si>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</si>
  <si>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</si>
  <si>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</si>
  <si>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</si>
  <si>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</si>
  <si>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</si>
  <si>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</si>
  <si>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</si>
  <si>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</si>
  <si>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</si>
  <si>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</si>
  <si>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</si>
  <si>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</si>
  <si>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</si>
  <si>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</si>
  <si>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</si>
  <si>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</si>
  <si>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</si>
  <si>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</si>
  <si>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</si>
  <si>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</si>
  <si>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</si>
  <si>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</si>
  <si>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</si>
  <si>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</si>
  <si>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</si>
  <si>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</si>
  <si>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</si>
  <si>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</si>
  <si>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</si>
  <si>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</si>
  <si>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</si>
  <si>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</si>
  <si>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</si>
  <si>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</si>
  <si>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</si>
  <si>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</si>
  <si>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</si>
  <si>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</si>
  <si>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</si>
  <si>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</si>
  <si>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</si>
  <si>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</si>
  <si>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</si>
  <si>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</si>
  <si>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</si>
  <si>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</si>
  <si>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</si>
  <si>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</si>
  <si>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</si>
  <si>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</si>
  <si>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</si>
  <si>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</si>
  <si>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</si>
  <si>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</si>
  <si>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</si>
  <si>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</si>
  <si>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</si>
  <si>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</si>
  <si>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</si>
  <si>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</si>
  <si>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</si>
  <si>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</si>
  <si>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</si>
  <si>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</si>
  <si>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</si>
  <si>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</si>
  <si>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</si>
  <si>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</si>
  <si>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</si>
  <si>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</si>
  <si>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</si>
  <si>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</si>
  <si>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</si>
  <si>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</si>
  <si>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</si>
  <si>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</si>
  <si>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</si>
  <si>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</si>
  <si>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</si>
  <si>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</si>
  <si>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</si>
  <si>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</si>
  <si>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</si>
  <si>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</si>
  <si>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</si>
  <si>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</si>
  <si>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</si>
  <si>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</si>
  <si>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</si>
  <si>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</si>
  <si>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</si>
  <si>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</si>
  <si>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</si>
  <si>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</si>
  <si>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</si>
  <si>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</si>
  <si>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</si>
  <si>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</si>
  <si>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</si>
  <si>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</si>
  <si>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</si>
  <si>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</si>
  <si>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</si>
  <si>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</si>
  <si>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</si>
  <si>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</si>
  <si>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</si>
  <si>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</si>
  <si>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</si>
  <si>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</si>
  <si>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</si>
  <si>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</si>
  <si>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</si>
  <si>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</si>
  <si>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</si>
  <si>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</si>
  <si>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</si>
  <si>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</si>
  <si>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</si>
  <si>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</si>
  <si>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</si>
  <si>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</si>
  <si>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</si>
  <si>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</si>
  <si>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</si>
  <si>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</si>
  <si>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</si>
  <si>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</si>
  <si>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</si>
  <si>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</si>
  <si>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</si>
  <si>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</si>
  <si>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</si>
  <si>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</si>
  <si>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</si>
  <si>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</si>
  <si>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</si>
  <si>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</si>
  <si>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</si>
  <si>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</si>
  <si>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</si>
  <si>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</si>
  <si>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Jln kebon jeruk</t>
  </si>
  <si>
    <t>kebon jeruk</t>
  </si>
  <si>
    <t>jakarta barat</t>
  </si>
  <si>
    <t>Reason Failed</t>
  </si>
  <si>
    <t>Objective</t>
  </si>
  <si>
    <t>JL TWICE NO 91</t>
  </si>
  <si>
    <t>08/08/2001</t>
  </si>
  <si>
    <t>08/08/2002</t>
  </si>
  <si>
    <t>03/01/2024</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</si>
  <si>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</si>
  <si>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</si>
  <si>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</si>
  <si>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</si>
  <si>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</si>
  <si>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</si>
  <si>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</si>
  <si>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</si>
  <si>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</si>
  <si>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</si>
  <si>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</si>
  <si>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</si>
  <si>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</si>
  <si>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</si>
  <si>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</si>
  <si>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</si>
  <si>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</si>
  <si>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</si>
  <si>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</si>
  <si>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</si>
  <si>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</si>
  <si>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</si>
  <si>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</si>
  <si>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</si>
  <si>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</si>
  <si>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</si>
  <si>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</si>
  <si>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</si>
  <si>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</si>
  <si>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</si>
  <si>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</si>
  <si>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</si>
  <si>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</si>
  <si>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</si>
  <si>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</si>
  <si>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</si>
  <si>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</si>
  <si>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</si>
  <si>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</si>
  <si>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</si>
  <si>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</si>
  <si>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</si>
  <si>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</si>
  <si>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</si>
  <si>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</si>
  <si>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</si>
  <si>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</si>
  <si>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</si>
  <si>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</si>
  <si>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</si>
  <si>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</si>
  <si>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</si>
  <si>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</si>
  <si>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</si>
  <si>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</si>
  <si>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</si>
  <si>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</si>
  <si>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</si>
  <si>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</si>
  <si>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</si>
  <si>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</si>
  <si>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</si>
  <si>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</si>
  <si>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</si>
  <si>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</si>
  <si>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</si>
  <si>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</si>
  <si>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</si>
  <si>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</si>
  <si>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</si>
  <si>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</si>
  <si>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</si>
  <si>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</si>
  <si>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</si>
  <si>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</si>
  <si>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</si>
  <si>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</si>
  <si>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</si>
  <si>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</si>
  <si>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</si>
  <si>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</si>
  <si>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</si>
  <si>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</si>
  <si>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</si>
  <si>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</si>
  <si>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</si>
  <si>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jeremy</t>
  </si>
  <si>
    <t>LookUp</t>
  </si>
  <si>
    <t>FT TIO</t>
  </si>
  <si>
    <t>300000000;2000000</t>
  </si>
  <si>
    <t>3;1</t>
  </si>
  <si>
    <t>AVANZA;HONDA</t>
  </si>
  <si>
    <t>sule</t>
  </si>
  <si>
    <t>ft tio</t>
  </si>
  <si>
    <t>1;1</t>
  </si>
  <si>
    <t>BRANCH NIAGA</t>
  </si>
  <si>
    <t>128469216</t>
  </si>
  <si>
    <t>BRANCH BRI</t>
  </si>
  <si>
    <t>21487424</t>
  </si>
  <si>
    <t>24970244</t>
  </si>
  <si>
    <t>BRANCH BNI</t>
  </si>
  <si>
    <t>0002CUST20211204000</t>
  </si>
  <si>
    <t>LOS-011</t>
  </si>
  <si>
    <t>FT SURYA</t>
  </si>
  <si>
    <t>ARKZANDRE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</si>
</sst>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Font="1" borderId="0" fillId="0" fontId="1"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4" workbookViewId="0">
      <selection activeCell="B12" sqref="B12"/>
    </sheetView>
  </sheetViews>
  <sheetFormatPr defaultRowHeight="15" x14ac:dyDescent="0.25"/>
  <cols>
    <col min="1" max="1" bestFit="true" customWidth="true" width="29.7109375" collapsed="true"/>
    <col min="2" max="3" bestFit="true" customWidth="true" width="34.28515625" collapsed="true"/>
    <col min="4" max="5" bestFit="true" customWidth="true" width="19.85546875" collapsed="true"/>
    <col min="6" max="6" customWidth="true" width="16.5703125" collapsed="false"/>
    <col min="7" max="7" customWidth="true" width="15.7109375" collapsed="false"/>
  </cols>
  <sheetData>
    <row customFormat="1" r="1" s="1" spans="1:11" x14ac:dyDescent="0.25">
      <c r="A1" s="1" t="s">
        <v>12</v>
      </c>
      <c r="B1" s="1" t="s">
        <v>3283</v>
      </c>
    </row>
    <row customFormat="1" r="2" s="1" spans="1:11" x14ac:dyDescent="0.25">
      <c r="A2" s="1" t="s">
        <v>4144</v>
      </c>
      <c r="B2" s="1" t="s">
        <v>4235</v>
      </c>
    </row>
    <row customFormat="1" r="3" s="1" spans="1:11" x14ac:dyDescent="0.25">
      <c r="A3" s="1" t="s">
        <v>4145</v>
      </c>
      <c r="B3" s="1" t="s">
        <v>4252</v>
      </c>
    </row>
    <row customFormat="1" r="4" s="1" spans="1:11" x14ac:dyDescent="0.25">
      <c r="A4" s="1" t="s">
        <v>4157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'[1]1.TabCustomerMainData'!$B$13</f>
        <v>0002APP20221206283</v>
      </c>
    </row>
    <row customFormat="1" r="13" s="1" spans="1:11" x14ac:dyDescent="0.25">
      <c r="A13" s="47" t="s">
        <v>0</v>
      </c>
      <c r="B13" t="s">
        <v>4253</v>
      </c>
      <c r="C13" t="s">
        <v>4254</v>
      </c>
    </row>
    <row customFormat="1" r="14" s="1" spans="1:11" x14ac:dyDescent="0.25">
      <c r="A14" s="1" t="s">
        <v>9</v>
      </c>
    </row>
    <row customFormat="1" r="15" s="1" spans="1:11" x14ac:dyDescent="0.25">
      <c r="A15" s="1" t="s">
        <v>2</v>
      </c>
      <c r="B15" s="2">
        <v>0</v>
      </c>
      <c r="C15" s="2"/>
      <c r="D15" s="2"/>
      <c r="E15" s="2"/>
      <c r="F15" s="2"/>
      <c r="G15" s="2"/>
      <c r="H15" s="2"/>
      <c r="I15" s="2"/>
      <c r="J15" s="2"/>
      <c r="K15" s="2"/>
    </row>
    <row customFormat="1" r="16" s="1" spans="1:11" x14ac:dyDescent="0.25">
      <c r="A16" s="1" t="s">
        <v>3</v>
      </c>
      <c r="B16" s="2">
        <v>0</v>
      </c>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4158</v>
      </c>
      <c r="B18" s="1" t="s">
        <v>5</v>
      </c>
    </row>
    <row customFormat="1" r="19" s="1" spans="1:11" x14ac:dyDescent="0.25">
      <c r="A19" s="1" t="s">
        <v>4159</v>
      </c>
      <c r="B19" s="1" t="s">
        <v>5</v>
      </c>
    </row>
    <row customFormat="1" r="20" s="1" spans="1:11" x14ac:dyDescent="0.25">
      <c r="A20" s="1" t="s">
        <v>4160</v>
      </c>
      <c r="B20" s="1" t="s">
        <v>5</v>
      </c>
    </row>
    <row customFormat="1" r="21" s="1" spans="1:11" x14ac:dyDescent="0.25">
      <c r="A21" s="1" t="s">
        <v>7</v>
      </c>
    </row>
    <row customFormat="1" r="22" s="1" spans="1:11" x14ac:dyDescent="0.25">
      <c r="A22" s="37" t="s">
        <v>4150</v>
      </c>
      <c r="B22" s="1" t="s">
        <v>8</v>
      </c>
    </row>
    <row customFormat="1" r="23" s="1" spans="1:11" x14ac:dyDescent="0.25">
      <c r="A23" s="1" t="s">
        <v>1</v>
      </c>
    </row>
    <row customFormat="1" r="24" s="1" spans="1:11" x14ac:dyDescent="0.25">
      <c r="A24" s="1" t="s">
        <v>10</v>
      </c>
    </row>
    <row customFormat="1" r="25" s="1" spans="1:11" x14ac:dyDescent="0.25">
      <c r="A25" s="37" t="s">
        <v>4151</v>
      </c>
      <c r="B25" s="1" t="s">
        <v>11</v>
      </c>
    </row>
    <row customFormat="1" r="26" s="1" spans="1:11" x14ac:dyDescent="0.25">
      <c r="A26" s="38" t="s">
        <v>4152</v>
      </c>
      <c r="B26" s="1" t="str">
        <f>VLOOKUP(B27,Master!$BA:$BB,2,FALSE)</f>
        <v>COUNTRY001</v>
      </c>
    </row>
    <row customFormat="1" r="27" s="1" spans="1:11" x14ac:dyDescent="0.25">
      <c r="A27" s="36" t="s">
        <v>4153</v>
      </c>
      <c r="B27" s="2" t="s">
        <v>3572</v>
      </c>
      <c r="C27" s="2"/>
      <c r="D27" s="2"/>
      <c r="E27" s="2"/>
      <c r="F27" s="2"/>
      <c r="G27" s="2"/>
      <c r="H27" s="2"/>
      <c r="I27" s="2"/>
      <c r="J27" s="2"/>
      <c r="K27" s="2"/>
    </row>
    <row customFormat="1" r="28" s="1" spans="1:11" x14ac:dyDescent="0.25">
      <c r="A28" s="37" t="s">
        <v>4154</v>
      </c>
      <c r="B28" s="1" t="s">
        <v>4105</v>
      </c>
    </row>
    <row customFormat="1" r="29" s="1" spans="1:11" x14ac:dyDescent="0.25">
      <c r="A29" s="37" t="s">
        <v>4155</v>
      </c>
      <c r="B29" s="1" t="s">
        <v>4100</v>
      </c>
    </row>
    <row customFormat="1" r="30" s="1" spans="1:11" x14ac:dyDescent="0.25">
      <c r="A30" s="36" t="s">
        <v>4156</v>
      </c>
      <c r="B30" s="2"/>
      <c r="C30" s="2"/>
      <c r="D30" s="2"/>
      <c r="E30" s="2"/>
      <c r="F30" s="2"/>
      <c r="G30" s="2"/>
      <c r="H30" s="2"/>
      <c r="I30" s="2"/>
      <c r="J30" s="2"/>
      <c r="K30" s="2"/>
    </row>
  </sheetData>
  <conditionalFormatting sqref="A30:B30 H30:XFD30">
    <cfRule dxfId="100" priority="12" type="expression">
      <formula>A$19="No"</formula>
    </cfRule>
  </conditionalFormatting>
  <conditionalFormatting sqref="B26:B27 H26:XFD27">
    <cfRule dxfId="99" priority="11" type="expression">
      <formula>AND(B$25&lt;&gt;"Foreigner",B$25&lt;&gt;"",B$25&lt;&gt;"Nationality")</formula>
    </cfRule>
  </conditionalFormatting>
  <conditionalFormatting sqref="C30">
    <cfRule dxfId="98" priority="10" type="expression">
      <formula>C$19="No"</formula>
    </cfRule>
  </conditionalFormatting>
  <conditionalFormatting sqref="C26:C27">
    <cfRule dxfId="97" priority="9" type="expression">
      <formula>AND(C$25&lt;&gt;"Foreigner",C$25&lt;&gt;"",C$25&lt;&gt;"Nationality")</formula>
    </cfRule>
  </conditionalFormatting>
  <conditionalFormatting sqref="D30">
    <cfRule dxfId="96" priority="8" type="expression">
      <formula>D$19="No"</formula>
    </cfRule>
  </conditionalFormatting>
  <conditionalFormatting sqref="D26:D27">
    <cfRule dxfId="95" priority="7" type="expression">
      <formula>AND(D$25&lt;&gt;"Foreigner",D$25&lt;&gt;"",D$25&lt;&gt;"Nationality")</formula>
    </cfRule>
  </conditionalFormatting>
  <conditionalFormatting sqref="E30">
    <cfRule dxfId="94" priority="6" type="expression">
      <formula>E$19="No"</formula>
    </cfRule>
  </conditionalFormatting>
  <conditionalFormatting sqref="E26:E27">
    <cfRule dxfId="93" priority="5" type="expression">
      <formula>AND(E$25&lt;&gt;"Foreigner",E$25&lt;&gt;"",E$25&lt;&gt;"Nationality")</formula>
    </cfRule>
  </conditionalFormatting>
  <conditionalFormatting sqref="F30">
    <cfRule dxfId="92" priority="4" type="expression">
      <formula>F$19="No"</formula>
    </cfRule>
  </conditionalFormatting>
  <conditionalFormatting sqref="F26:F27">
    <cfRule dxfId="91" priority="3" type="expression">
      <formula>AND(F$25&lt;&gt;"Foreigner",F$25&lt;&gt;"",F$25&lt;&gt;"Nationality")</formula>
    </cfRule>
  </conditionalFormatting>
  <conditionalFormatting sqref="G30">
    <cfRule dxfId="90" priority="2" type="expression">
      <formula>G$19="No"</formula>
    </cfRule>
  </conditionalFormatting>
  <conditionalFormatting sqref="G26:G27">
    <cfRule dxfId="89" priority="1" type="expression">
      <formula>AND(G$25&lt;&gt;"Foreigner",G$25&lt;&gt;"",G$25&lt;&gt;"Nationality")</formula>
    </cfRule>
  </conditionalFormatting>
  <dataValidations count="15">
    <dataValidation allowBlank="1" showErrorMessage="1" showInputMessage="1" sqref="H29:K29" type="list">
      <formula1>"Buddha, Catholic, Christian, Hindu, Islam, Kong Hu Cu"</formula1>
    </dataValidation>
    <dataValidation allowBlank="1" showErrorMessage="1" showInputMessage="1" sqref="H28:K28" type="list">
      <formula1>"S1, S2, S3, SD, SMP, SMA"</formula1>
    </dataValidation>
    <dataValidation showErrorMessage="1" showInputMessage="1" sqref="B21:K21"/>
    <dataValidation showErrorMessage="1" showInputMessage="1" sqref="H18:K20" type="list">
      <formula1>"Yes, No"</formula1>
    </dataValidation>
    <dataValidation showErrorMessage="1" showInputMessage="1" sqref="H25:K25" type="list">
      <formula1>"Local, Foreigner"</formula1>
    </dataValidation>
    <dataValidation showErrorMessage="1" showInputMessage="1" sqref="H22:K22" type="list">
      <formula1>"Mr, Mrs, Ms"</formula1>
    </dataValidation>
    <dataValidation allowBlank="1" showErrorMessage="1" showInputMessage="1" sqref="B26:G26" type="custom">
      <formula1>B$25="Foreigner"</formula1>
    </dataValidation>
    <dataValidation allowBlank="1" showErrorMessage="1" showInputMessage="1" sqref="B30:G30" type="custom">
      <formula1>B$19="Yes"</formula1>
    </dataValidation>
    <dataValidation allowBlank="1" showErrorMessage="1" showInputMessage="1" sqref="B15:G16" type="whole">
      <formula1>0</formula1>
      <formula2>9.99999999999999E+26</formula2>
    </dataValidation>
    <dataValidation allowBlank="1" showErrorMessage="1" showInputMessage="1" sqref="B27:G27" type="list">
      <formula1>IF(B$25="Foreigner",ListCountry)</formula1>
    </dataValidation>
    <dataValidation errorStyle="information" showErrorMessage="1" showInputMessage="1" sqref="B18:G20" type="list">
      <formula1>"Yes, No"</formula1>
    </dataValidation>
    <dataValidation allowBlank="1" errorStyle="information" showErrorMessage="1" showInputMessage="1" sqref="B22:G22" type="list">
      <formula1>"Mr, Mrs, Ms"</formula1>
    </dataValidation>
    <dataValidation allowBlank="1" errorStyle="information" showErrorMessage="1" showInputMessage="1" sqref="B25:G25" type="list">
      <formula1>"Local, Foreigner"</formula1>
    </dataValidation>
    <dataValidation allowBlank="1" errorStyle="information" showErrorMessage="1" showInputMessage="1" sqref="B28:G28" type="list">
      <formula1>"S1, S2, S3, SD, SMP, SMA, D3"</formula1>
    </dataValidation>
    <dataValidation allowBlank="1" errorStyle="information" showErrorMessage="1" showInputMessage="1" sqref="B29:G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0" sqref="B10"/>
    </sheetView>
  </sheetViews>
  <sheetFormatPr defaultRowHeight="15" x14ac:dyDescent="0.25"/>
  <cols>
    <col min="1" max="1" bestFit="true" customWidth="true" width="18.28515625" collapsed="true"/>
    <col min="2" max="7" bestFit="true" customWidth="true" width="23.140625" collapsed="true"/>
  </cols>
  <sheetData>
    <row customFormat="1" r="1" s="1" spans="1:11" x14ac:dyDescent="0.25">
      <c r="A1" s="1" t="s">
        <v>12</v>
      </c>
      <c r="B1" t="s">
        <v>3283</v>
      </c>
      <c r="C1"/>
    </row>
    <row customFormat="1" r="2" s="1" spans="1:11" x14ac:dyDescent="0.25">
      <c r="A2" s="1" t="s">
        <v>4144</v>
      </c>
      <c r="B2" s="1" t="s">
        <v>4235</v>
      </c>
    </row>
    <row customFormat="1" r="3" s="1" spans="1:11" x14ac:dyDescent="0.25">
      <c r="A3" s="1" t="s">
        <v>4145</v>
      </c>
      <c r="B3" s="1" t="str">
        <f>'1.CustomerDetail'!B3</f>
        <v>LOS-011</v>
      </c>
    </row>
    <row customFormat="1" r="4" s="1" spans="1:11" x14ac:dyDescent="0.25">
      <c r="A4" s="1" t="s">
        <v>4157</v>
      </c>
      <c r="B4" s="1">
        <f ref="B4" si="0" t="shared">IF(B13="",COUNTIFS($A$12:$A$32, "*$*",B12:B32,""),0)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3558</v>
      </c>
      <c r="B9" s="1" t="str">
        <f>'1.CustomerDetail'!B12</f>
        <v>0002APP20221206283</v>
      </c>
    </row>
    <row customFormat="1" r="10" s="1" spans="1:11" x14ac:dyDescent="0.25">
      <c r="A10" s="1" t="s">
        <v>4216</v>
      </c>
      <c r="B10" s="1" t="str">
        <f>'1.CustomerDetail'!B13</f>
        <v>-</v>
      </c>
    </row>
    <row customFormat="1" r="11" s="53" spans="1:11" x14ac:dyDescent="0.25">
      <c r="B11" s="54"/>
      <c r="C11" s="54"/>
    </row>
    <row customFormat="1" r="12" s="1" spans="1:11" x14ac:dyDescent="0.25">
      <c r="A12" s="37" t="s">
        <v>4161</v>
      </c>
      <c r="B12" s="1" t="s">
        <v>13</v>
      </c>
    </row>
    <row customFormat="1" r="13" s="1" spans="1:11" x14ac:dyDescent="0.25">
      <c r="A13" s="1" t="s">
        <v>14</v>
      </c>
    </row>
    <row customFormat="1" r="14" s="1" spans="1:11" x14ac:dyDescent="0.25">
      <c r="A14" s="37" t="s">
        <v>4162</v>
      </c>
      <c r="B14" s="1" t="s">
        <v>16</v>
      </c>
    </row>
    <row customFormat="1" r="15" s="1" spans="1:11" x14ac:dyDescent="0.25">
      <c r="A15" s="37" t="s">
        <v>4163</v>
      </c>
      <c r="B15" s="2">
        <v>23</v>
      </c>
      <c r="C15" s="2"/>
      <c r="D15" s="2"/>
      <c r="E15" s="2"/>
      <c r="F15" s="2"/>
      <c r="G15" s="2"/>
      <c r="H15" s="2"/>
      <c r="I15" s="2"/>
      <c r="J15" s="2"/>
      <c r="K15" s="2"/>
    </row>
    <row customFormat="1" r="16" s="1" spans="1:11" x14ac:dyDescent="0.25">
      <c r="A16" s="37" t="s">
        <v>4164</v>
      </c>
      <c r="B16" s="2">
        <v>12</v>
      </c>
      <c r="C16" s="2"/>
      <c r="D16" s="2"/>
      <c r="E16" s="2"/>
      <c r="F16" s="2"/>
      <c r="G16" s="2"/>
      <c r="H16" s="2"/>
      <c r="I16" s="2"/>
      <c r="J16" s="2"/>
      <c r="K16" s="2"/>
    </row>
    <row customFormat="1" r="17" s="1" spans="1:11" x14ac:dyDescent="0.25">
      <c r="A17" s="37" t="s">
        <v>4165</v>
      </c>
      <c r="B17" s="2">
        <v>11530</v>
      </c>
      <c r="C17" s="2"/>
      <c r="D17" s="2"/>
      <c r="E17" s="2"/>
      <c r="F17" s="2"/>
      <c r="G17" s="2"/>
      <c r="H17" s="2"/>
      <c r="I17" s="2"/>
      <c r="J17" s="2"/>
      <c r="K17" s="2"/>
    </row>
    <row customFormat="1" r="18" s="1" spans="1:11" x14ac:dyDescent="0.25">
      <c r="A18" s="37" t="s">
        <v>4166</v>
      </c>
      <c r="B18" s="1" t="s">
        <v>21</v>
      </c>
    </row>
    <row customFormat="1" r="19" s="1" spans="1:11" x14ac:dyDescent="0.25">
      <c r="A19" s="37" t="s">
        <v>4167</v>
      </c>
      <c r="B19" s="1" t="s">
        <v>21</v>
      </c>
    </row>
    <row customFormat="1" r="20" s="1" spans="1:11" x14ac:dyDescent="0.25">
      <c r="A20" s="37" t="s">
        <v>4168</v>
      </c>
      <c r="B20" s="1" t="s">
        <v>248</v>
      </c>
    </row>
    <row customFormat="1" r="21" s="1" spans="1:11" x14ac:dyDescent="0.25">
      <c r="A21" s="37" t="s">
        <v>4169</v>
      </c>
      <c r="B21" s="2">
        <v>312</v>
      </c>
      <c r="C21" s="2"/>
      <c r="D21" s="2"/>
      <c r="E21" s="2"/>
      <c r="F21" s="2"/>
      <c r="G21" s="2"/>
      <c r="H21" s="2"/>
      <c r="I21" s="2"/>
      <c r="J21" s="2"/>
      <c r="K21" s="2"/>
    </row>
    <row customFormat="1" r="22" s="1" spans="1:11" x14ac:dyDescent="0.25">
      <c r="A22" s="37" t="s">
        <v>4170</v>
      </c>
      <c r="B22" s="2">
        <v>123123</v>
      </c>
      <c r="C22" s="2"/>
      <c r="D22" s="2"/>
      <c r="E22" s="2"/>
      <c r="F22" s="2"/>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4171</v>
      </c>
      <c r="B32" s="1" t="s">
        <v>2996</v>
      </c>
    </row>
  </sheetData>
  <conditionalFormatting sqref="B14:D20 H14:XFD20">
    <cfRule dxfId="88" priority="5" type="expression">
      <formula>AND(B$13&lt;&gt;"",B$13&lt;&gt;"Copy Address From")</formula>
    </cfRule>
  </conditionalFormatting>
  <conditionalFormatting sqref="A14:A20">
    <cfRule dxfId="87" priority="4" type="expression">
      <formula>AND(A$13&lt;&gt;"",A$13&lt;&gt;"Copy Address From")</formula>
    </cfRule>
  </conditionalFormatting>
  <conditionalFormatting sqref="E14:E20">
    <cfRule dxfId="86" priority="3" type="expression">
      <formula>AND(E$13&lt;&gt;"",E$13&lt;&gt;"Copy Address From")</formula>
    </cfRule>
  </conditionalFormatting>
  <conditionalFormatting sqref="F14:F20">
    <cfRule dxfId="85" priority="2" type="expression">
      <formula>AND(F$13&lt;&gt;"",F$13&lt;&gt;"Copy Address From")</formula>
    </cfRule>
  </conditionalFormatting>
  <conditionalFormatting sqref="G14:G20">
    <cfRule dxfId="84" priority="1" type="expression">
      <formula>AND(G$13&lt;&gt;"",G$13&lt;&gt;"Copy Address From")</formula>
    </cfRule>
  </conditionalFormatting>
  <dataValidations count="6">
    <dataValidation showErrorMessage="1" showInputMessage="1" sqref="H32:K32" type="list">
      <formula1>"Dinas, Family, KPR, Rented, Self - Owned"</formula1>
    </dataValidation>
    <dataValidation showErrorMessage="1" showInputMessage="1" sqref="H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G20" type="custom">
      <formula1>ISBLANK(B$13)</formula1>
    </dataValidation>
    <dataValidation errorStyle="information" showErrorMessage="1" showInputMessage="1" sqref="B12:G12" type="list">
      <formula1>"Legal, Mailing, Residence, Residence 2"</formula1>
    </dataValidation>
    <dataValidation errorStyle="information" showErrorMessage="1" showInputMessage="1" sqref="B32:G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H13</xm:sqref>
        </x14:dataValidation>
        <x14:dataValidation allowBlank="1" errorStyle="information" showErrorMessage="1" showInputMessage="1" type="list">
          <x14:formula1>
            <xm:f>Master!$BE$2:$BE$20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2" sqref="C12"/>
    </sheetView>
  </sheetViews>
  <sheetFormatPr defaultRowHeight="15" x14ac:dyDescent="0.25"/>
  <cols>
    <col min="1" max="1" bestFit="true" customWidth="true" width="39.28515625" collapsed="true"/>
    <col min="2" max="7" bestFit="true" customWidth="true" width="42.140625" collapsed="true"/>
  </cols>
  <sheetData>
    <row customFormat="1" r="1" s="1" spans="1:11" x14ac:dyDescent="0.25">
      <c r="A1" s="1" t="s">
        <v>12</v>
      </c>
      <c r="B1" s="1" t="s">
        <v>3283</v>
      </c>
      <c r="C1" s="1" t="s">
        <v>3283</v>
      </c>
      <c r="D1" s="1" t="s">
        <v>3283</v>
      </c>
      <c r="E1" s="1" t="s">
        <v>3283</v>
      </c>
      <c r="F1" s="1" t="s">
        <v>3283</v>
      </c>
      <c r="G1" s="1" t="s">
        <v>3283</v>
      </c>
    </row>
    <row customFormat="1" r="2" s="1" spans="1:11" x14ac:dyDescent="0.25">
      <c r="A2" s="1" t="s">
        <v>4144</v>
      </c>
      <c r="B2" s="1" t="s">
        <v>4235</v>
      </c>
      <c r="C2" s="1" t="s">
        <v>4235</v>
      </c>
      <c r="D2" s="1" t="s">
        <v>4235</v>
      </c>
      <c r="E2" s="1" t="s">
        <v>4235</v>
      </c>
      <c r="F2" s="1"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 si="0" t="shared">IF(B12="Employee",COUNTIFS($A$14:$A$26,"*$*",B14:B26,"")+COUNTIFS($A$55:$A$61,"*$*",B55:B61,""),IF(B12="Professional",COUNTIFS($A$28:$A$36,"*$*",B28:B36,"")+COUNTIFS($A$55:$A$61,"*$*",B55:B61,""),IF(B12="Non Professional",COUNTIFS($A$38:$A$40,"*$*",B38:B40,"")+COUNTIFS($A$55:$A$61,"*$*",B55:B61,""),IF(B12="Employee",COUNTIFS($A$42:$A$53,"*$*",B42:B53,"")+COUNTIFS($A$55:$A$61,"*$*",B55:B61,"")))))</f>
        <v>0</v>
      </c>
      <c r="C4" s="1">
        <f ref="C4" si="1" t="shared">IF(C12="Employee",COUNTIFS($A$14:$A$26,"*$*",C14:C26,"")+COUNTIFS($A$55:$A$61,"*$*",C55:C61,""),IF(C12="Professional",COUNTIFS($A$28:$A$36,"*$*",C28:C36,"")+COUNTIFS($A$55:$A$61,"*$*",C55:C61,""),IF(C12="Non Professional",COUNTIFS($A$38:$A$40,"*$*",C38:C40,"")+COUNTIFS($A$55:$A$61,"*$*",C55:C61,""),IF(C12="Employee",COUNTIFS($A$42:$A$53,"*$*",C42:C53,"")+COUNTIFS($A$55:$A$61,"*$*",C55:C61,"")))))</f>
        <v>0</v>
      </c>
      <c r="D4" s="1">
        <f ref="D4:G4" si="2" t="shared">IF(D12="Employee",COUNTIFS($A$14:$A$26,"*$*",D14:D26,"")+COUNTIFS($A$55:$A$61,"*$*",D55:D61,""),IF(D12="Professional",COUNTIFS($A$28:$A$36,"*$*",D28:D36,"")+COUNTIFS($A$55:$A$61,"*$*",D55:D61,""),IF(D12="Non Professional",COUNTIFS($A$38:$A$40,"*$*",D38:D40,"")+COUNTIFS($A$55:$A$61,"*$*",D55:D61,""),IF(D12="Employee",COUNTIFS($A$42:$A$53,"*$*",D42:D53,"")+COUNTIFS($A$55:$A$61,"*$*",D55:D61,"")))))</f>
        <v>0</v>
      </c>
      <c r="E4" s="1">
        <f si="2" t="shared"/>
        <v>0</v>
      </c>
      <c r="F4" s="1">
        <f si="2" t="shared"/>
        <v>0</v>
      </c>
      <c r="G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6" spans="1:11" x14ac:dyDescent="0.25">
      <c r="A11" s="63" t="s">
        <v>4215</v>
      </c>
      <c r="B11" s="64"/>
      <c r="C11" s="64"/>
      <c r="D11" s="64"/>
      <c r="E11" s="64"/>
      <c r="F11" s="64"/>
      <c r="G11" s="64"/>
      <c r="H11" s="64"/>
      <c r="I11" s="64"/>
      <c r="J11" s="64"/>
      <c r="K11" s="65"/>
    </row>
    <row customFormat="1" r="12" s="1" spans="1:11" x14ac:dyDescent="0.25">
      <c r="A12" s="1" t="s">
        <v>4215</v>
      </c>
      <c r="B12" s="1" t="s">
        <v>4214</v>
      </c>
      <c r="C12" s="1" t="s">
        <v>4214</v>
      </c>
      <c r="D12" s="1" t="s">
        <v>4214</v>
      </c>
      <c r="E12" s="1" t="s">
        <v>4214</v>
      </c>
      <c r="F12" s="1" t="s">
        <v>4214</v>
      </c>
      <c r="G12" s="1" t="s">
        <v>4214</v>
      </c>
    </row>
    <row customFormat="1" r="13" s="66" spans="1:11" x14ac:dyDescent="0.25">
      <c r="A13" s="63" t="s">
        <v>3559</v>
      </c>
      <c r="B13" s="64"/>
      <c r="C13" s="64"/>
      <c r="D13" s="64"/>
      <c r="E13" s="64"/>
      <c r="F13" s="64"/>
      <c r="G13" s="64"/>
      <c r="H13" s="64"/>
      <c r="I13" s="64"/>
      <c r="J13" s="64"/>
      <c r="K13" s="65"/>
    </row>
    <row customFormat="1" r="14" s="1" spans="1:1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c r="I14" s="3"/>
      <c r="J14" s="3"/>
      <c r="K14" s="3"/>
    </row>
    <row customFormat="1" r="15" s="1" spans="1:11" x14ac:dyDescent="0.25">
      <c r="A15" s="37" t="s">
        <v>4206</v>
      </c>
      <c r="B15" s="3" t="s">
        <v>61</v>
      </c>
      <c r="C15" s="3" t="s">
        <v>61</v>
      </c>
      <c r="D15" s="3" t="s">
        <v>61</v>
      </c>
      <c r="E15" s="3" t="s">
        <v>61</v>
      </c>
      <c r="F15" s="3" t="s">
        <v>61</v>
      </c>
      <c r="G15" s="3" t="s">
        <v>61</v>
      </c>
      <c r="H15" s="3"/>
      <c r="I15" s="3"/>
      <c r="J15" s="3"/>
      <c r="K15" s="3"/>
    </row>
    <row customFormat="1" r="16" s="1" spans="1:11" x14ac:dyDescent="0.25">
      <c r="A16" s="37" t="s">
        <v>4207</v>
      </c>
      <c r="B16" s="3" t="s">
        <v>261</v>
      </c>
      <c r="C16" s="3" t="s">
        <v>261</v>
      </c>
      <c r="D16" s="3" t="s">
        <v>261</v>
      </c>
      <c r="E16" s="3" t="s">
        <v>261</v>
      </c>
      <c r="F16" s="3" t="s">
        <v>261</v>
      </c>
      <c r="G16" s="3" t="s">
        <v>261</v>
      </c>
      <c r="H16" s="3"/>
      <c r="I16" s="3"/>
      <c r="J16" s="3"/>
      <c r="K16" s="3"/>
    </row>
    <row customFormat="1" r="17" s="1" spans="1:11" x14ac:dyDescent="0.25">
      <c r="A17" s="37" t="s">
        <v>4208</v>
      </c>
      <c r="B17" s="3" t="s">
        <v>32</v>
      </c>
      <c r="C17" s="3" t="s">
        <v>32</v>
      </c>
      <c r="D17" s="3" t="s">
        <v>32</v>
      </c>
      <c r="E17" s="3" t="s">
        <v>32</v>
      </c>
      <c r="F17" s="3" t="s">
        <v>32</v>
      </c>
      <c r="G17" s="3" t="s">
        <v>32</v>
      </c>
      <c r="H17" s="3"/>
      <c r="I17" s="3"/>
      <c r="J17" s="3"/>
      <c r="K17" s="3"/>
    </row>
    <row customFormat="1" r="18" s="1" spans="1:11" x14ac:dyDescent="0.25">
      <c r="A18" s="1" t="s">
        <v>33</v>
      </c>
      <c r="B18" s="1" t="s">
        <v>6</v>
      </c>
      <c r="C18" s="1" t="s">
        <v>6</v>
      </c>
      <c r="D18" s="1" t="s">
        <v>6</v>
      </c>
      <c r="E18" s="1" t="s">
        <v>6</v>
      </c>
      <c r="F18" s="1" t="s">
        <v>6</v>
      </c>
      <c r="G18" s="1" t="s">
        <v>6</v>
      </c>
    </row>
    <row customFormat="1" r="19" s="1" spans="1:11" x14ac:dyDescent="0.25">
      <c r="A19" s="1" t="s">
        <v>34</v>
      </c>
      <c r="B19" s="1" t="s">
        <v>5</v>
      </c>
      <c r="C19" s="1" t="s">
        <v>5</v>
      </c>
      <c r="D19" s="1" t="s">
        <v>5</v>
      </c>
      <c r="E19" s="1" t="s">
        <v>5</v>
      </c>
      <c r="F19" s="1" t="s">
        <v>5</v>
      </c>
      <c r="G19" s="1" t="s">
        <v>5</v>
      </c>
    </row>
    <row customFormat="1" r="20" s="1" spans="1:11" x14ac:dyDescent="0.25">
      <c r="A20" s="37" t="s">
        <v>4209</v>
      </c>
      <c r="B20" s="1" t="s">
        <v>35</v>
      </c>
      <c r="C20" s="1" t="s">
        <v>35</v>
      </c>
      <c r="D20" s="1" t="s">
        <v>35</v>
      </c>
      <c r="E20" s="1" t="s">
        <v>35</v>
      </c>
      <c r="F20" s="1" t="s">
        <v>35</v>
      </c>
      <c r="G20" s="1" t="s">
        <v>35</v>
      </c>
    </row>
    <row customFormat="1" r="21" s="1" spans="1:11" x14ac:dyDescent="0.25">
      <c r="A21" s="38" t="s">
        <v>4210</v>
      </c>
      <c r="B21" s="1" t="str">
        <f>VLOOKUP(B22,Master!$AW:$AX,2,FALSE)</f>
        <v>1141</v>
      </c>
      <c r="C21" s="1" t="str">
        <f>VLOOKUP(C22,Master!$AW:$AX,2,FALSE)</f>
        <v>1141</v>
      </c>
      <c r="D21" s="1" t="str">
        <f>VLOOKUP(D22,Master!$AW:$AX,2,FALSE)</f>
        <v>1141</v>
      </c>
      <c r="E21" s="1" t="str">
        <f>VLOOKUP(E22,Master!$AW:$AX,2,FALSE)</f>
        <v>1141</v>
      </c>
      <c r="F21" s="1" t="str">
        <f>VLOOKUP(F22,Master!$AW:$AX,2,FALSE)</f>
        <v>1141</v>
      </c>
      <c r="G21" s="1" t="str">
        <f>VLOOKUP(G22,Master!$AW:$AX,2,FALSE)</f>
        <v>1141</v>
      </c>
    </row>
    <row customFormat="1" r="22" s="1" spans="1:11" x14ac:dyDescent="0.25">
      <c r="A22" s="37" t="s">
        <v>4211</v>
      </c>
      <c r="B22" s="1" t="s">
        <v>3020</v>
      </c>
      <c r="C22" s="1" t="s">
        <v>3020</v>
      </c>
      <c r="D22" s="1" t="s">
        <v>3020</v>
      </c>
      <c r="E22" s="1" t="s">
        <v>3020</v>
      </c>
      <c r="F22" s="1" t="s">
        <v>3020</v>
      </c>
      <c r="G22" s="1" t="s">
        <v>3020</v>
      </c>
    </row>
    <row customFormat="1" r="23" s="1" spans="1:11" x14ac:dyDescent="0.25">
      <c r="A23" s="1" t="s">
        <v>36</v>
      </c>
    </row>
    <row customFormat="1" r="24" s="1" spans="1:11" x14ac:dyDescent="0.25">
      <c r="A24" s="37" t="s">
        <v>4212</v>
      </c>
      <c r="B24" s="41">
        <v>43958</v>
      </c>
      <c r="C24" s="41">
        <v>43958</v>
      </c>
      <c r="D24" s="41">
        <v>43958</v>
      </c>
      <c r="E24" s="41">
        <v>43958</v>
      </c>
      <c r="F24" s="41">
        <v>43958</v>
      </c>
      <c r="G24" s="41">
        <v>43958</v>
      </c>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v>0</v>
      </c>
      <c r="C26" s="2">
        <v>0</v>
      </c>
      <c r="D26" s="2">
        <v>0</v>
      </c>
      <c r="E26" s="2">
        <v>0</v>
      </c>
      <c r="F26" s="2">
        <v>0</v>
      </c>
      <c r="G26" s="2">
        <v>0</v>
      </c>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c r="G28" s="3" t="str">
        <f>VLOOKUP(G29,Master!$A$1:$B$100,2,FALSE)</f>
        <v>ARCHT</v>
      </c>
    </row>
    <row customFormat="1" r="29" s="1" spans="1:11" x14ac:dyDescent="0.25">
      <c r="A29" s="1" t="s">
        <v>60</v>
      </c>
      <c r="B29" s="3" t="s">
        <v>205</v>
      </c>
      <c r="C29" s="3" t="s">
        <v>205</v>
      </c>
      <c r="D29" s="3" t="s">
        <v>205</v>
      </c>
      <c r="E29" s="3" t="s">
        <v>205</v>
      </c>
      <c r="F29" s="3" t="s">
        <v>205</v>
      </c>
      <c r="G29" s="3" t="s">
        <v>205</v>
      </c>
    </row>
    <row customFormat="1" r="30" s="1" spans="1:11" x14ac:dyDescent="0.25">
      <c r="A30" s="1" t="s">
        <v>34</v>
      </c>
      <c r="B30" s="1" t="s">
        <v>5</v>
      </c>
      <c r="C30" s="1" t="s">
        <v>5</v>
      </c>
      <c r="D30" s="1" t="s">
        <v>5</v>
      </c>
      <c r="E30" s="1" t="s">
        <v>5</v>
      </c>
      <c r="F30" s="1" t="s">
        <v>5</v>
      </c>
      <c r="G30" s="1" t="s">
        <v>5</v>
      </c>
    </row>
    <row customFormat="1" r="31" s="1" spans="1:11" x14ac:dyDescent="0.25">
      <c r="A31" s="1" t="s">
        <v>240</v>
      </c>
      <c r="B31" s="1" t="s">
        <v>4061</v>
      </c>
      <c r="C31" s="1" t="s">
        <v>4061</v>
      </c>
      <c r="D31" s="1" t="s">
        <v>4061</v>
      </c>
      <c r="E31" s="1" t="s">
        <v>4061</v>
      </c>
      <c r="F31" s="1" t="s">
        <v>4061</v>
      </c>
      <c r="G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row>
    <row customFormat="1" r="33" s="1" spans="1:7" x14ac:dyDescent="0.25">
      <c r="A33" s="1" t="s">
        <v>4065</v>
      </c>
      <c r="B33" s="1" t="s">
        <v>4066</v>
      </c>
      <c r="C33" s="1" t="s">
        <v>4066</v>
      </c>
      <c r="D33" s="1" t="s">
        <v>4066</v>
      </c>
      <c r="E33" s="1" t="s">
        <v>4066</v>
      </c>
      <c r="F33" s="1" t="s">
        <v>4066</v>
      </c>
      <c r="G33" s="1" t="s">
        <v>4066</v>
      </c>
    </row>
    <row customFormat="1" r="34" s="1" spans="1:7" x14ac:dyDescent="0.25">
      <c r="A34" s="1" t="s">
        <v>4067</v>
      </c>
      <c r="B34" s="1">
        <v>1823612694</v>
      </c>
      <c r="C34" s="1">
        <v>1823612694</v>
      </c>
      <c r="D34" s="1">
        <v>1823612694</v>
      </c>
      <c r="E34" s="1">
        <v>1823612694</v>
      </c>
      <c r="F34" s="1">
        <v>1823612694</v>
      </c>
      <c r="G34" s="1">
        <v>1823612694</v>
      </c>
    </row>
    <row customFormat="1" r="35" s="1" spans="1:7" x14ac:dyDescent="0.25">
      <c r="A35" s="1" t="s">
        <v>4068</v>
      </c>
      <c r="B35" s="42">
        <v>44443</v>
      </c>
      <c r="C35" s="42">
        <v>44443</v>
      </c>
      <c r="D35" s="42">
        <v>44443</v>
      </c>
      <c r="E35" s="42">
        <v>44443</v>
      </c>
      <c r="F35" s="42">
        <v>44443</v>
      </c>
      <c r="G35" s="42">
        <v>44443</v>
      </c>
    </row>
    <row customFormat="1" r="36" s="1" spans="1:7" x14ac:dyDescent="0.25">
      <c r="A36" s="1" t="s">
        <v>241</v>
      </c>
      <c r="B36" s="1" t="s">
        <v>269</v>
      </c>
      <c r="C36" s="1" t="s">
        <v>269</v>
      </c>
      <c r="D36" s="1" t="s">
        <v>269</v>
      </c>
      <c r="E36" s="1" t="s">
        <v>269</v>
      </c>
      <c r="F36" s="1" t="s">
        <v>269</v>
      </c>
      <c r="G36" s="1" t="s">
        <v>269</v>
      </c>
    </row>
    <row customFormat="1" r="37" s="57" spans="1:7" x14ac:dyDescent="0.25">
      <c r="A37" s="57" t="s">
        <v>4069</v>
      </c>
    </row>
    <row customFormat="1" r="38" s="1" spans="1:7"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row>
    <row customFormat="1" r="39" s="1" spans="1:7" x14ac:dyDescent="0.25">
      <c r="A39" s="1" t="s">
        <v>4206</v>
      </c>
      <c r="B39" s="3" t="s">
        <v>4070</v>
      </c>
      <c r="C39" s="3" t="s">
        <v>4070</v>
      </c>
      <c r="D39" s="3" t="s">
        <v>4070</v>
      </c>
      <c r="E39" s="3" t="s">
        <v>4070</v>
      </c>
      <c r="F39" s="3" t="s">
        <v>4070</v>
      </c>
      <c r="G39" s="3" t="s">
        <v>4070</v>
      </c>
    </row>
    <row customFormat="1" r="40" s="1" spans="1:7" x14ac:dyDescent="0.25">
      <c r="A40" s="1" t="s">
        <v>4213</v>
      </c>
      <c r="B40" s="1" t="s">
        <v>4099</v>
      </c>
      <c r="C40" s="1" t="s">
        <v>4099</v>
      </c>
      <c r="D40" s="1" t="s">
        <v>4099</v>
      </c>
      <c r="E40" s="1" t="s">
        <v>4099</v>
      </c>
      <c r="F40" s="1" t="s">
        <v>4099</v>
      </c>
      <c r="G40" s="1" t="s">
        <v>4099</v>
      </c>
    </row>
    <row customFormat="1" r="41" s="57" spans="1:7" x14ac:dyDescent="0.25">
      <c r="A41" s="57" t="s">
        <v>4071</v>
      </c>
    </row>
    <row customFormat="1" r="42" s="1" spans="1:7"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row>
    <row customFormat="1" r="43" s="1" spans="1:7" x14ac:dyDescent="0.25">
      <c r="A43" s="1" t="s">
        <v>60</v>
      </c>
      <c r="B43" s="3" t="s">
        <v>231</v>
      </c>
      <c r="C43" s="3" t="s">
        <v>231</v>
      </c>
      <c r="D43" s="3" t="s">
        <v>231</v>
      </c>
      <c r="E43" s="3" t="s">
        <v>231</v>
      </c>
      <c r="F43" s="3" t="s">
        <v>231</v>
      </c>
      <c r="G43" s="3" t="s">
        <v>231</v>
      </c>
    </row>
    <row customFormat="1" r="44" s="1" spans="1:7" x14ac:dyDescent="0.25">
      <c r="A44" s="1" t="s">
        <v>29</v>
      </c>
      <c r="B44" s="3" t="s">
        <v>270</v>
      </c>
      <c r="C44" s="3" t="s">
        <v>270</v>
      </c>
      <c r="D44" s="3" t="s">
        <v>270</v>
      </c>
      <c r="E44" s="3" t="s">
        <v>270</v>
      </c>
      <c r="F44" s="3" t="s">
        <v>270</v>
      </c>
      <c r="G44" s="3" t="s">
        <v>270</v>
      </c>
    </row>
    <row customFormat="1" r="45" s="1" spans="1:7" x14ac:dyDescent="0.25">
      <c r="A45" s="1" t="s">
        <v>34</v>
      </c>
      <c r="B45" s="1" t="s">
        <v>5</v>
      </c>
      <c r="C45" s="1" t="s">
        <v>5</v>
      </c>
      <c r="D45" s="1" t="s">
        <v>5</v>
      </c>
      <c r="E45" s="1" t="s">
        <v>5</v>
      </c>
      <c r="F45" s="1" t="s">
        <v>5</v>
      </c>
      <c r="G45" s="1" t="s">
        <v>5</v>
      </c>
    </row>
    <row customFormat="1" r="46" s="1" spans="1:7" x14ac:dyDescent="0.25">
      <c r="A46" s="1" t="s">
        <v>240</v>
      </c>
      <c r="B46" s="1" t="s">
        <v>4072</v>
      </c>
      <c r="C46" s="1" t="s">
        <v>4072</v>
      </c>
      <c r="D46" s="1" t="s">
        <v>4072</v>
      </c>
      <c r="E46" s="1" t="s">
        <v>4072</v>
      </c>
      <c r="F46" s="1" t="s">
        <v>4072</v>
      </c>
      <c r="G46" s="1" t="s">
        <v>4072</v>
      </c>
    </row>
    <row customFormat="1" r="47" s="1" spans="1:7"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row>
    <row customFormat="1" r="48" s="1" spans="1:7" x14ac:dyDescent="0.25">
      <c r="A48" s="1" t="s">
        <v>4065</v>
      </c>
      <c r="B48" s="1" t="s">
        <v>3322</v>
      </c>
      <c r="C48" s="1" t="s">
        <v>3322</v>
      </c>
      <c r="D48" s="1" t="s">
        <v>3322</v>
      </c>
      <c r="E48" s="1" t="s">
        <v>3322</v>
      </c>
      <c r="F48" s="1" t="s">
        <v>3322</v>
      </c>
      <c r="G48" s="1" t="s">
        <v>3322</v>
      </c>
    </row>
    <row customFormat="1" r="49" s="1" spans="1:11" x14ac:dyDescent="0.25">
      <c r="A49" s="1" t="s">
        <v>4073</v>
      </c>
      <c r="B49" s="1" t="s">
        <v>37</v>
      </c>
      <c r="C49" s="1" t="s">
        <v>37</v>
      </c>
      <c r="D49" s="1" t="s">
        <v>37</v>
      </c>
      <c r="E49" s="1" t="s">
        <v>37</v>
      </c>
      <c r="F49" s="1" t="s">
        <v>37</v>
      </c>
      <c r="G49" s="1" t="s">
        <v>37</v>
      </c>
    </row>
    <row customFormat="1" r="50" s="1" spans="1:11" x14ac:dyDescent="0.25">
      <c r="A50" s="1" t="s">
        <v>4074</v>
      </c>
      <c r="B50" s="41">
        <v>43958</v>
      </c>
      <c r="C50" s="41">
        <v>43958</v>
      </c>
      <c r="D50" s="41">
        <v>43958</v>
      </c>
      <c r="E50" s="41">
        <v>43958</v>
      </c>
      <c r="F50" s="41">
        <v>43958</v>
      </c>
      <c r="G50" s="41">
        <v>43958</v>
      </c>
    </row>
    <row customFormat="1" r="51" s="1" spans="1:11" x14ac:dyDescent="0.25">
      <c r="A51" s="1" t="s">
        <v>241</v>
      </c>
      <c r="B51" s="2" t="s">
        <v>31</v>
      </c>
      <c r="C51" s="2" t="s">
        <v>31</v>
      </c>
      <c r="D51" s="2" t="s">
        <v>31</v>
      </c>
      <c r="E51" s="2" t="s">
        <v>31</v>
      </c>
      <c r="F51" s="2" t="s">
        <v>31</v>
      </c>
      <c r="G51" s="2" t="s">
        <v>31</v>
      </c>
    </row>
    <row customFormat="1" r="52" s="1" spans="1:11" x14ac:dyDescent="0.25">
      <c r="A52" s="1" t="s">
        <v>38</v>
      </c>
      <c r="B52" s="2">
        <v>101</v>
      </c>
      <c r="C52" s="2">
        <v>101</v>
      </c>
      <c r="D52" s="2">
        <v>101</v>
      </c>
      <c r="E52" s="2">
        <v>101</v>
      </c>
      <c r="F52" s="2">
        <v>101</v>
      </c>
      <c r="G52" s="2">
        <v>101</v>
      </c>
    </row>
    <row customFormat="1" r="53" s="1" spans="1:11" x14ac:dyDescent="0.25">
      <c r="A53" s="1" t="s">
        <v>4075</v>
      </c>
      <c r="B53" s="1" t="s">
        <v>4076</v>
      </c>
      <c r="C53" s="1" t="s">
        <v>4076</v>
      </c>
      <c r="D53" s="1" t="s">
        <v>4076</v>
      </c>
      <c r="E53" s="1" t="s">
        <v>4076</v>
      </c>
      <c r="F53" s="1" t="s">
        <v>4076</v>
      </c>
      <c r="G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4162</v>
      </c>
      <c r="B55" s="1" t="s">
        <v>4146</v>
      </c>
      <c r="C55" s="1" t="s">
        <v>4146</v>
      </c>
      <c r="D55" s="1" t="s">
        <v>4146</v>
      </c>
      <c r="E55" s="1" t="s">
        <v>4146</v>
      </c>
      <c r="F55" s="1" t="s">
        <v>4146</v>
      </c>
      <c r="G55" s="1" t="s">
        <v>4146</v>
      </c>
    </row>
    <row customFormat="1" r="56" s="1" spans="1:11" x14ac:dyDescent="0.25">
      <c r="A56" s="37" t="s">
        <v>4163</v>
      </c>
      <c r="B56" s="3" t="s">
        <v>55</v>
      </c>
      <c r="C56" s="3" t="s">
        <v>55</v>
      </c>
      <c r="D56" s="3" t="s">
        <v>55</v>
      </c>
      <c r="E56" s="3" t="s">
        <v>55</v>
      </c>
      <c r="F56" s="3" t="s">
        <v>55</v>
      </c>
      <c r="G56" s="3" t="s">
        <v>55</v>
      </c>
      <c r="H56" s="2"/>
      <c r="I56" s="2"/>
      <c r="J56" s="2"/>
      <c r="K56" s="2"/>
    </row>
    <row customFormat="1" r="57" s="1" spans="1:11" x14ac:dyDescent="0.25">
      <c r="A57" s="37" t="s">
        <v>4164</v>
      </c>
      <c r="B57" s="3" t="s">
        <v>56</v>
      </c>
      <c r="C57" s="3" t="s">
        <v>56</v>
      </c>
      <c r="D57" s="3" t="s">
        <v>56</v>
      </c>
      <c r="E57" s="3" t="s">
        <v>56</v>
      </c>
      <c r="F57" s="3" t="s">
        <v>56</v>
      </c>
      <c r="G57" s="3" t="s">
        <v>56</v>
      </c>
      <c r="H57" s="2"/>
      <c r="I57" s="2"/>
      <c r="J57" s="2"/>
      <c r="K57" s="2"/>
    </row>
    <row customFormat="1" r="58" s="1" spans="1:11" x14ac:dyDescent="0.25">
      <c r="A58" s="37" t="s">
        <v>4165</v>
      </c>
      <c r="B58" s="1">
        <v>25584</v>
      </c>
      <c r="C58" s="1">
        <v>25584</v>
      </c>
      <c r="D58" s="1">
        <v>25584</v>
      </c>
      <c r="E58" s="1">
        <v>25584</v>
      </c>
      <c r="F58" s="1">
        <v>25584</v>
      </c>
      <c r="G58" s="1">
        <v>25584</v>
      </c>
      <c r="H58" s="2"/>
      <c r="I58" s="2"/>
      <c r="J58" s="2"/>
      <c r="K58" s="2"/>
    </row>
    <row customFormat="1" r="59" s="1" spans="1:11" x14ac:dyDescent="0.25">
      <c r="A59" s="37" t="s">
        <v>4167</v>
      </c>
      <c r="B59" s="1" t="s">
        <v>4102</v>
      </c>
      <c r="C59" s="1" t="s">
        <v>4102</v>
      </c>
      <c r="D59" s="1" t="s">
        <v>4102</v>
      </c>
      <c r="E59" s="1" t="s">
        <v>4102</v>
      </c>
      <c r="F59" s="1" t="s">
        <v>4102</v>
      </c>
      <c r="G59" s="1" t="s">
        <v>4102</v>
      </c>
    </row>
    <row customFormat="1" r="60" s="1" spans="1:11" x14ac:dyDescent="0.25">
      <c r="A60" s="37" t="s">
        <v>4166</v>
      </c>
      <c r="B60" s="1" t="s">
        <v>4101</v>
      </c>
      <c r="C60" s="1" t="s">
        <v>4101</v>
      </c>
      <c r="D60" s="1" t="s">
        <v>4101</v>
      </c>
      <c r="E60" s="1" t="s">
        <v>4101</v>
      </c>
      <c r="F60" s="1" t="s">
        <v>4101</v>
      </c>
      <c r="G60" s="1" t="s">
        <v>4101</v>
      </c>
    </row>
    <row customFormat="1" r="61" s="1" spans="1:11" x14ac:dyDescent="0.25">
      <c r="A61" s="37" t="s">
        <v>4168</v>
      </c>
      <c r="B61" s="1" t="s">
        <v>4103</v>
      </c>
      <c r="C61" s="1" t="s">
        <v>4103</v>
      </c>
      <c r="D61" s="1" t="s">
        <v>4103</v>
      </c>
      <c r="E61" s="1" t="s">
        <v>4103</v>
      </c>
      <c r="F61" s="1" t="s">
        <v>4103</v>
      </c>
      <c r="G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row>
    <row customFormat="1" r="77" s="1" spans="1:11" x14ac:dyDescent="0.25">
      <c r="A77" s="2" t="s">
        <v>243</v>
      </c>
      <c r="B77" s="42"/>
      <c r="C77" s="42"/>
      <c r="D77" s="42"/>
      <c r="E77" s="42"/>
      <c r="F77" s="42"/>
      <c r="G77" s="42"/>
    </row>
    <row customFormat="1" r="78" s="57" spans="1:11" x14ac:dyDescent="0.25">
      <c r="A78" s="58" t="s">
        <v>3562</v>
      </c>
      <c r="B78" s="59"/>
      <c r="C78" s="59"/>
      <c r="D78" s="59"/>
      <c r="E78" s="59"/>
      <c r="F78" s="59"/>
      <c r="G78" s="59"/>
      <c r="H78" s="59"/>
      <c r="I78" s="59"/>
      <c r="J78" s="59"/>
      <c r="K78" s="60"/>
    </row>
    <row customFormat="1" r="79" s="1" spans="1:11" x14ac:dyDescent="0.25">
      <c r="A79" s="2" t="s">
        <v>303</v>
      </c>
    </row>
    <row customFormat="1" r="80" s="1" spans="1:11" x14ac:dyDescent="0.25">
      <c r="A80" s="2" t="s">
        <v>304</v>
      </c>
      <c r="B80" s="2"/>
      <c r="C80" s="2"/>
      <c r="D80" s="2"/>
      <c r="E80" s="2"/>
      <c r="F80" s="2"/>
      <c r="G80" s="2"/>
      <c r="H80" s="2"/>
      <c r="I80" s="2"/>
      <c r="J80" s="2"/>
      <c r="K80" s="2"/>
    </row>
    <row customFormat="1" r="81" s="1" spans="1:11" x14ac:dyDescent="0.25">
      <c r="A81" s="2" t="s">
        <v>305</v>
      </c>
      <c r="B81" s="2"/>
      <c r="C81" s="2"/>
      <c r="D81" s="2"/>
      <c r="E81" s="2"/>
      <c r="F81" s="2"/>
      <c r="G81" s="2"/>
      <c r="H81" s="2"/>
      <c r="I81" s="2"/>
      <c r="J81" s="2"/>
      <c r="K81" s="2"/>
    </row>
    <row customFormat="1" r="82" s="1" spans="1:11" x14ac:dyDescent="0.25">
      <c r="A82" s="2" t="s">
        <v>306</v>
      </c>
      <c r="B82" s="2"/>
      <c r="C82" s="2"/>
      <c r="D82" s="2"/>
      <c r="E82" s="2"/>
      <c r="F82" s="2"/>
      <c r="G82" s="2"/>
      <c r="H82" s="2"/>
      <c r="I82" s="2"/>
      <c r="J82" s="2"/>
      <c r="K82" s="2"/>
    </row>
    <row customFormat="1" r="83" s="1" spans="1:11" x14ac:dyDescent="0.25">
      <c r="A83" s="2" t="s">
        <v>307</v>
      </c>
    </row>
    <row customFormat="1" r="84" s="1" spans="1:11" x14ac:dyDescent="0.25">
      <c r="A84" s="2" t="s">
        <v>308</v>
      </c>
    </row>
    <row customFormat="1" r="85" s="1" spans="1:11" x14ac:dyDescent="0.25">
      <c r="A85" s="2" t="s">
        <v>309</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row>
    <row customFormat="1" r="99" s="57" spans="1:11" x14ac:dyDescent="0.25">
      <c r="A99" s="58" t="s">
        <v>3563</v>
      </c>
      <c r="B99" s="59"/>
      <c r="C99" s="59"/>
      <c r="D99" s="59"/>
      <c r="E99" s="59"/>
      <c r="F99" s="59"/>
      <c r="G99" s="59"/>
      <c r="H99" s="59"/>
      <c r="I99" s="59"/>
      <c r="J99" s="59"/>
      <c r="K99" s="60"/>
    </row>
    <row customFormat="1" r="100" s="1" spans="1:11" x14ac:dyDescent="0.25">
      <c r="A100" s="2" t="s">
        <v>244</v>
      </c>
    </row>
    <row customFormat="1" r="101" s="1" spans="1:11" x14ac:dyDescent="0.25">
      <c r="A101" s="2" t="s">
        <v>245</v>
      </c>
    </row>
    <row customFormat="1" r="102" s="1" spans="1:11" x14ac:dyDescent="0.25">
      <c r="A102" s="2" t="s">
        <v>282</v>
      </c>
    </row>
    <row customFormat="1" r="103" s="1" spans="1:11" x14ac:dyDescent="0.25">
      <c r="A103" s="2" t="s">
        <v>246</v>
      </c>
    </row>
    <row customFormat="1" r="104" s="1" spans="1:11" x14ac:dyDescent="0.25">
      <c r="A104" s="2" t="s">
        <v>247</v>
      </c>
      <c r="B104" s="42"/>
      <c r="C104" s="42"/>
      <c r="D104" s="42"/>
      <c r="E104" s="42"/>
      <c r="F104" s="42"/>
      <c r="G104" s="42"/>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row>
    <row customFormat="1" r="107" s="1" spans="1:11" x14ac:dyDescent="0.25">
      <c r="A107" s="2" t="s">
        <v>284</v>
      </c>
      <c r="B107" s="2"/>
      <c r="C107" s="2"/>
      <c r="D107" s="2"/>
      <c r="E107" s="2"/>
      <c r="F107" s="2"/>
      <c r="G107" s="2"/>
      <c r="H107" s="2"/>
      <c r="I107" s="2"/>
      <c r="J107" s="2"/>
      <c r="K107" s="2"/>
    </row>
    <row customFormat="1" r="108" s="1" spans="1:11" x14ac:dyDescent="0.25">
      <c r="A108" s="2" t="s">
        <v>285</v>
      </c>
      <c r="B108" s="2"/>
      <c r="C108" s="2"/>
      <c r="D108" s="2"/>
      <c r="E108" s="2"/>
      <c r="F108" s="2"/>
      <c r="G108" s="2"/>
      <c r="H108" s="2"/>
      <c r="I108" s="2"/>
      <c r="J108" s="2"/>
      <c r="K108" s="2"/>
    </row>
    <row customFormat="1" r="109" s="1" spans="1:11" x14ac:dyDescent="0.25">
      <c r="A109" s="2" t="s">
        <v>286</v>
      </c>
      <c r="B109" s="2"/>
      <c r="C109" s="2"/>
      <c r="D109" s="2"/>
      <c r="E109" s="2"/>
      <c r="F109" s="2"/>
      <c r="G109" s="2"/>
      <c r="H109" s="2"/>
      <c r="I109" s="2"/>
      <c r="J109" s="2"/>
      <c r="K109" s="2"/>
    </row>
    <row customFormat="1" r="110" s="1" spans="1:11" x14ac:dyDescent="0.25">
      <c r="A110" s="2" t="s">
        <v>287</v>
      </c>
    </row>
    <row customFormat="1" r="111" s="1" spans="1:11" x14ac:dyDescent="0.25">
      <c r="A111" s="2" t="s">
        <v>288</v>
      </c>
    </row>
    <row customFormat="1" r="112" s="1" spans="1:11" x14ac:dyDescent="0.25">
      <c r="A112" s="2" t="s">
        <v>289</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row>
  </sheetData>
  <mergeCells count="2">
    <mergeCell ref="A13:XFD13"/>
    <mergeCell ref="A11:XFD11"/>
  </mergeCells>
  <dataValidations count="13">
    <dataValidation allowBlank="1" showErrorMessage="1" showInputMessage="1" sqref="H22:K22 H18:K19" type="list">
      <formula1>"Yes, No"</formula1>
    </dataValidation>
    <dataValidation showErrorMessage="1" showInputMessage="1" sqref="H98:K98 H125:K125 H74:K74" type="list">
      <formula1>"Dinas, Family, KPR, Rented, Self - Owned"</formula1>
    </dataValidation>
    <dataValidation allowBlank="1" showErrorMessage="1" showInputMessage="1" sqref="H17:K17" type="list">
      <formula1>"Contract, Permanent"</formula1>
    </dataValidation>
    <dataValidation allowBlank="1" errorStyle="information" showErrorMessage="1" showInputMessage="1" sqref="B26:G26" type="whole">
      <formula1>0</formula1>
      <formula2>9.99999999999999E+22</formula2>
    </dataValidation>
    <dataValidation allowBlank="1" errorStyle="information" showErrorMessage="1" showInputMessage="1" sqref="B125:G125 B74:G74 B98:G98" type="list">
      <formula1>"Dinas, Family, KPR, Rented, Self - Owned"</formula1>
    </dataValidation>
    <dataValidation allowBlank="1" errorStyle="information" showErrorMessage="1" showInputMessage="1" sqref="B55:G61 B79:G85 B106:G124 B20:G21 B49:G51 B46:G47 B42:G42 B40:G40 B38:G38 B34:G36 B31:G32 B28:G28 B23:G25 B100:G104 B14:G14"/>
    <dataValidation allowBlank="1" errorStyle="information" showErrorMessage="1" showInputMessage="1" sqref="B43:G43 B39:G39 B29:G29 B15:G15" type="list">
      <formula1>ListJobProfession</formula1>
    </dataValidation>
    <dataValidation allowBlank="1" errorStyle="information" showErrorMessage="1" showInputMessage="1" sqref="B44:G44 B16:G16" type="list">
      <formula1>ListJobPosition</formula1>
    </dataValidation>
    <dataValidation allowBlank="1" errorStyle="information" showErrorMessage="1" showInputMessage="1" sqref="B17:G17" type="list">
      <formula1>"Contract, Permanent"</formula1>
    </dataValidation>
    <dataValidation allowBlank="1" errorStyle="information" showErrorMessage="1" showInputMessage="1" sqref="B45:G45 B30:G30 B18:G19" type="list">
      <formula1>"Yes, No"</formula1>
    </dataValidation>
    <dataValidation allowBlank="1" errorStyle="information" showErrorMessage="1" showInputMessage="1" sqref="B48:G48 B33:G33 B22:G22" type="list">
      <formula1>ListIndustryType</formula1>
    </dataValidation>
    <dataValidation allowBlank="1" errorStyle="information" showErrorMessage="1" showInputMessage="1" sqref="B52:G52" type="whole">
      <formula1>0</formula1>
      <formula2>999999999999999000000</formula2>
    </dataValidation>
    <dataValidation allowBlank="1" errorStyle="information" showErrorMessage="1" showInputMessage="1" sqref="B53:G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H16:K16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13" workbookViewId="0">
      <selection activeCell="B24" sqref="B24"/>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6" bestFit="true" customWidth="true" width="34.140625" collapsed="true"/>
    <col min="7" max="7" bestFit="true" customWidth="true" width="27.85546875" collapsed="true"/>
  </cols>
  <sheetData>
    <row customFormat="1" r="1" s="1" spans="1:11" x14ac:dyDescent="0.25">
      <c r="A1" s="1" t="s">
        <v>12</v>
      </c>
      <c r="B1" t="s">
        <v>3283</v>
      </c>
      <c r="C1" t="s">
        <v>3283</v>
      </c>
      <c r="D1" s="1" t="s">
        <v>3283</v>
      </c>
      <c r="E1" t="s">
        <v>3283</v>
      </c>
      <c r="F1" t="s">
        <v>3283</v>
      </c>
      <c r="G1" s="1" t="s">
        <v>3283</v>
      </c>
    </row>
    <row customFormat="1" r="2" s="1" spans="1:11" x14ac:dyDescent="0.25">
      <c r="A2" s="1" t="s">
        <v>4144</v>
      </c>
      <c r="B2" t="s">
        <v>4235</v>
      </c>
      <c r="C2" s="1" t="s">
        <v>4235</v>
      </c>
      <c r="D2" s="1" t="s">
        <v>4235</v>
      </c>
      <c r="E2" t="s">
        <v>4235</v>
      </c>
      <c r="F2"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G4" si="0" t="shared">IF(B12="Input Data",COUNTIFS($A$15:$A$42,"*$*",B15:B42,""),COUNTIFS($A$13:$A$14,"*$*",B13:B14,""))</f>
        <v>0</v>
      </c>
      <c r="C4" s="1">
        <f si="0" t="shared"/>
        <v>0</v>
      </c>
      <c r="D4" s="1">
        <f si="0" t="shared"/>
        <v>0</v>
      </c>
      <c r="E4" s="1">
        <f si="0" t="shared"/>
        <v>0</v>
      </c>
      <c r="F4" s="1">
        <f si="0" t="shared"/>
        <v>0</v>
      </c>
      <c r="G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53" spans="1:11" x14ac:dyDescent="0.25">
      <c r="B11" s="54"/>
      <c r="C11" s="54"/>
      <c r="D11" s="55"/>
      <c r="E11" s="54"/>
      <c r="F11" s="54"/>
      <c r="G11" s="55"/>
    </row>
    <row customFormat="1" r="12" s="1" spans="1:11" x14ac:dyDescent="0.25">
      <c r="A12" s="1" t="s">
        <v>4107</v>
      </c>
      <c r="B12" s="50" t="s">
        <v>4237</v>
      </c>
      <c r="C12" s="50" t="s">
        <v>4108</v>
      </c>
      <c r="D12" s="50" t="s">
        <v>4108</v>
      </c>
      <c r="E12" s="50" t="s">
        <v>4237</v>
      </c>
      <c r="F12" s="50" t="s">
        <v>4237</v>
      </c>
      <c r="G12" s="50" t="s">
        <v>4108</v>
      </c>
    </row>
    <row customFormat="1" r="13" s="1" spans="1:11" x14ac:dyDescent="0.25">
      <c r="A13" s="37" t="s">
        <v>4172</v>
      </c>
      <c r="B13" s="62" t="s">
        <v>4251</v>
      </c>
      <c r="C13" s="4"/>
      <c r="D13" s="4"/>
      <c r="E13" s="62" t="s">
        <v>4251</v>
      </c>
      <c r="F13" s="62" t="s">
        <v>4251</v>
      </c>
      <c r="G13" s="4"/>
    </row>
    <row customFormat="1" r="14" s="1" spans="1:11" x14ac:dyDescent="0.25">
      <c r="A14" s="37" t="s">
        <v>4173</v>
      </c>
      <c r="B14" s="62" t="s">
        <v>4238</v>
      </c>
      <c r="E14" s="62" t="s">
        <v>4238</v>
      </c>
      <c r="F14" s="62" t="s">
        <v>4238</v>
      </c>
      <c r="H14" s="2"/>
      <c r="I14" s="2"/>
      <c r="J14" s="2"/>
      <c r="K14" s="2"/>
    </row>
    <row customFormat="1" r="15" s="1" spans="1:11" x14ac:dyDescent="0.25">
      <c r="A15" s="37" t="s">
        <v>4174</v>
      </c>
      <c r="C15" s="1" t="s">
        <v>4136</v>
      </c>
      <c r="D15" s="1" t="s">
        <v>4136</v>
      </c>
      <c r="G15" s="1" t="s">
        <v>4136</v>
      </c>
      <c r="H15" s="8"/>
      <c r="I15" s="8"/>
      <c r="J15" s="8"/>
      <c r="K15" s="8"/>
    </row>
    <row customFormat="1" r="16" s="1" spans="1:11" x14ac:dyDescent="0.25">
      <c r="A16" s="2" t="s">
        <v>4109</v>
      </c>
      <c r="C16" s="1" t="s">
        <v>4123</v>
      </c>
      <c r="D16" s="1" t="s">
        <v>4123</v>
      </c>
      <c r="G16" s="1" t="s">
        <v>4123</v>
      </c>
      <c r="H16" s="8"/>
      <c r="I16" s="8"/>
      <c r="J16" s="8"/>
      <c r="K16" s="8"/>
    </row>
    <row customFormat="1" r="17" s="1" spans="1:11" x14ac:dyDescent="0.25">
      <c r="A17" s="37" t="s">
        <v>4110</v>
      </c>
      <c r="B17" s="3"/>
      <c r="C17" s="3" t="s">
        <v>4137</v>
      </c>
      <c r="D17" s="3" t="s">
        <v>4137</v>
      </c>
      <c r="E17" s="3"/>
      <c r="F17" s="3"/>
      <c r="G17" s="3" t="s">
        <v>4137</v>
      </c>
      <c r="H17" s="8"/>
      <c r="I17" s="8"/>
      <c r="J17" s="8"/>
      <c r="K17" s="8"/>
    </row>
    <row customFormat="1" r="18" s="1" spans="1:11" x14ac:dyDescent="0.25">
      <c r="A18" s="2" t="s">
        <v>4111</v>
      </c>
      <c r="H18" s="8"/>
      <c r="I18" s="8"/>
      <c r="J18" s="8"/>
      <c r="K18" s="8"/>
    </row>
    <row customFormat="1" r="19" s="1" spans="1:11" x14ac:dyDescent="0.25">
      <c r="A19" s="51" t="s">
        <v>41</v>
      </c>
      <c r="B19" s="8" t="s">
        <v>42</v>
      </c>
      <c r="C19" s="8" t="s">
        <v>333</v>
      </c>
      <c r="D19" s="8" t="s">
        <v>333</v>
      </c>
      <c r="E19" s="8" t="s">
        <v>42</v>
      </c>
      <c r="F19" s="8" t="s">
        <v>42</v>
      </c>
      <c r="G19" s="8" t="s">
        <v>333</v>
      </c>
      <c r="H19" s="8"/>
      <c r="I19" s="8"/>
      <c r="J19" s="8"/>
      <c r="K19" s="8"/>
    </row>
    <row customFormat="1" r="20" s="1" spans="1:11" x14ac:dyDescent="0.25">
      <c r="A20" s="2" t="s">
        <v>4113</v>
      </c>
      <c r="B20" s="52"/>
      <c r="C20" s="52" t="s">
        <v>4138</v>
      </c>
      <c r="D20" s="52" t="s">
        <v>4138</v>
      </c>
      <c r="E20" s="52"/>
      <c r="F20" s="52"/>
      <c r="G20" s="52" t="s">
        <v>4138</v>
      </c>
      <c r="H20" s="8"/>
      <c r="I20" s="8"/>
      <c r="J20" s="8"/>
      <c r="K20" s="8"/>
    </row>
    <row customFormat="1" r="21" s="1" spans="1:11" x14ac:dyDescent="0.25">
      <c r="A21" s="37" t="s">
        <v>4114</v>
      </c>
      <c r="C21" s="1" t="s">
        <v>4134</v>
      </c>
      <c r="D21" s="1" t="s">
        <v>4134</v>
      </c>
      <c r="G21" s="1" t="s">
        <v>4134</v>
      </c>
      <c r="H21" s="8"/>
      <c r="I21" s="8"/>
      <c r="J21" s="8"/>
      <c r="K21" s="8"/>
    </row>
    <row customFormat="1" r="22" s="1" spans="1:11" x14ac:dyDescent="0.25">
      <c r="A22" s="2" t="s">
        <v>4115</v>
      </c>
      <c r="C22" s="1" t="s">
        <v>4139</v>
      </c>
      <c r="D22" s="1" t="s">
        <v>4139</v>
      </c>
      <c r="G22" s="1" t="s">
        <v>4139</v>
      </c>
      <c r="H22" s="8"/>
      <c r="I22" s="8"/>
      <c r="J22" s="8"/>
      <c r="K22" s="8"/>
    </row>
    <row customFormat="1" r="23" s="1" spans="1:11" x14ac:dyDescent="0.25">
      <c r="A23" s="2" t="s">
        <v>4116</v>
      </c>
      <c r="B23" s="3"/>
      <c r="C23" s="3" t="s">
        <v>4147</v>
      </c>
      <c r="D23" s="3" t="s">
        <v>4148</v>
      </c>
      <c r="E23" s="3"/>
      <c r="F23" s="3"/>
      <c r="G23" s="3" t="s">
        <v>4148</v>
      </c>
      <c r="H23" s="8"/>
      <c r="I23" s="8"/>
      <c r="J23" s="8"/>
      <c r="K23" s="8"/>
    </row>
    <row customFormat="1" r="24" s="1" spans="1:11" x14ac:dyDescent="0.25">
      <c r="A24" s="37" t="s">
        <v>4112</v>
      </c>
      <c r="B24" s="3"/>
      <c r="C24" s="3" t="s">
        <v>4140</v>
      </c>
      <c r="D24" s="3" t="s">
        <v>4140</v>
      </c>
      <c r="E24" s="3"/>
      <c r="F24" s="3"/>
      <c r="G24" s="3" t="s">
        <v>4140</v>
      </c>
      <c r="H24" s="8"/>
      <c r="I24" s="8"/>
      <c r="J24" s="8"/>
      <c r="K24" s="8"/>
    </row>
    <row customFormat="1" r="25" s="1" spans="1:11" x14ac:dyDescent="0.25">
      <c r="A25" s="2" t="s">
        <v>4117</v>
      </c>
      <c r="H25" s="8"/>
      <c r="I25" s="8"/>
      <c r="J25" s="8"/>
      <c r="K25" s="8"/>
    </row>
    <row customFormat="1" r="26" s="1" spans="1:11" x14ac:dyDescent="0.25">
      <c r="A26" s="2" t="s">
        <v>14</v>
      </c>
      <c r="H26" s="2"/>
      <c r="I26" s="2"/>
      <c r="J26" s="2"/>
      <c r="K26" s="2"/>
    </row>
    <row customFormat="1" r="27" s="1" spans="1:11" x14ac:dyDescent="0.25">
      <c r="A27" s="2" t="s">
        <v>15</v>
      </c>
      <c r="C27" s="1" t="s">
        <v>4141</v>
      </c>
      <c r="D27" s="1" t="s">
        <v>4141</v>
      </c>
      <c r="G27" s="1" t="s">
        <v>4141</v>
      </c>
    </row>
    <row customFormat="1" r="28" s="1" spans="1:11" x14ac:dyDescent="0.25">
      <c r="A28" s="2" t="s">
        <v>17</v>
      </c>
      <c r="B28" s="2"/>
      <c r="C28" s="2">
        <v>23</v>
      </c>
      <c r="D28" s="2">
        <v>23</v>
      </c>
      <c r="E28" s="2"/>
      <c r="F28" s="2"/>
      <c r="G28" s="2">
        <v>23</v>
      </c>
    </row>
    <row customFormat="1" r="29" s="1" spans="1:11" x14ac:dyDescent="0.25">
      <c r="A29" s="2" t="s">
        <v>18</v>
      </c>
      <c r="B29" s="2"/>
      <c r="C29" s="2">
        <v>22</v>
      </c>
      <c r="D29" s="2">
        <v>22</v>
      </c>
      <c r="E29" s="2"/>
      <c r="F29" s="2"/>
      <c r="G29" s="2">
        <v>22</v>
      </c>
    </row>
    <row customFormat="1" r="30" s="1" spans="1:11" x14ac:dyDescent="0.25">
      <c r="A30" s="2" t="s">
        <v>19</v>
      </c>
      <c r="B30" s="2"/>
      <c r="C30" s="2">
        <v>11530</v>
      </c>
      <c r="D30" s="2">
        <v>11530</v>
      </c>
      <c r="E30" s="2"/>
      <c r="F30" s="2"/>
      <c r="G30" s="2">
        <v>11530</v>
      </c>
    </row>
    <row customFormat="1" r="31" s="1" spans="1:11" x14ac:dyDescent="0.25">
      <c r="A31" s="2" t="s">
        <v>22</v>
      </c>
      <c r="B31" s="2"/>
      <c r="C31" s="2" t="s">
        <v>4142</v>
      </c>
      <c r="D31" s="2" t="s">
        <v>4142</v>
      </c>
      <c r="E31" s="2"/>
      <c r="F31" s="2"/>
      <c r="G31" s="2" t="s">
        <v>4142</v>
      </c>
    </row>
    <row customFormat="1" r="32" s="1" spans="1:11" x14ac:dyDescent="0.25">
      <c r="A32" s="2" t="s">
        <v>20</v>
      </c>
      <c r="B32" s="2"/>
      <c r="C32" s="2" t="s">
        <v>4142</v>
      </c>
      <c r="D32" s="2" t="s">
        <v>4142</v>
      </c>
      <c r="E32" s="2"/>
      <c r="F32" s="2"/>
      <c r="G32" s="2" t="s">
        <v>4142</v>
      </c>
    </row>
    <row customFormat="1" r="33" s="1" spans="1:7" x14ac:dyDescent="0.25">
      <c r="A33" s="2" t="s">
        <v>23</v>
      </c>
      <c r="B33" s="2"/>
      <c r="C33" s="2" t="s">
        <v>4143</v>
      </c>
      <c r="D33" s="2" t="s">
        <v>4143</v>
      </c>
      <c r="E33" s="2"/>
      <c r="F33" s="2"/>
      <c r="G33" s="2" t="s">
        <v>4143</v>
      </c>
    </row>
    <row customFormat="1" r="34" s="1" spans="1:7" x14ac:dyDescent="0.25">
      <c r="A34" s="2" t="s">
        <v>249</v>
      </c>
      <c r="B34" s="2"/>
      <c r="C34" s="2"/>
      <c r="D34" s="2"/>
      <c r="E34" s="2"/>
      <c r="F34" s="2"/>
      <c r="G34" s="2"/>
    </row>
    <row customFormat="1" r="35" s="1" spans="1:7" x14ac:dyDescent="0.25">
      <c r="A35" s="2" t="s">
        <v>250</v>
      </c>
      <c r="B35" s="2"/>
      <c r="C35" s="2"/>
      <c r="D35" s="2"/>
      <c r="E35" s="2"/>
      <c r="F35" s="2"/>
      <c r="G35" s="2"/>
    </row>
    <row customFormat="1" r="36" s="1" spans="1:7" x14ac:dyDescent="0.25">
      <c r="A36" s="2" t="s">
        <v>251</v>
      </c>
      <c r="B36" s="2"/>
      <c r="C36" s="2"/>
      <c r="D36" s="2"/>
      <c r="E36" s="2"/>
      <c r="F36" s="2"/>
      <c r="G36" s="2"/>
    </row>
    <row customFormat="1" r="37" s="1" spans="1:7" x14ac:dyDescent="0.25">
      <c r="A37" s="2" t="s">
        <v>252</v>
      </c>
    </row>
    <row customFormat="1" r="38" s="1" spans="1:7" x14ac:dyDescent="0.25">
      <c r="A38" s="2" t="s">
        <v>253</v>
      </c>
    </row>
    <row customFormat="1" r="39" s="1" spans="1:7" x14ac:dyDescent="0.25">
      <c r="A39" s="2" t="s">
        <v>254</v>
      </c>
    </row>
    <row customFormat="1" r="40" s="1" spans="1:7" x14ac:dyDescent="0.25">
      <c r="A40" s="1" t="s">
        <v>255</v>
      </c>
      <c r="B40" s="2"/>
      <c r="C40" s="2"/>
      <c r="D40" s="2"/>
      <c r="E40" s="2"/>
      <c r="F40" s="2"/>
      <c r="G40" s="2"/>
    </row>
    <row customFormat="1" r="41" s="1" spans="1:7" x14ac:dyDescent="0.25">
      <c r="A41" s="1" t="s">
        <v>256</v>
      </c>
      <c r="B41" s="2"/>
      <c r="C41" s="2"/>
      <c r="D41" s="2"/>
      <c r="E41" s="2"/>
      <c r="F41" s="2"/>
      <c r="G41" s="2"/>
    </row>
    <row customFormat="1" r="42" s="1" spans="1:7" x14ac:dyDescent="0.25">
      <c r="A42" s="1" t="s">
        <v>257</v>
      </c>
      <c r="B42" s="2"/>
      <c r="C42" s="2"/>
      <c r="D42" s="2"/>
      <c r="E42" s="2"/>
      <c r="F42" s="2"/>
      <c r="G42" s="2"/>
    </row>
  </sheetData>
  <conditionalFormatting sqref="B27:D39">
    <cfRule dxfId="83" priority="8" type="expression">
      <formula>AND(B$13&lt;&gt;"",B$13&lt;&gt;"Copy Address From")</formula>
    </cfRule>
  </conditionalFormatting>
  <conditionalFormatting sqref="B16:D16">
    <cfRule dxfId="82" priority="7" type="expression">
      <formula>B$13="LookUp"</formula>
    </cfRule>
  </conditionalFormatting>
  <conditionalFormatting sqref="F27:F39">
    <cfRule dxfId="81" priority="6" type="expression">
      <formula>AND(F$13&lt;&gt;"",F$13&lt;&gt;"Copy Address From")</formula>
    </cfRule>
  </conditionalFormatting>
  <conditionalFormatting sqref="F16">
    <cfRule dxfId="80" priority="5" type="expression">
      <formula>F$13="LookUp"</formula>
    </cfRule>
  </conditionalFormatting>
  <conditionalFormatting sqref="E27:E39">
    <cfRule dxfId="79" priority="4" type="expression">
      <formula>AND(E$13&lt;&gt;"",E$13&lt;&gt;"Copy Address From")</formula>
    </cfRule>
  </conditionalFormatting>
  <conditionalFormatting sqref="E16">
    <cfRule dxfId="78" priority="3" type="expression">
      <formula>E$13="LookUp"</formula>
    </cfRule>
  </conditionalFormatting>
  <conditionalFormatting sqref="G27:G39">
    <cfRule dxfId="77" priority="2" type="expression">
      <formula>AND(G$13&lt;&gt;"",G$13&lt;&gt;"Copy Address From")</formula>
    </cfRule>
  </conditionalFormatting>
  <conditionalFormatting sqref="G16">
    <cfRule dxfId="76" priority="1" type="expression">
      <formula>G$13="LookUp"</formula>
    </cfRule>
  </conditionalFormatting>
  <dataValidations count="9">
    <dataValidation showErrorMessage="1" showInputMessage="1" sqref="H14:K14" type="list">
      <formula1>"AKTA, CAT CAT, CAT IS A CAT, DESCRIPTION FOR AAA, DESCRIPTION FOR ASA, DESCRIPTION FOR KTP, E-KTP, KITAS, NPWP, SIM"</formula1>
    </dataValidation>
    <dataValidation allowBlank="1" errorStyle="information" showErrorMessage="1" showInputMessage="1" sqref="B27:G27" type="custom">
      <formula1>ISBLANK(B$26)</formula1>
    </dataValidation>
    <dataValidation allowBlank="1" errorStyle="information" showErrorMessage="1" showInputMessage="1" sqref="B19:G19" type="list">
      <formula1>ListCusRel</formula1>
    </dataValidation>
    <dataValidation allowBlank="1" showErrorMessage="1" showInputMessage="1" sqref="B34:G39" type="custom">
      <formula1>ISBLANK(B$13)</formula1>
    </dataValidation>
    <dataValidation allowBlank="1" errorStyle="information" showErrorMessage="1" showInputMessage="1" sqref="B12:G12" type="list">
      <formula1>"Input Data, LookUp"</formula1>
    </dataValidation>
    <dataValidation errorStyle="information" showErrorMessage="1" showInputMessage="1" sqref="B16:G16" type="list">
      <formula1>ListIdType</formula1>
    </dataValidation>
    <dataValidation allowBlank="1" errorStyle="information" showErrorMessage="1" showInputMessage="1" sqref="B17:G18 B20:G24"/>
    <dataValidation allowBlank="1" errorStyle="information" showErrorMessage="1" showInputMessage="1" sqref="B26:G26" type="list">
      <formula1>"Job, Legal, Residence"</formula1>
    </dataValidation>
    <dataValidation allowBlank="1" errorStyle="information" showErrorMessage="1" showInputMessage="1" sqref="B28:G33" type="custom">
      <formula1>ISBLANK(B$13)</formula1>
    </dataValidation>
  </dataValidations>
  <hyperlinks>
    <hyperlink r:id="rId1" ref="C20"/>
    <hyperlink r:id="rId2" ref="D20"/>
    <hyperlink r:id="rId3" ref="G20"/>
  </hyperlinks>
  <pageMargins bottom="0.75" footer="0.3" header="0.3" left="0.7" right="0.7" top="0.75"/>
  <pageSetup orientation="portrait" paperSize="9"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B4" sqref="B4"/>
    </sheetView>
  </sheetViews>
  <sheetFormatPr defaultRowHeight="15" x14ac:dyDescent="0.25"/>
  <cols>
    <col min="1" max="1" bestFit="true" customWidth="true" width="22.0" collapsed="true"/>
    <col min="2" max="3" bestFit="true" customWidth="true" width="19.85546875" collapsed="true"/>
    <col min="4" max="7" bestFit="true" customWidth="true" width="25.5703125" collapsed="true"/>
  </cols>
  <sheetData>
    <row customFormat="1" r="1" s="1" spans="1:11" x14ac:dyDescent="0.25">
      <c r="A1" s="1" t="s">
        <v>12</v>
      </c>
      <c r="B1" t="s">
        <v>3283</v>
      </c>
      <c r="C1" t="s">
        <v>3283</v>
      </c>
      <c r="D1" s="1" t="s">
        <v>3283</v>
      </c>
      <c r="E1" s="1" t="s">
        <v>3283</v>
      </c>
      <c r="F1" s="1" t="s">
        <v>3283</v>
      </c>
      <c r="G1" s="1" t="s">
        <v>3283</v>
      </c>
    </row>
    <row customFormat="1" r="2" s="1" spans="1:11" x14ac:dyDescent="0.25">
      <c r="A2" s="1" t="s">
        <v>4144</v>
      </c>
      <c r="B2" t="s">
        <v>4235</v>
      </c>
      <c r="C2" t="s">
        <v>4235</v>
      </c>
      <c r="D2" s="1" t="s">
        <v>4235</v>
      </c>
      <c r="E2" s="1" t="s">
        <v>4235</v>
      </c>
      <c r="F2" s="1"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G4" si="0" t="shared">IF(LEN(B12) &gt;0,COUNTIFS($A$12:$A$21,"*$*",B12:B21,""),0)+IF(LEN(B24)&gt;0,COUNTIFS($A$23:$A$30,"*$*",B23:B30,""),0)</f>
        <v>0</v>
      </c>
      <c r="C4" s="1">
        <f si="0" t="shared"/>
        <v>0</v>
      </c>
      <c r="D4" s="1">
        <f si="0" t="shared"/>
        <v>0</v>
      </c>
      <c r="E4" s="1">
        <f si="0" t="shared"/>
        <v>0</v>
      </c>
      <c r="F4" s="1">
        <f si="0" t="shared"/>
        <v>0</v>
      </c>
      <c r="G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4220</v>
      </c>
      <c r="B9" s="1" t="str">
        <f>'1.CustomerDetail'!B12</f>
        <v>0002APP20221206283</v>
      </c>
      <c r="C9" s="1" t="str">
        <f>'1.CustomerDetail'!B12</f>
        <v>0002APP20221206283</v>
      </c>
      <c r="D9" s="1">
        <f>'1.CustomerDetail'!D12</f>
        <v>0</v>
      </c>
      <c r="E9" s="1">
        <f>'1.CustomerDetail'!E12</f>
        <v>0</v>
      </c>
      <c r="F9" s="1">
        <f>'1.CustomerDetail'!F12</f>
        <v>0</v>
      </c>
      <c r="G9" s="1">
        <f>'1.CustomerDetail'!G12</f>
        <v>0</v>
      </c>
    </row>
    <row customFormat="1" r="10" s="1" spans="1:11" x14ac:dyDescent="0.25">
      <c r="A10" s="1" t="s">
        <v>4216</v>
      </c>
      <c r="B10" s="1" t="str">
        <f>'1.CustomerDetail'!B13</f>
        <v>-</v>
      </c>
      <c r="C10" s="1" t="str">
        <f>'1.CustomerDetail'!B13</f>
        <v>-</v>
      </c>
      <c r="D10" s="1">
        <f>'1.CustomerDetail'!D13</f>
        <v>0</v>
      </c>
      <c r="E10" s="1">
        <f>'1.CustomerDetail'!E13</f>
        <v>0</v>
      </c>
      <c r="F10" s="1">
        <f>'1.CustomerDetail'!F13</f>
        <v>0</v>
      </c>
      <c r="G10" s="1">
        <f>'1.CustomerDetail'!G13</f>
        <v>0</v>
      </c>
    </row>
    <row customFormat="1" r="11" s="57" spans="1:11" x14ac:dyDescent="0.25">
      <c r="A11" s="58" t="s">
        <v>3565</v>
      </c>
      <c r="B11" s="59"/>
      <c r="C11" s="59"/>
      <c r="D11" s="59"/>
      <c r="E11" s="59"/>
      <c r="F11" s="59"/>
      <c r="G11" s="59"/>
      <c r="H11" s="59"/>
      <c r="I11" s="59"/>
      <c r="J11" s="59"/>
      <c r="K11" s="60"/>
    </row>
    <row customFormat="1" r="12" s="1" spans="1:11" x14ac:dyDescent="0.25">
      <c r="A12" s="37" t="s">
        <v>4175</v>
      </c>
      <c r="B12" s="44">
        <v>5000000000</v>
      </c>
      <c r="C12" s="44">
        <v>5000000000</v>
      </c>
      <c r="D12" s="44">
        <v>5000000000</v>
      </c>
      <c r="E12" s="44">
        <v>5000000000</v>
      </c>
      <c r="F12" s="44">
        <v>5000000000</v>
      </c>
      <c r="G12" s="44">
        <v>5000000000</v>
      </c>
      <c r="H12" s="8"/>
      <c r="I12" s="8"/>
      <c r="J12" s="8"/>
      <c r="K12" s="8"/>
    </row>
    <row customFormat="1" r="13" s="1" spans="1:11" x14ac:dyDescent="0.25">
      <c r="A13" s="1" t="s">
        <v>44</v>
      </c>
      <c r="B13" s="44">
        <v>5000000000</v>
      </c>
      <c r="C13" s="44">
        <v>5000000000</v>
      </c>
      <c r="D13" s="44">
        <v>5000000000</v>
      </c>
      <c r="E13" s="44">
        <v>5000000000</v>
      </c>
      <c r="F13" s="44">
        <v>5000000000</v>
      </c>
      <c r="G13" s="44">
        <v>5000000000</v>
      </c>
      <c r="H13" s="8"/>
      <c r="I13" s="8"/>
      <c r="J13" s="8"/>
      <c r="K13" s="8"/>
    </row>
    <row customFormat="1" r="14" s="1" spans="1:11" x14ac:dyDescent="0.25">
      <c r="A14" s="1" t="s">
        <v>45</v>
      </c>
      <c r="B14" s="2" t="s">
        <v>46</v>
      </c>
      <c r="C14" s="2" t="s">
        <v>46</v>
      </c>
      <c r="D14" s="2" t="s">
        <v>46</v>
      </c>
      <c r="E14" s="2" t="s">
        <v>46</v>
      </c>
      <c r="F14" s="2" t="s">
        <v>46</v>
      </c>
      <c r="G14" s="2" t="s">
        <v>46</v>
      </c>
      <c r="H14" s="2"/>
      <c r="I14" s="2"/>
      <c r="J14" s="2"/>
      <c r="K14" s="2"/>
    </row>
    <row customFormat="1" r="15" s="1" spans="1:11" x14ac:dyDescent="0.25">
      <c r="A15" s="1" t="s">
        <v>47</v>
      </c>
      <c r="B15" s="43">
        <v>15000000</v>
      </c>
      <c r="C15" s="43">
        <v>15000000</v>
      </c>
      <c r="D15" s="43">
        <v>15000000</v>
      </c>
      <c r="E15" s="43">
        <v>15000000</v>
      </c>
      <c r="F15" s="43">
        <v>15000000</v>
      </c>
      <c r="G15" s="43">
        <v>15000000</v>
      </c>
      <c r="H15" s="2"/>
      <c r="I15" s="2"/>
      <c r="J15" s="2"/>
      <c r="K15" s="2"/>
    </row>
    <row customFormat="1" r="16" s="1" spans="1:11" x14ac:dyDescent="0.25">
      <c r="A16" s="1" t="s">
        <v>48</v>
      </c>
      <c r="B16" s="43">
        <v>15000000</v>
      </c>
      <c r="C16" s="43">
        <v>15000000</v>
      </c>
      <c r="D16" s="43">
        <v>15000000</v>
      </c>
      <c r="E16" s="43">
        <v>15000000</v>
      </c>
      <c r="F16" s="43">
        <v>15000000</v>
      </c>
      <c r="G16" s="43">
        <v>15000000</v>
      </c>
      <c r="H16" s="2"/>
      <c r="I16" s="2"/>
      <c r="J16" s="2"/>
      <c r="K16" s="2"/>
    </row>
    <row customFormat="1" r="17" s="1" spans="1:11" x14ac:dyDescent="0.25">
      <c r="A17" s="37" t="s">
        <v>4176</v>
      </c>
      <c r="B17" s="41" t="s">
        <v>4104</v>
      </c>
      <c r="C17" s="41" t="s">
        <v>4149</v>
      </c>
      <c r="D17" s="41" t="s">
        <v>4149</v>
      </c>
      <c r="E17" s="41" t="s">
        <v>4149</v>
      </c>
      <c r="F17" s="41" t="s">
        <v>4149</v>
      </c>
      <c r="G17" s="41" t="s">
        <v>4149</v>
      </c>
      <c r="H17" s="8"/>
      <c r="I17" s="8"/>
      <c r="J17" s="8"/>
      <c r="K17" s="8"/>
    </row>
    <row customFormat="1" r="18" s="1" spans="1:11" x14ac:dyDescent="0.25">
      <c r="A18" s="2" t="s">
        <v>4077</v>
      </c>
      <c r="B18" s="44"/>
      <c r="C18" s="44"/>
      <c r="D18" s="44"/>
      <c r="E18" s="44"/>
      <c r="F18" s="44"/>
      <c r="G18" s="44"/>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v>100000000000</v>
      </c>
      <c r="E21" s="43">
        <v>100000000000</v>
      </c>
      <c r="F21" s="43">
        <v>100000000000</v>
      </c>
      <c r="G21" s="43">
        <v>100000000000</v>
      </c>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002</v>
      </c>
      <c r="C23" s="3" t="str">
        <f>VLOOKUP(C24,Master!$J$1:$K$206,2,FALSE)</f>
        <v>022</v>
      </c>
      <c r="D23" s="3">
        <v>999</v>
      </c>
      <c r="E23" s="3">
        <v>999</v>
      </c>
      <c r="F23" s="3">
        <v>999</v>
      </c>
      <c r="G23" s="3">
        <v>999</v>
      </c>
      <c r="H23" s="3"/>
      <c r="I23" s="3"/>
      <c r="J23" s="3"/>
      <c r="K23" s="3"/>
    </row>
    <row customFormat="1" r="24" s="1" spans="1:11" x14ac:dyDescent="0.25">
      <c r="A24" s="36" t="s">
        <v>4221</v>
      </c>
      <c r="B24" s="3" t="s">
        <v>340</v>
      </c>
      <c r="C24" s="3" t="s">
        <v>347</v>
      </c>
      <c r="D24" s="3" t="s">
        <v>342</v>
      </c>
      <c r="E24" s="3" t="s">
        <v>342</v>
      </c>
      <c r="F24" s="3" t="s">
        <v>342</v>
      </c>
      <c r="G24" s="3" t="s">
        <v>342</v>
      </c>
      <c r="H24" s="3"/>
      <c r="I24" s="3"/>
      <c r="J24" s="3"/>
      <c r="K24" s="3"/>
    </row>
    <row customFormat="1" r="25" s="1" spans="1:11" x14ac:dyDescent="0.25">
      <c r="A25" s="36" t="s">
        <v>4222</v>
      </c>
      <c r="B25" s="1" t="s">
        <v>4247</v>
      </c>
      <c r="C25" s="1" t="s">
        <v>4245</v>
      </c>
      <c r="D25" s="1" t="s">
        <v>4250</v>
      </c>
      <c r="E25" s="1" t="s">
        <v>4250</v>
      </c>
      <c r="F25" s="1" t="s">
        <v>4250</v>
      </c>
      <c r="G25" s="1" t="s">
        <v>4250</v>
      </c>
    </row>
    <row customFormat="1" r="26" s="1" spans="1:11" x14ac:dyDescent="0.25">
      <c r="A26" s="36" t="s">
        <v>4223</v>
      </c>
      <c r="B26" s="1" t="s">
        <v>4242</v>
      </c>
      <c r="C26" s="1" t="s">
        <v>4243</v>
      </c>
      <c r="D26" s="1" t="s">
        <v>4236</v>
      </c>
      <c r="E26" s="1" t="s">
        <v>4236</v>
      </c>
      <c r="F26" s="1" t="s">
        <v>4236</v>
      </c>
      <c r="G26" s="1" t="s">
        <v>4236</v>
      </c>
    </row>
    <row customFormat="1" r="27" s="1" spans="1:11" x14ac:dyDescent="0.25">
      <c r="A27" s="36" t="s">
        <v>4224</v>
      </c>
      <c r="B27" s="8" t="s">
        <v>4248</v>
      </c>
      <c r="C27" s="8" t="s">
        <v>4246</v>
      </c>
      <c r="D27" s="8" t="s">
        <v>4249</v>
      </c>
      <c r="E27" s="8" t="s">
        <v>4249</v>
      </c>
      <c r="F27" s="8" t="s">
        <v>4249</v>
      </c>
      <c r="G27" s="8" t="s">
        <v>4249</v>
      </c>
      <c r="H27" s="8"/>
      <c r="I27" s="8"/>
      <c r="J27" s="8"/>
      <c r="K27" s="8"/>
    </row>
    <row customFormat="1" r="28" s="1" spans="1:11" x14ac:dyDescent="0.25">
      <c r="A28" s="1" t="s">
        <v>52</v>
      </c>
      <c r="B28" s="1" t="s">
        <v>6</v>
      </c>
      <c r="C28" s="1" t="s">
        <v>5</v>
      </c>
      <c r="D28" s="1" t="s">
        <v>5</v>
      </c>
      <c r="E28" s="1" t="s">
        <v>5</v>
      </c>
      <c r="F28" s="1" t="s">
        <v>5</v>
      </c>
      <c r="G28" s="1" t="s">
        <v>5</v>
      </c>
    </row>
    <row customFormat="1" r="29" s="1" spans="1:11" x14ac:dyDescent="0.25">
      <c r="A29" s="1" t="s">
        <v>53</v>
      </c>
      <c r="B29" s="1" t="s">
        <v>6</v>
      </c>
      <c r="C29" s="1" t="s">
        <v>6</v>
      </c>
      <c r="D29" s="1" t="s">
        <v>6</v>
      </c>
      <c r="E29" s="1" t="s">
        <v>6</v>
      </c>
      <c r="F29" s="1" t="s">
        <v>6</v>
      </c>
      <c r="G29" s="1" t="s">
        <v>6</v>
      </c>
    </row>
    <row customFormat="1" r="30" s="1" spans="1:11" x14ac:dyDescent="0.25">
      <c r="A30" s="36" t="s">
        <v>4225</v>
      </c>
      <c r="B30" s="16">
        <v>100000</v>
      </c>
      <c r="C30" s="16">
        <v>100000</v>
      </c>
      <c r="D30" s="16">
        <v>100000</v>
      </c>
      <c r="E30" s="16">
        <v>100000</v>
      </c>
      <c r="F30" s="16">
        <v>100000</v>
      </c>
      <c r="G30" s="16">
        <v>100000</v>
      </c>
    </row>
    <row customFormat="1" r="31" s="1" spans="1:11" x14ac:dyDescent="0.25">
      <c r="A31" s="36" t="s">
        <v>4233</v>
      </c>
      <c r="B31" s="1" t="s">
        <v>4234</v>
      </c>
      <c r="C31" s="1" t="s">
        <v>4234</v>
      </c>
      <c r="D31" s="1" t="s">
        <v>4234</v>
      </c>
      <c r="E31" s="1" t="s">
        <v>4234</v>
      </c>
      <c r="F31" s="1" t="s">
        <v>4234</v>
      </c>
      <c r="G31" s="1" t="s">
        <v>4234</v>
      </c>
    </row>
    <row customFormat="1" r="32" s="1" spans="1:11" x14ac:dyDescent="0.25">
      <c r="A32" s="36" t="s">
        <v>4226</v>
      </c>
      <c r="B32" s="1" t="s">
        <v>4227</v>
      </c>
      <c r="C32" s="1" t="s">
        <v>4227</v>
      </c>
      <c r="D32" s="1" t="s">
        <v>4227</v>
      </c>
      <c r="E32" s="1" t="s">
        <v>4227</v>
      </c>
      <c r="F32" s="1" t="s">
        <v>4227</v>
      </c>
      <c r="G32" s="1" t="s">
        <v>4227</v>
      </c>
    </row>
    <row customFormat="1" r="33" s="1" spans="1:7" x14ac:dyDescent="0.25">
      <c r="A33" s="36" t="s">
        <v>4228</v>
      </c>
      <c r="B33" s="1" t="s">
        <v>4244</v>
      </c>
      <c r="C33" s="1" t="s">
        <v>4244</v>
      </c>
      <c r="D33" s="1" t="s">
        <v>4244</v>
      </c>
      <c r="E33" s="1" t="s">
        <v>4244</v>
      </c>
      <c r="F33" s="1" t="s">
        <v>4244</v>
      </c>
      <c r="G33" s="1" t="s">
        <v>4244</v>
      </c>
    </row>
    <row customFormat="1" r="34" s="1" spans="1:7" x14ac:dyDescent="0.25">
      <c r="A34" s="36" t="s">
        <v>4229</v>
      </c>
      <c r="B34" s="1" t="s">
        <v>4219</v>
      </c>
      <c r="C34" s="1" t="s">
        <v>4219</v>
      </c>
      <c r="D34" s="1" t="s">
        <v>4219</v>
      </c>
      <c r="E34" s="1" t="s">
        <v>4219</v>
      </c>
      <c r="F34" s="1" t="s">
        <v>4219</v>
      </c>
      <c r="G34" s="1" t="s">
        <v>4219</v>
      </c>
    </row>
    <row customFormat="1" r="35" s="1" spans="1:7" x14ac:dyDescent="0.25">
      <c r="A35" s="36" t="s">
        <v>4230</v>
      </c>
      <c r="B35" s="1" t="s">
        <v>4244</v>
      </c>
      <c r="C35" s="1" t="s">
        <v>4244</v>
      </c>
      <c r="D35" s="1" t="s">
        <v>4244</v>
      </c>
      <c r="E35" s="1" t="s">
        <v>4244</v>
      </c>
      <c r="F35" s="1" t="s">
        <v>4244</v>
      </c>
      <c r="G35" s="1" t="s">
        <v>4244</v>
      </c>
    </row>
    <row customFormat="1" r="36" s="1" spans="1:7" x14ac:dyDescent="0.25">
      <c r="A36" s="36" t="s">
        <v>4231</v>
      </c>
      <c r="B36" s="1" t="s">
        <v>4232</v>
      </c>
      <c r="C36" s="1" t="s">
        <v>4232</v>
      </c>
      <c r="D36" s="1" t="s">
        <v>4232</v>
      </c>
      <c r="E36" s="1" t="s">
        <v>4232</v>
      </c>
      <c r="F36" s="1" t="s">
        <v>4232</v>
      </c>
      <c r="G36" s="1" t="s">
        <v>4232</v>
      </c>
    </row>
  </sheetData>
  <dataValidations count="13">
    <dataValidation allowBlank="1" showErrorMessage="1" showInputMessage="1" sqref="H28:K30" type="list">
      <formula1>"Yes, No"</formula1>
    </dataValidation>
    <dataValidation allowBlank="1" showErrorMessage="1" showInputMessage="1" sqref="H14:K14" type="list">
      <formula1>"Business, Online Shop, Salary, Stock Trading"</formula1>
    </dataValidation>
    <dataValidation allowBlank="1" errorStyle="information" showErrorMessage="1" showInputMessage="1" sqref="B13:G13" type="whole">
      <formula1>0</formula1>
      <formula2>9.99999999999999E+25</formula2>
    </dataValidation>
    <dataValidation allowBlank="1" errorStyle="information" showErrorMessage="1" showInputMessage="1" sqref="B16:G16" type="whole">
      <formula1>0</formula1>
      <formula2>999999999999999000000</formula2>
    </dataValidation>
    <dataValidation allowBlank="1" errorStyle="information" showErrorMessage="1" showInputMessage="1" sqref="B21:G21" type="whole">
      <formula1>0</formula1>
      <formula2>9.99999999999999E+26</formula2>
    </dataValidation>
    <dataValidation allowBlank="1" errorStyle="information" showErrorMessage="1" showInputMessage="1" sqref="B30:G30" type="whole">
      <formula1>0</formula1>
      <formula2>9.99999999999999E+22</formula2>
    </dataValidation>
    <dataValidation allowBlank="1" errorStyle="information" showErrorMessage="1" showInputMessage="1" sqref="B24:G24" type="list">
      <formula1>ListBank</formula1>
    </dataValidation>
    <dataValidation allowBlank="1" errorStyle="information" showErrorMessage="1" showInputMessage="1" sqref="B12:G12" type="whole">
      <formula1>0</formula1>
      <formula2>9.99999999999999E+25</formula2>
    </dataValidation>
    <dataValidation allowBlank="1" errorStyle="information" showErrorMessage="1" showInputMessage="1" sqref="B14:G14" type="list">
      <formula1>"Business, Online Shop, Salary, Stock Trading"</formula1>
    </dataValidation>
    <dataValidation errorStyle="information" showErrorMessage="1" showInputMessage="1" sqref="B19:G19" type="list">
      <formula1>"Yes,No"</formula1>
    </dataValidation>
    <dataValidation allowBlank="1" errorStyle="information" showErrorMessage="1" showInputMessage="1" sqref="B15:G15" type="whole">
      <formula1>0</formula1>
      <formula2>999999999999999000000</formula2>
    </dataValidation>
    <dataValidation allowBlank="1" errorStyle="information" showErrorMessage="1" showInputMessage="1" sqref="B18:G18 B25:G27"/>
    <dataValidation allowBlank="1" errorStyle="information" showErrorMessage="1" showInputMessage="1" sqref="B28:G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3" sqref="B3:G3"/>
    </sheetView>
  </sheetViews>
  <sheetFormatPr defaultRowHeight="15" x14ac:dyDescent="0.25"/>
  <cols>
    <col min="1" max="1" bestFit="true" customWidth="true" width="16.140625" collapsed="true"/>
    <col min="2" max="7" bestFit="true" customWidth="true" width="19.85546875" collapsed="true"/>
  </cols>
  <sheetData>
    <row customFormat="1" r="1" s="1" spans="1:7" x14ac:dyDescent="0.25">
      <c r="A1" s="1" t="s">
        <v>12</v>
      </c>
      <c r="B1" t="s">
        <v>3283</v>
      </c>
      <c r="C1" t="s">
        <v>3283</v>
      </c>
      <c r="D1" s="1" t="s">
        <v>3283</v>
      </c>
      <c r="E1" s="1" t="s">
        <v>3283</v>
      </c>
      <c r="F1" s="1" t="s">
        <v>3283</v>
      </c>
      <c r="G1" s="1" t="s">
        <v>3283</v>
      </c>
    </row>
    <row customFormat="1" r="2" s="1" spans="1:7" x14ac:dyDescent="0.25">
      <c r="A2" s="1" t="s">
        <v>4144</v>
      </c>
      <c r="B2" s="1" t="s">
        <v>4235</v>
      </c>
      <c r="C2" t="s">
        <v>4235</v>
      </c>
      <c r="D2" s="1" t="s">
        <v>4235</v>
      </c>
      <c r="E2" s="1" t="s">
        <v>4235</v>
      </c>
      <c r="F2" s="1" t="s">
        <v>4235</v>
      </c>
      <c r="G2" s="1" t="s">
        <v>4235</v>
      </c>
    </row>
    <row customFormat="1" r="3" s="1" spans="1:7"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7" x14ac:dyDescent="0.25">
      <c r="A4" s="1" t="s">
        <v>4157</v>
      </c>
      <c r="B4" s="1">
        <f ref="B4:G4" si="0" t="shared">IF(B12="Yes",COUNTIFS($A$13:$A$16,"*$*",B13:B16,""),0)</f>
        <v>0</v>
      </c>
      <c r="C4" s="1">
        <f si="0" t="shared"/>
        <v>0</v>
      </c>
      <c r="D4" s="1">
        <f si="0" t="shared"/>
        <v>0</v>
      </c>
      <c r="E4" s="1">
        <f si="0" t="shared"/>
        <v>0</v>
      </c>
      <c r="F4" s="1">
        <f si="0" t="shared"/>
        <v>0</v>
      </c>
      <c r="G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1" spans="1:7" x14ac:dyDescent="0.25">
      <c r="B11" s="54"/>
      <c r="C11" s="54"/>
      <c r="D11" s="54"/>
      <c r="E11" s="54"/>
      <c r="F11" s="54"/>
      <c r="G11" s="54"/>
    </row>
    <row customFormat="1" r="12" s="2" spans="1:7" x14ac:dyDescent="0.25">
      <c r="A12" s="2" t="s">
        <v>4217</v>
      </c>
      <c r="B12" s="2" t="s">
        <v>6</v>
      </c>
      <c r="C12" s="2" t="s">
        <v>6</v>
      </c>
      <c r="D12" s="2" t="s">
        <v>6</v>
      </c>
      <c r="E12" s="2" t="s">
        <v>6</v>
      </c>
      <c r="F12" s="2" t="s">
        <v>6</v>
      </c>
      <c r="G12" s="2" t="s">
        <v>6</v>
      </c>
    </row>
    <row customFormat="1" r="13" s="1" spans="1:7" x14ac:dyDescent="0.25">
      <c r="A13" s="36" t="s">
        <v>4177</v>
      </c>
      <c r="B13" s="1" t="s">
        <v>4218</v>
      </c>
      <c r="C13" s="1" t="s">
        <v>4218</v>
      </c>
      <c r="D13" s="1" t="s">
        <v>4218</v>
      </c>
      <c r="E13" s="1" t="s">
        <v>4218</v>
      </c>
      <c r="F13" s="1" t="s">
        <v>4218</v>
      </c>
      <c r="G13" s="1" t="s">
        <v>4218</v>
      </c>
    </row>
    <row customFormat="1" r="14" s="1" spans="1:7" x14ac:dyDescent="0.25">
      <c r="A14" s="1" t="s">
        <v>54</v>
      </c>
      <c r="B14" s="1" t="s">
        <v>4241</v>
      </c>
      <c r="C14" s="1" t="s">
        <v>4241</v>
      </c>
      <c r="D14" s="1" t="s">
        <v>4241</v>
      </c>
      <c r="E14" s="1" t="s">
        <v>4241</v>
      </c>
      <c r="F14" s="1" t="s">
        <v>4241</v>
      </c>
      <c r="G14" s="1" t="s">
        <v>4241</v>
      </c>
    </row>
    <row customFormat="1" r="15" s="1" spans="1:7" x14ac:dyDescent="0.25">
      <c r="A15" s="36" t="s">
        <v>4178</v>
      </c>
      <c r="B15" s="43" t="s">
        <v>4239</v>
      </c>
      <c r="C15" s="43" t="s">
        <v>4239</v>
      </c>
      <c r="D15" s="43" t="s">
        <v>4239</v>
      </c>
      <c r="E15" s="43" t="s">
        <v>4239</v>
      </c>
      <c r="F15" s="43" t="s">
        <v>4239</v>
      </c>
      <c r="G15" s="43" t="s">
        <v>4239</v>
      </c>
    </row>
    <row customFormat="1" r="16" s="1" spans="1:7" x14ac:dyDescent="0.25">
      <c r="A16" s="36" t="s">
        <v>4179</v>
      </c>
      <c r="B16" s="2" t="s">
        <v>4240</v>
      </c>
      <c r="C16" s="2" t="s">
        <v>4240</v>
      </c>
      <c r="D16" s="2" t="s">
        <v>4240</v>
      </c>
      <c r="E16" s="2" t="s">
        <v>4240</v>
      </c>
      <c r="F16" s="2" t="s">
        <v>4240</v>
      </c>
      <c r="G16" s="2" t="s">
        <v>4240</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2"/>
  <sheetViews>
    <sheetView workbookViewId="0">
      <selection activeCell="C7" sqref="C7"/>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s="1" t="s">
        <v>3283</v>
      </c>
      <c r="C1" s="1" t="s">
        <v>3283</v>
      </c>
      <c r="D1" s="1" t="s">
        <v>3283</v>
      </c>
      <c r="E1" s="1" t="s">
        <v>3283</v>
      </c>
      <c r="F1" s="1" t="s">
        <v>3283</v>
      </c>
      <c r="G1" s="1" t="s">
        <v>3283</v>
      </c>
    </row>
    <row customFormat="1" r="2" s="1" spans="1:7" x14ac:dyDescent="0.25">
      <c r="A2" s="1" t="s">
        <v>4144</v>
      </c>
      <c r="B2" s="1" t="s">
        <v>4235</v>
      </c>
      <c r="C2" s="1" t="s">
        <v>4235</v>
      </c>
      <c r="D2" s="1" t="s">
        <v>4235</v>
      </c>
      <c r="E2" s="1" t="s">
        <v>4235</v>
      </c>
      <c r="F2" s="1" t="s">
        <v>4235</v>
      </c>
      <c r="G2" s="1" t="s">
        <v>4235</v>
      </c>
    </row>
    <row customFormat="1" r="3" s="1" spans="1:7" x14ac:dyDescent="0.25">
      <c r="A3" s="1" t="s">
        <v>4145</v>
      </c>
      <c r="B3" s="1" t="str">
        <f>'1.CustomerDetail'!B$12</f>
        <v>0002APP20221206283</v>
      </c>
      <c r="C3" s="1">
        <f>'1.CustomerDetail'!C$12</f>
        <v>0</v>
      </c>
      <c r="D3" s="1">
        <f>'1.CustomerDetail'!D$12</f>
        <v>0</v>
      </c>
      <c r="E3" s="1">
        <f>'1.CustomerDetail'!E$12</f>
        <v>0</v>
      </c>
      <c r="F3" s="1">
        <f>'1.CustomerDetail'!F$12</f>
        <v>0</v>
      </c>
      <c r="G3" s="1">
        <f>'1.CustomerDetail'!G$12</f>
        <v>0</v>
      </c>
    </row>
    <row customFormat="1" r="4" s="1" spans="1:7" x14ac:dyDescent="0.25">
      <c r="A4" s="1" t="s">
        <v>4157</v>
      </c>
      <c r="B4" s="1">
        <f ref="B4:G4" si="0" t="shared">COUNTIFS($A$12:$A$42,"*$*",B12:B42,"")</f>
        <v>0</v>
      </c>
      <c r="C4" s="1">
        <f si="0" t="shared"/>
        <v>0</v>
      </c>
      <c r="D4" s="1">
        <f si="0" t="shared"/>
        <v>0</v>
      </c>
      <c r="E4" s="1">
        <f si="0" t="shared"/>
        <v>0</v>
      </c>
      <c r="F4" s="1">
        <f si="0" t="shared"/>
        <v>0</v>
      </c>
      <c r="G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6" spans="1:7" x14ac:dyDescent="0.25">
      <c r="A11" s="63" t="s">
        <v>3568</v>
      </c>
      <c r="B11" s="64"/>
      <c r="C11" s="64"/>
      <c r="D11" s="64"/>
      <c r="E11" s="65"/>
    </row>
    <row customFormat="1" r="12" s="1" spans="1:7"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row>
    <row customFormat="1" r="13" s="1" spans="1:7" x14ac:dyDescent="0.25">
      <c r="A13" s="37" t="s">
        <v>4181</v>
      </c>
      <c r="B13" s="13" t="s">
        <v>683</v>
      </c>
      <c r="C13" s="13" t="s">
        <v>683</v>
      </c>
      <c r="D13" s="13" t="s">
        <v>683</v>
      </c>
      <c r="E13" s="13" t="s">
        <v>683</v>
      </c>
      <c r="F13" s="13" t="s">
        <v>683</v>
      </c>
      <c r="G13" s="13" t="s">
        <v>683</v>
      </c>
    </row>
    <row customFormat="1" r="14" s="1" spans="1:7"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row>
    <row customFormat="1" r="15" s="1" spans="1:7" x14ac:dyDescent="0.25">
      <c r="A15" s="37" t="s">
        <v>4183</v>
      </c>
      <c r="B15" s="14" t="s">
        <v>1234</v>
      </c>
      <c r="C15" s="14" t="s">
        <v>1234</v>
      </c>
      <c r="D15" s="14" t="s">
        <v>1234</v>
      </c>
      <c r="E15" s="14" t="s">
        <v>1234</v>
      </c>
      <c r="F15" s="14" t="s">
        <v>1234</v>
      </c>
      <c r="G15" s="14" t="s">
        <v>1234</v>
      </c>
    </row>
    <row customFormat="1" r="16" s="1" spans="1:7"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row>
    <row customFormat="1" ht="90" r="17" s="1" spans="1:7" x14ac:dyDescent="0.25">
      <c r="A17" s="37" t="s">
        <v>4186</v>
      </c>
      <c r="B17" s="14" t="s">
        <v>4106</v>
      </c>
      <c r="C17" s="14" t="s">
        <v>4106</v>
      </c>
      <c r="D17" s="14" t="s">
        <v>4106</v>
      </c>
      <c r="E17" s="14" t="s">
        <v>4106</v>
      </c>
      <c r="F17" s="14" t="s">
        <v>4106</v>
      </c>
      <c r="G17" s="14" t="s">
        <v>4106</v>
      </c>
    </row>
    <row customFormat="1" r="18" s="1" spans="1:7"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row>
    <row customFormat="1" ht="30" r="19" s="1" spans="1:7" x14ac:dyDescent="0.25">
      <c r="A19" s="37" t="s">
        <v>4185</v>
      </c>
      <c r="B19" s="14" t="s">
        <v>1409</v>
      </c>
      <c r="C19" s="14" t="s">
        <v>1409</v>
      </c>
      <c r="D19" s="14" t="s">
        <v>1409</v>
      </c>
      <c r="E19" s="14" t="s">
        <v>1409</v>
      </c>
      <c r="F19" s="14" t="s">
        <v>1409</v>
      </c>
      <c r="G19" s="14" t="s">
        <v>1409</v>
      </c>
    </row>
    <row customFormat="1" r="20" s="57" spans="1:7" x14ac:dyDescent="0.25">
      <c r="A20" s="58" t="s">
        <v>3569</v>
      </c>
      <c r="B20" s="59"/>
      <c r="C20" s="59"/>
      <c r="D20" s="59"/>
      <c r="E20" s="59"/>
      <c r="F20" s="59"/>
      <c r="G20" s="59"/>
    </row>
    <row customFormat="1" r="21" s="1" spans="1:7" x14ac:dyDescent="0.25">
      <c r="A21" s="2" t="s">
        <v>1594</v>
      </c>
      <c r="B21" s="14" t="s">
        <v>4062</v>
      </c>
      <c r="C21" s="14" t="s">
        <v>4062</v>
      </c>
      <c r="D21" s="14" t="s">
        <v>4062</v>
      </c>
      <c r="E21" s="14" t="s">
        <v>4062</v>
      </c>
      <c r="F21" s="14" t="s">
        <v>4062</v>
      </c>
      <c r="G21" s="14" t="s">
        <v>4062</v>
      </c>
    </row>
    <row customFormat="1" r="22" s="1" spans="1:7"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row>
    <row customFormat="1" r="23" s="1" spans="1:7" x14ac:dyDescent="0.25">
      <c r="A23" s="37" t="s">
        <v>4189</v>
      </c>
      <c r="B23" s="14" t="s">
        <v>2732</v>
      </c>
      <c r="C23" s="14" t="s">
        <v>2732</v>
      </c>
      <c r="D23" s="14" t="s">
        <v>2732</v>
      </c>
      <c r="E23" s="14" t="s">
        <v>2732</v>
      </c>
      <c r="F23" s="14" t="s">
        <v>2732</v>
      </c>
      <c r="G23" s="14" t="s">
        <v>2732</v>
      </c>
    </row>
    <row customFormat="1" r="24" s="1" spans="1:7" x14ac:dyDescent="0.25">
      <c r="A24" s="2" t="s">
        <v>1595</v>
      </c>
      <c r="B24" s="14" t="s">
        <v>4062</v>
      </c>
      <c r="C24" s="14" t="s">
        <v>4062</v>
      </c>
      <c r="D24" s="14" t="s">
        <v>4062</v>
      </c>
      <c r="E24" s="14" t="s">
        <v>4062</v>
      </c>
      <c r="F24" s="14" t="s">
        <v>4062</v>
      </c>
      <c r="G24" s="14" t="s">
        <v>4062</v>
      </c>
    </row>
    <row customFormat="1" r="25" s="1" spans="1:7" x14ac:dyDescent="0.25">
      <c r="A25" s="2" t="s">
        <v>1596</v>
      </c>
      <c r="B25" s="14" t="s">
        <v>4062</v>
      </c>
      <c r="C25" s="14" t="s">
        <v>4062</v>
      </c>
      <c r="D25" s="14" t="s">
        <v>4062</v>
      </c>
      <c r="E25" s="14" t="s">
        <v>4062</v>
      </c>
      <c r="F25" s="14" t="s">
        <v>4062</v>
      </c>
      <c r="G25" s="14" t="s">
        <v>4062</v>
      </c>
    </row>
    <row customFormat="1" r="26" s="1" spans="1:7"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row>
    <row customFormat="1" ht="30" r="27" s="1" spans="1:7" x14ac:dyDescent="0.25">
      <c r="A27" s="37" t="s">
        <v>4191</v>
      </c>
      <c r="B27" s="14" t="s">
        <v>2963</v>
      </c>
      <c r="C27" s="14" t="s">
        <v>2963</v>
      </c>
      <c r="D27" s="14" t="s">
        <v>2963</v>
      </c>
      <c r="E27" s="14" t="s">
        <v>2963</v>
      </c>
      <c r="F27" s="14" t="s">
        <v>2963</v>
      </c>
      <c r="G27" s="14" t="s">
        <v>2963</v>
      </c>
    </row>
    <row customFormat="1" r="28" s="1" spans="1:7"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row>
    <row customFormat="1" ht="75" r="29" s="1" spans="1:7" x14ac:dyDescent="0.25">
      <c r="A29" s="37" t="s">
        <v>4194</v>
      </c>
      <c r="B29" s="14" t="s">
        <v>1995</v>
      </c>
      <c r="C29" s="14" t="s">
        <v>1995</v>
      </c>
      <c r="D29" s="14" t="s">
        <v>1995</v>
      </c>
      <c r="E29" s="14" t="s">
        <v>1995</v>
      </c>
      <c r="F29" s="14" t="s">
        <v>1995</v>
      </c>
      <c r="G29" s="14" t="s">
        <v>1995</v>
      </c>
    </row>
    <row customFormat="1" r="30" s="1" spans="1:7"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row>
    <row customFormat="1" ht="30" r="31" s="1" spans="1:7" x14ac:dyDescent="0.25">
      <c r="A31" s="39" t="s">
        <v>4195</v>
      </c>
      <c r="B31" s="15" t="s">
        <v>2965</v>
      </c>
      <c r="C31" s="15" t="s">
        <v>2965</v>
      </c>
      <c r="D31" s="15" t="s">
        <v>2965</v>
      </c>
      <c r="E31" s="15" t="s">
        <v>2965</v>
      </c>
      <c r="F31" s="15" t="s">
        <v>2965</v>
      </c>
      <c r="G31" s="15" t="s">
        <v>2965</v>
      </c>
    </row>
    <row customFormat="1" ht="30" r="32" s="1" spans="1:7"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row>
    <row customFormat="1" r="33" s="1" spans="1:7" x14ac:dyDescent="0.25">
      <c r="A33" s="37" t="s">
        <v>4198</v>
      </c>
      <c r="B33" s="15" t="s">
        <v>2975</v>
      </c>
      <c r="C33" s="15" t="s">
        <v>2975</v>
      </c>
      <c r="D33" s="15" t="s">
        <v>2975</v>
      </c>
      <c r="E33" s="15" t="s">
        <v>2975</v>
      </c>
      <c r="F33" s="15" t="s">
        <v>2975</v>
      </c>
      <c r="G33" s="15" t="s">
        <v>2975</v>
      </c>
    </row>
    <row customFormat="1" r="34" s="1" spans="1:7" x14ac:dyDescent="0.25">
      <c r="A34" s="37" t="s">
        <v>4197</v>
      </c>
      <c r="B34" s="14" t="s">
        <v>4062</v>
      </c>
      <c r="C34" s="14" t="s">
        <v>4062</v>
      </c>
      <c r="D34" s="14" t="s">
        <v>4062</v>
      </c>
      <c r="E34" s="14" t="s">
        <v>4062</v>
      </c>
      <c r="F34" s="14" t="s">
        <v>4062</v>
      </c>
      <c r="G34" s="14" t="s">
        <v>4062</v>
      </c>
    </row>
    <row customFormat="1" r="35" s="1" spans="1:7"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row>
    <row customFormat="1" r="36" s="1" spans="1:7" x14ac:dyDescent="0.25">
      <c r="A36" s="2" t="s">
        <v>1598</v>
      </c>
      <c r="B36" s="15"/>
      <c r="C36" s="15"/>
      <c r="D36" s="15"/>
      <c r="E36" s="15"/>
      <c r="F36" s="15"/>
      <c r="G36" s="15"/>
    </row>
    <row customFormat="1" r="37" s="1" spans="1:7" x14ac:dyDescent="0.25">
      <c r="A37" s="37" t="s">
        <v>4200</v>
      </c>
      <c r="B37" s="45" t="s">
        <v>4104</v>
      </c>
      <c r="C37" s="45" t="s">
        <v>4104</v>
      </c>
      <c r="D37" s="45" t="s">
        <v>4104</v>
      </c>
      <c r="E37" s="45" t="s">
        <v>4104</v>
      </c>
      <c r="F37" s="45" t="s">
        <v>4104</v>
      </c>
      <c r="G37" s="45" t="s">
        <v>4104</v>
      </c>
    </row>
    <row customFormat="1" r="38" s="1" spans="1:7"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row>
    <row customFormat="1" r="39" s="1" spans="1:7" x14ac:dyDescent="0.25">
      <c r="A39" s="37" t="s">
        <v>4202</v>
      </c>
      <c r="B39" s="46" t="s">
        <v>2985</v>
      </c>
      <c r="C39" s="46" t="s">
        <v>2985</v>
      </c>
      <c r="D39" s="46" t="s">
        <v>2985</v>
      </c>
      <c r="E39" s="46" t="s">
        <v>2985</v>
      </c>
      <c r="F39" s="46" t="s">
        <v>2985</v>
      </c>
      <c r="G39" s="46" t="s">
        <v>2985</v>
      </c>
    </row>
    <row customFormat="1" r="40" s="1" spans="1:7" x14ac:dyDescent="0.25">
      <c r="A40" s="37" t="s">
        <v>4203</v>
      </c>
      <c r="B40" s="45" t="s">
        <v>4104</v>
      </c>
      <c r="C40" s="45" t="s">
        <v>4104</v>
      </c>
      <c r="D40" s="45" t="s">
        <v>4104</v>
      </c>
      <c r="E40" s="45" t="s">
        <v>4104</v>
      </c>
      <c r="F40" s="45" t="s">
        <v>4104</v>
      </c>
      <c r="G40" s="45" t="s">
        <v>4104</v>
      </c>
    </row>
    <row customFormat="1" r="41" s="1" spans="1:7"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row>
    <row customFormat="1" r="42" s="1" spans="1:7" x14ac:dyDescent="0.25">
      <c r="A42" s="2" t="s">
        <v>1599</v>
      </c>
      <c r="B42" s="15" t="s">
        <v>26</v>
      </c>
      <c r="C42" s="15" t="s">
        <v>26</v>
      </c>
      <c r="D42" s="15" t="s">
        <v>26</v>
      </c>
      <c r="E42" s="15" t="s">
        <v>26</v>
      </c>
      <c r="F42" s="15" t="s">
        <v>26</v>
      </c>
      <c r="G42" s="15" t="s">
        <v>26</v>
      </c>
    </row>
  </sheetData>
  <mergeCells count="1">
    <mergeCell ref="A11:XFD11"/>
  </mergeCells>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4118</v>
      </c>
      <c r="BI1" s="21" t="s">
        <v>4133</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4119</v>
      </c>
      <c r="BI2" s="9" t="s">
        <v>4134</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4120</v>
      </c>
      <c r="BI3" s="9" t="s">
        <v>4135</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4121</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4122</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4123</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4124</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4125</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4126</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4127</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4128</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4129</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4130</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4131</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4132</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2023-02-16T08:52:25Z</dcterms:modified>
</cp:coreProperties>
</file>