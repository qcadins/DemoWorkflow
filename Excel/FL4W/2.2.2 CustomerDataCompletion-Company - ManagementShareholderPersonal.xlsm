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FL4W\"/>
    </mc:Choice>
  </mc:AlternateContent>
  <bookViews>
    <workbookView xWindow="0" yWindow="0" windowWidth="20490" windowHeight="5850" tabRatio="653" firstSheet="2" activeTab="6"/>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5" l="1"/>
  <c r="C10" i="5"/>
  <c r="B12" i="1"/>
  <c r="B4" i="5" l="1"/>
  <c r="C9" i="5"/>
  <c r="C3" i="7" l="1"/>
  <c r="B3" i="7"/>
  <c r="C41" i="7"/>
  <c r="C38" i="7"/>
  <c r="C35" i="7"/>
  <c r="C32" i="7"/>
  <c r="C30" i="7"/>
  <c r="C28" i="7"/>
  <c r="C26" i="7"/>
  <c r="C22" i="7"/>
  <c r="C18" i="7"/>
  <c r="C16" i="7"/>
  <c r="C14" i="7"/>
  <c r="C12" i="7"/>
  <c r="C10" i="7"/>
  <c r="C4" i="7"/>
  <c r="G10" i="6"/>
  <c r="G4" i="6"/>
  <c r="F10" i="6"/>
  <c r="F4" i="6"/>
  <c r="E10" i="6"/>
  <c r="E4" i="6"/>
  <c r="G10" i="5"/>
  <c r="G9" i="5"/>
  <c r="G4" i="5"/>
  <c r="F10" i="5"/>
  <c r="F9" i="5"/>
  <c r="F4" i="5"/>
  <c r="E10" i="5"/>
  <c r="E9" i="5"/>
  <c r="E4" i="5"/>
  <c r="C3" i="3"/>
  <c r="B3" i="3"/>
  <c r="B47" i="3"/>
  <c r="B42" i="3"/>
  <c r="B38" i="3"/>
  <c r="B32" i="3"/>
  <c r="B28" i="3"/>
  <c r="B21" i="3"/>
  <c r="B14" i="3"/>
  <c r="B10" i="3"/>
  <c r="B4" i="3"/>
  <c r="C10" i="3"/>
  <c r="B3" i="2"/>
  <c r="C21" i="3" l="1"/>
  <c r="B10" i="2" l="1"/>
  <c r="C4" i="4"/>
  <c r="D10" i="5"/>
  <c r="D9" i="5"/>
  <c r="D10" i="6"/>
  <c r="D4" i="6"/>
  <c r="C4" i="6"/>
  <c r="D4" i="5" l="1"/>
  <c r="C4" i="5" l="1"/>
  <c r="B4" i="6" l="1"/>
  <c r="C4" i="3" l="1"/>
  <c r="B4" i="4"/>
  <c r="B4" i="2" l="1"/>
  <c r="B4" i="1"/>
  <c r="C23" i="5" l="1"/>
  <c r="C14" i="3"/>
  <c r="C28" i="3"/>
  <c r="C32" i="3"/>
  <c r="C38" i="3"/>
  <c r="C42" i="3"/>
  <c r="C47" i="3"/>
  <c r="C10" i="4" l="1"/>
  <c r="C10" i="6"/>
  <c r="B9" i="2"/>
  <c r="B10" i="7" l="1"/>
  <c r="B10" i="6"/>
  <c r="B10" i="4"/>
  <c r="B9" i="5"/>
  <c r="B26" i="1" l="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<sst xmlns="http://schemas.openxmlformats.org/spreadsheetml/2006/main" count="4645" uniqueCount="4254">
  <si>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</si>
  <si>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</si>
  <si>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</si>
  <si>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</si>
  <si>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</si>
  <si>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</si>
  <si>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</si>
  <si>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</si>
  <si>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</si>
  <si>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</si>
  <si>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</si>
  <si>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</si>
  <si>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</si>
  <si>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</si>
  <si>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</si>
  <si>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</si>
  <si>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</si>
  <si>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</si>
  <si>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</si>
  <si>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</si>
  <si>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</si>
  <si>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</si>
  <si>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</si>
  <si>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</si>
  <si>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</si>
  <si>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</si>
  <si>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</si>
  <si>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</si>
  <si>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</si>
  <si>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</si>
  <si>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</si>
  <si>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</si>
  <si>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</si>
  <si>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</si>
  <si>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</si>
  <si>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</si>
  <si>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</si>
  <si>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</si>
  <si>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</si>
  <si>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</si>
  <si>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</si>
  <si>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</si>
  <si>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</si>
  <si>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</si>
  <si>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</si>
  <si>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</si>
  <si>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</si>
  <si>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</si>
  <si>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</si>
  <si>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</si>
  <si>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</si>
  <si>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</si>
  <si>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</si>
  <si>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</si>
  <si>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</si>
  <si>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</si>
  <si>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</si>
  <si>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</si>
  <si>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</si>
  <si>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</si>
  <si>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</si>
  <si>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</si>
  <si>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</si>
  <si>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</si>
  <si>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</si>
  <si>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</si>
  <si>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</si>
  <si>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</si>
  <si>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</si>
  <si>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</si>
  <si>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</si>
  <si>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</si>
  <si>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</si>
  <si>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</si>
  <si>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</si>
  <si>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</si>
  <si>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</si>
  <si>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</si>
  <si>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</si>
  <si>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</si>
  <si>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</si>
  <si>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</si>
  <si>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</si>
  <si>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</si>
  <si>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</si>
  <si>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</si>
  <si>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</si>
  <si>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</si>
  <si>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</si>
  <si>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</si>
  <si>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</si>
  <si>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</si>
  <si>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</si>
  <si>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</si>
  <si>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</si>
  <si>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</si>
  <si>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</si>
  <si>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</si>
  <si>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</si>
  <si>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</si>
  <si>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</si>
  <si>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</si>
  <si>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</si>
  <si>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</si>
  <si>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</si>
  <si>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</si>
  <si>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</si>
  <si>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</si>
  <si>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</si>
  <si>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</si>
  <si>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</si>
  <si>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</si>
  <si>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</si>
  <si>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</si>
  <si>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</si>
  <si>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</si>
  <si>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</si>
  <si>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</si>
  <si>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</si>
  <si>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</si>
  <si>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</si>
  <si>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</si>
  <si>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</si>
  <si>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</si>
  <si>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</si>
  <si>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</si>
  <si>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</si>
  <si>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</si>
  <si>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</si>
  <si>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</si>
  <si>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</si>
  <si>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</si>
  <si>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</si>
  <si>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</si>
  <si>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</si>
  <si>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</si>
  <si>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</si>
  <si>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</si>
  <si>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</si>
  <si>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</si>
  <si>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</si>
  <si>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</si>
  <si>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</si>
  <si>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</si>
  <si>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</si>
  <si>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</si>
  <si>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</si>
  <si>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</si>
  <si>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</si>
  <si>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</si>
  <si>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</si>
  <si>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</si>
  <si>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</si>
  <si>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</si>
  <si>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</si>
  <si>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</si>
  <si>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</si>
  <si>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</si>
  <si>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</si>
  <si>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</si>
  <si>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</si>
  <si>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</si>
  <si>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</si>
  <si>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</si>
  <si>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</si>
  <si>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</si>
  <si>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</si>
  <si>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</si>
  <si>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</si>
  <si>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</si>
  <si>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</si>
  <si>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</si>
  <si>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</si>
  <si>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</si>
  <si>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</si>
  <si>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</si>
  <si>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</si>
  <si>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</si>
  <si>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</si>
  <si>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</si>
  <si>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</si>
  <si>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</si>
  <si>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</si>
  <si>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</si>
  <si>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</si>
  <si>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</si>
  <si>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</si>
  <si>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</si>
  <si>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</si>
  <si>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</si>
  <si>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</si>
  <si>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</si>
  <si>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</si>
  <si>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</si>
  <si>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</si>
  <si>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</si>
  <si>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</si>
  <si>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</si>
  <si>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</si>
  <si>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</si>
  <si>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</si>
  <si>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</si>
  <si>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</si>
  <si>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</si>
  <si>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</si>
  <si>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</si>
  <si>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</si>
  <si>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</si>
  <si>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</si>
  <si>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</si>
  <si>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</si>
  <si>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</si>
  <si>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</si>
  <si>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</si>
  <si>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</si>
  <si>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</si>
  <si>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</si>
  <si>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</si>
  <si>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</si>
  <si>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</si>
  <si>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</si>
  <si>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</si>
  <si>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</si>
  <si>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</si>
  <si>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</si>
  <si>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</si>
  <si>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</si>
  <si>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</si>
  <si>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</si>
  <si>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</si>
  <si>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</si>
  <si>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</si>
  <si>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</si>
  <si>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</si>
  <si>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</si>
  <si>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</si>
  <si>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</si>
  <si>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</si>
  <si>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</si>
  <si>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</si>
  <si>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</si>
  <si>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</si>
  <si>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</si>
  <si>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</si>
  <si>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</si>
  <si>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</si>
  <si>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</si>
  <si>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</si>
  <si>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</si>
  <si>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</si>
  <si>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</si>
  <si>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</si>
  <si>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</si>
  <si>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</si>
  <si>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</si>
  <si>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</si>
  <si>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</si>
  <si>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</si>
  <si>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</si>
  <si>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</si>
  <si>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</si>
  <si>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</si>
  <si>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</si>
  <si>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</si>
  <si>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</si>
  <si>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</si>
  <si>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</si>
  <si>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</si>
  <si>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</si>
  <si>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</si>
  <si>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</si>
  <si>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</si>
  <si>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</si>
  <si>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</si>
  <si>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</si>
  <si>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</si>
  <si>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</si>
  <si>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</si>
  <si>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</si>
  <si>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</si>
  <si>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</si>
  <si>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</si>
  <si>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</si>
  <si>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</si>
  <si>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</si>
  <si>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</si>
  <si>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</si>
  <si>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</si>
  <si>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</si>
  <si>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</si>
  <si>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</si>
  <si>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</si>
  <si>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</si>
  <si>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</si>
  <si>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</si>
  <si>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</si>
  <si>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</si>
  <si>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</si>
  <si>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</si>
  <si>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</si>
  <si>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</si>
  <si>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</si>
  <si>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</si>
  <si>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</si>
  <si>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</si>
  <si>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</si>
  <si>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</si>
  <si>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</si>
  <si>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</si>
  <si>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</si>
  <si>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</si>
  <si>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</si>
  <si>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</si>
  <si>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</si>
  <si>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</si>
  <si>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</si>
  <si>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</si>
  <si>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</si>
  <si>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</si>
  <si>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</si>
  <si>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</si>
  <si>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</si>
  <si>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</si>
  <si>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</si>
  <si>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</si>
  <si>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</si>
  <si>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</si>
  <si>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</si>
  <si>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</si>
  <si>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</si>
  <si>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</si>
  <si>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</si>
  <si>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</si>
  <si>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</si>
  <si>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</si>
  <si>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</si>
  <si>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</si>
  <si>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</si>
  <si>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</si>
  <si>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</si>
  <si>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</si>
  <si>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</si>
  <si>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</si>
  <si>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</si>
  <si>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</si>
  <si>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</si>
  <si>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</si>
  <si>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</si>
  <si>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</si>
  <si>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</si>
  <si>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</si>
  <si>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</si>
  <si>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</si>
  <si>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</si>
  <si>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</si>
  <si>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</si>
  <si>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</si>
  <si>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</si>
  <si>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</si>
  <si>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</si>
  <si>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</si>
  <si>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</si>
  <si>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</si>
  <si>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</si>
  <si>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</si>
  <si>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</si>
  <si>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</si>
  <si>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</si>
  <si>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</si>
  <si>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</si>
  <si>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</si>
  <si>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</si>
  <si>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</si>
  <si>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</si>
  <si>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</si>
  <si>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</si>
  <si>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</si>
  <si>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</si>
  <si>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</si>
  <si>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</si>
  <si>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</si>
  <si>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</si>
  <si>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</si>
  <si>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</si>
  <si>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</si>
  <si>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</si>
  <si>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</si>
  <si>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</si>
  <si>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</si>
  <si>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</si>
  <si>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</si>
  <si>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</si>
  <si>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</si>
  <si>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</si>
  <si>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</si>
  <si>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</si>
  <si>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</si>
  <si>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</si>
  <si>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</si>
  <si>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</si>
  <si>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</si>
  <si>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</si>
  <si>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</si>
  <si>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</si>
  <si>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</si>
  <si>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</si>
  <si>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</si>
  <si>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</si>
  <si>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</si>
  <si>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</si>
  <si>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</si>
  <si>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</si>
  <si>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</si>
  <si>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</si>
  <si>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</si>
  <si>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</si>
  <si>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</si>
  <si>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</si>
  <si>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</si>
  <si>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</si>
  <si>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</si>
  <si>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</si>
  <si>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</si>
  <si>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</si>
  <si>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</si>
  <si>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</si>
  <si>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</si>
  <si>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</si>
  <si>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</si>
  <si>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</si>
  <si>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</si>
  <si>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</si>
  <si>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</si>
  <si>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</si>
  <si>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</si>
  <si>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</si>
  <si>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</si>
  <si>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</si>
  <si>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</si>
  <si>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</si>
  <si>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</si>
  <si>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</si>
  <si>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</si>
  <si>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</si>
  <si>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</si>
  <si>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</si>
  <si>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</si>
  <si>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</si>
  <si>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</si>
  <si>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</si>
  <si>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</si>
  <si>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</si>
  <si>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</si>
  <si>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</si>
  <si>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</si>
  <si>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</si>
  <si>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</si>
  <si>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</si>
  <si>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</si>
  <si>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</si>
  <si>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</si>
  <si>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</si>
  <si>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</si>
  <si>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</si>
  <si>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</si>
  <si>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</si>
  <si>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</si>
  <si>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</si>
  <si>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</si>
  <si>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</si>
  <si>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</si>
  <si>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</si>
  <si>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</si>
  <si>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</si>
  <si>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</si>
  <si>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</si>
  <si>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</si>
  <si>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</si>
  <si>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</si>
  <si>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</si>
  <si>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</si>
  <si>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</si>
  <si>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</si>
  <si>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</si>
  <si>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</si>
  <si>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</si>
  <si>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</si>
  <si>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</si>
  <si>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</si>
  <si>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</si>
  <si>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</si>
  <si>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</si>
  <si>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</si>
  <si>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</si>
  <si>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</si>
  <si>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</si>
  <si>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</si>
  <si>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</si>
  <si>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</si>
  <si>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</si>
  <si>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</si>
  <si>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</si>
  <si>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</si>
  <si>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</si>
  <si>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</si>
  <si>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</si>
  <si>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</si>
  <si>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</si>
  <si>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</si>
  <si>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</si>
  <si>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</si>
  <si>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</si>
  <si>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</si>
  <si>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</si>
  <si>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</si>
  <si>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</si>
  <si>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</si>
  <si>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</si>
  <si>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</si>
  <si>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</si>
  <si>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</si>
  <si>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</si>
  <si>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</si>
  <si>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</si>
  <si>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</si>
  <si>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</si>
  <si>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</si>
  <si>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</si>
  <si>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</si>
  <si>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</si>
  <si>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</si>
  <si>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</si>
  <si>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</si>
  <si>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</si>
  <si>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</si>
  <si>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</si>
  <si>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</si>
  <si>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</si>
  <si>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</si>
  <si>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</si>
  <si>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</si>
  <si>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</si>
  <si>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</si>
  <si>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</si>
  <si>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</si>
  <si>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</si>
  <si>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</si>
  <si>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</si>
  <si>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</si>
  <si>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</si>
  <si>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</si>
  <si>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</si>
  <si>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</si>
  <si>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</si>
  <si>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</si>
  <si>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</si>
  <si>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</si>
  <si>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</si>
  <si>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</si>
  <si>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</si>
  <si>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</si>
  <si>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</si>
  <si>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</si>
  <si>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</si>
  <si>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</si>
  <si>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</si>
  <si>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</si>
  <si>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</si>
  <si>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</si>
  <si>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</si>
  <si>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</si>
  <si>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</si>
  <si>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</si>
  <si>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</si>
  <si>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</si>
  <si>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</si>
  <si>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</si>
  <si>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</si>
  <si>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</si>
  <si>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</si>
  <si>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</si>
  <si>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</si>
  <si>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</si>
  <si>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</si>
  <si>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</si>
  <si>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</si>
  <si>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</si>
  <si>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</si>
  <si>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</si>
  <si>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</si>
  <si>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</si>
  <si>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</si>
  <si>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</si>
  <si>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</si>
  <si>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</si>
  <si>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</si>
  <si>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</si>
  <si>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</si>
  <si>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</si>
  <si>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</si>
  <si>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</si>
  <si>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</si>
  <si>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</si>
  <si>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</si>
  <si>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</si>
  <si>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</si>
  <si>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</si>
  <si>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</si>
  <si>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</si>
  <si>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</si>
  <si>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</si>
  <si>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</si>
  <si>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</si>
  <si>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</si>
  <si>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</si>
  <si>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</si>
  <si>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</si>
  <si>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</si>
  <si>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</si>
  <si>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</si>
  <si>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</si>
  <si>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</si>
  <si>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</si>
  <si>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</si>
  <si>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</si>
  <si>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</si>
  <si>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</si>
  <si>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</si>
  <si>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</si>
  <si>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</si>
  <si>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</si>
  <si>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</si>
  <si>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</si>
  <si>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</si>
  <si>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</si>
  <si>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</si>
  <si>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</si>
  <si>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</si>
  <si>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</si>
  <si>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</si>
  <si>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</si>
  <si>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</si>
  <si>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</si>
  <si>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</si>
  <si>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</si>
  <si>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</si>
  <si>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</si>
  <si>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</si>
  <si>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</si>
  <si>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</si>
  <si>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</si>
  <si>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</si>
  <si>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</si>
  <si>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</si>
  <si>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</si>
  <si>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</si>
  <si>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</si>
  <si>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</si>
  <si>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</si>
  <si>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</si>
  <si>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</si>
  <si>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</si>
  <si>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</si>
  <si>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</si>
  <si>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</si>
  <si>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</si>
  <si>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</si>
  <si>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</si>
  <si>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</si>
  <si>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</si>
  <si>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</si>
  <si>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</si>
  <si>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</si>
  <si>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</si>
  <si>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</si>
  <si>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</si>
  <si>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</si>
  <si>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</si>
  <si>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</si>
  <si>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</si>
  <si>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</si>
  <si>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</si>
  <si>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</si>
  <si>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</si>
  <si>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</si>
  <si>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</si>
  <si>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</si>
  <si>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</si>
  <si>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</si>
  <si>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</si>
  <si>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</si>
  <si>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</si>
  <si>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</si>
  <si>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</si>
  <si>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</si>
  <si>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</si>
  <si>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</si>
  <si>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</si>
  <si>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</si>
  <si>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</si>
  <si>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</si>
  <si>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</si>
  <si>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</si>
  <si>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</si>
  <si>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</si>
  <si>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</si>
  <si>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</si>
  <si>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</si>
  <si>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</si>
  <si>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</si>
  <si>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</si>
  <si>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</si>
  <si>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</si>
  <si>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</si>
  <si>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</si>
  <si>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</si>
  <si>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</si>
  <si>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</si>
  <si>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</si>
  <si>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</si>
  <si>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</si>
  <si>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</si>
  <si>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</si>
  <si>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</si>
  <si>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</si>
  <si>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</si>
  <si>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</si>
  <si>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</si>
  <si>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</si>
  <si>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</si>
  <si>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</si>
  <si>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</si>
  <si>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</si>
  <si>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</si>
  <si>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</si>
  <si>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</si>
  <si>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</si>
  <si>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</si>
  <si>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</si>
  <si>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</si>
  <si>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</si>
  <si>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</si>
  <si>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</si>
  <si>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</si>
  <si>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</si>
  <si>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</si>
  <si>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</si>
  <si>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</si>
  <si>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</si>
  <si>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</si>
  <si>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</si>
  <si>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</si>
  <si>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</si>
  <si>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</si>
  <si>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</si>
  <si>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</si>
  <si>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</si>
  <si>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</si>
  <si>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</si>
  <si>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</si>
  <si>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</si>
  <si>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</si>
  <si>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</si>
  <si>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</si>
  <si>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</si>
  <si>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</si>
  <si>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</si>
  <si>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</si>
  <si>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</si>
  <si>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</si>
  <si>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</si>
  <si>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</si>
  <si>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</si>
  <si>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</si>
  <si>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</si>
  <si>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</si>
  <si>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</si>
  <si>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</si>
  <si>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</si>
  <si>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</si>
  <si>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</si>
  <si>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</si>
  <si>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</si>
  <si>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</si>
  <si>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</si>
  <si>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</si>
  <si>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</si>
  <si>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</si>
  <si>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</si>
  <si>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</si>
  <si>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</si>
  <si>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</si>
  <si>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</si>
  <si>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</si>
  <si>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</si>
  <si>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</si>
  <si>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</si>
  <si>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</si>
  <si>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</si>
  <si>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</si>
  <si>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</si>
  <si>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</si>
  <si>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</si>
  <si>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</si>
  <si>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</si>
  <si>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</si>
  <si>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</si>
  <si>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</si>
  <si>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</si>
  <si>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</si>
  <si>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</si>
  <si>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</si>
  <si>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</si>
  <si>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</si>
  <si>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</si>
  <si>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</si>
  <si>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</si>
  <si>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</si>
  <si>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</si>
  <si>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</si>
  <si>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</si>
  <si>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</si>
  <si>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</si>
  <si>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</si>
  <si>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</si>
  <si>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</si>
  <si>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</si>
  <si>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</si>
  <si>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</si>
  <si>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</si>
  <si>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</si>
  <si>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</si>
  <si>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</si>
  <si>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</si>
  <si>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</si>
  <si>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</si>
  <si>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</si>
  <si>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</si>
  <si>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</si>
  <si>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</si>
  <si>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</si>
  <si>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</si>
  <si>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</si>
  <si>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</si>
  <si>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</si>
  <si>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</si>
  <si>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</si>
  <si>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</si>
  <si>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</si>
  <si>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</si>
  <si>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</si>
  <si>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</si>
  <si>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</si>
  <si>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</si>
  <si>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</si>
  <si>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</si>
  <si>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</si>
  <si>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</si>
  <si>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</si>
  <si>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</si>
  <si>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</si>
  <si>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</si>
  <si>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</si>
  <si>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</si>
  <si>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</si>
  <si>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</si>
  <si>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</si>
  <si>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</si>
  <si>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</si>
  <si>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</si>
  <si>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</si>
  <si>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</si>
  <si>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</si>
  <si>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</si>
  <si>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</si>
  <si>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</si>
  <si>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</si>
  <si>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</si>
  <si>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</si>
  <si>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</si>
  <si>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</si>
  <si>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</si>
  <si>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</si>
  <si>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</si>
  <si>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</si>
  <si>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</si>
  <si>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</si>
  <si>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</si>
  <si>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</si>
  <si>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</si>
  <si>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</si>
  <si>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</si>
  <si>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</si>
  <si>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</si>
  <si>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</si>
  <si>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</si>
  <si>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</si>
  <si>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</si>
  <si>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</si>
  <si>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</si>
  <si>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</si>
  <si>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</si>
  <si>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</si>
  <si>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</si>
  <si>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</si>
  <si>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</si>
  <si>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</si>
  <si>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</si>
  <si>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</si>
  <si>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</si>
  <si>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</si>
  <si>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</si>
  <si>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</si>
  <si>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</si>
  <si>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</si>
  <si>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</si>
  <si>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</si>
  <si>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</si>
  <si>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</si>
  <si>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</si>
  <si>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</si>
  <si>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</si>
  <si>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</si>
  <si>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</si>
  <si>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</si>
  <si>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</si>
  <si>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</si>
  <si>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</si>
  <si>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</si>
  <si>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</si>
  <si>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</si>
  <si>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</si>
  <si>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</si>
  <si>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</si>
  <si>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</si>
  <si>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</si>
  <si>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</si>
  <si>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</si>
  <si>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</si>
  <si>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</si>
  <si>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</si>
  <si>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</si>
  <si>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</si>
  <si>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</si>
  <si>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</si>
  <si>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</si>
  <si>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</si>
  <si>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</si>
  <si>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</si>
  <si>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</si>
  <si>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</si>
  <si>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</si>
  <si>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</si>
  <si>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</si>
  <si>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</si>
  <si>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</si>
  <si>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</si>
  <si>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</si>
  <si>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</si>
  <si>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</si>
  <si>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</si>
  <si>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</si>
  <si>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</si>
  <si>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</si>
  <si>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</si>
  <si>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</si>
  <si>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</si>
  <si>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</si>
  <si>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</si>
  <si>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</si>
  <si>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</si>
  <si>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</si>
  <si>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</si>
  <si>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</si>
  <si>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</si>
  <si>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</si>
  <si>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</si>
  <si>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</si>
  <si>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</si>
  <si>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</si>
  <si>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</si>
  <si>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</si>
  <si>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</si>
  <si>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</si>
  <si>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</si>
  <si>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</si>
  <si>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</si>
  <si>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</si>
  <si>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</si>
  <si>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</si>
  <si>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</si>
  <si>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</si>
  <si>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</si>
  <si>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</si>
  <si>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</si>
  <si>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</si>
  <si>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</si>
  <si>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</si>
  <si>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</si>
  <si>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</si>
  <si>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</si>
  <si>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</si>
  <si>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</si>
  <si>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</si>
  <si>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</si>
  <si>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</si>
  <si>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</si>
  <si>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</si>
  <si>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</si>
  <si>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</si>
  <si>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</si>
  <si>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</si>
  <si>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</si>
  <si>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</si>
  <si>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</si>
  <si>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</si>
  <si>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</si>
  <si>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</si>
  <si>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</si>
  <si>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</si>
  <si>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</si>
  <si>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</si>
  <si>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</si>
  <si>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</si>
  <si>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</si>
  <si>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</si>
  <si>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</si>
  <si>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</si>
  <si>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</si>
  <si>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</si>
  <si>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</si>
  <si>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</si>
  <si>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</si>
  <si>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</si>
  <si>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</si>
  <si>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</si>
  <si>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</si>
  <si>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</si>
  <si>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</si>
  <si>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</si>
  <si>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</si>
  <si>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</si>
  <si>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</si>
  <si>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</si>
  <si>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</si>
  <si>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</si>
  <si>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</si>
  <si>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</si>
  <si>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</si>
  <si>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</si>
  <si>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</si>
  <si>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</si>
  <si>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</si>
  <si>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</si>
  <si>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</si>
  <si>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</si>
  <si>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</si>
  <si>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</si>
  <si>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</si>
  <si>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</si>
  <si>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</si>
  <si>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</si>
  <si>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</si>
  <si>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</si>
  <si>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</si>
  <si>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</si>
  <si>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</si>
  <si>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</si>
  <si>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</si>
  <si>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</si>
  <si>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</si>
  <si>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</si>
  <si>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</si>
  <si>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</si>
  <si>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</si>
  <si>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</si>
  <si>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</si>
  <si>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</si>
  <si>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</si>
  <si>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</si>
  <si>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</si>
  <si>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</si>
  <si>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</si>
  <si>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</si>
  <si>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</si>
  <si>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</si>
  <si>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</si>
  <si>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</si>
  <si>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</si>
  <si>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</si>
  <si>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</si>
  <si>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</si>
  <si>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</si>
  <si>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</si>
  <si>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</si>
  <si>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</si>
  <si>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</si>
  <si>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</si>
  <si>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</si>
  <si>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</si>
  <si>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</si>
  <si>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</si>
  <si>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</si>
  <si>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</si>
  <si>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</si>
  <si>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</si>
  <si>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</si>
  <si>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</si>
  <si>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</si>
  <si>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</si>
  <si>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</si>
  <si>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</si>
  <si>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</si>
  <si>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</si>
  <si>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</si>
  <si>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</si>
  <si>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</si>
  <si>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</si>
  <si>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</si>
  <si>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</si>
  <si>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</si>
  <si>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</si>
  <si>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</si>
  <si>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</si>
  <si>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</si>
  <si>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</si>
  <si>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</si>
  <si>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</si>
  <si>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</si>
  <si>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</si>
  <si>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</si>
  <si>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</si>
  <si>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</si>
  <si>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</si>
  <si>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</si>
  <si>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</si>
  <si>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</si>
  <si>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</si>
  <si>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</si>
  <si>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</si>
  <si>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</si>
  <si>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</si>
  <si>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</si>
  <si>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</si>
  <si>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</si>
  <si>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</si>
  <si>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</si>
  <si>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</si>
  <si>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</si>
  <si>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</si>
  <si>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</si>
  <si>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</si>
  <si>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</si>
  <si>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</si>
  <si>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</si>
  <si>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</si>
  <si>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</si>
  <si>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</si>
  <si>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</si>
  <si>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</si>
  <si>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</si>
  <si>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</si>
  <si>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</si>
  <si>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</si>
  <si>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</si>
  <si>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</si>
  <si>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</si>
  <si>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</si>
  <si>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</si>
  <si>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</si>
  <si>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</si>
  <si>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</si>
  <si>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</si>
  <si>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</si>
  <si>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</si>
  <si>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</si>
  <si>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</si>
  <si>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</si>
  <si>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</si>
  <si>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</si>
  <si>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</si>
  <si>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</si>
  <si>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</si>
  <si>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</si>
  <si>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</si>
  <si>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</si>
  <si>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</si>
  <si>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</si>
  <si>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</si>
  <si>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</si>
  <si>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</si>
  <si>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</si>
  <si>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</si>
  <si>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</si>
  <si>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</si>
  <si>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</si>
  <si>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</si>
  <si>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</si>
  <si>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</si>
  <si>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</si>
  <si>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</si>
  <si>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</si>
  <si>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</si>
  <si>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</si>
  <si>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</si>
  <si>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</si>
  <si>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</si>
  <si>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</si>
  <si>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</si>
  <si>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</si>
  <si>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</si>
  <si>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</si>
  <si>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</si>
  <si>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</si>
  <si>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</si>
  <si>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</si>
  <si>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</si>
  <si>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</si>
  <si>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</si>
  <si>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</si>
  <si>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</si>
  <si>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</si>
  <si>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</si>
  <si>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</si>
  <si>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</si>
  <si>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</si>
  <si>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</si>
  <si>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</si>
  <si>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</si>
  <si>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</si>
  <si>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</si>
  <si>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</si>
  <si>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</si>
  <si>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</si>
  <si>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</si>
  <si>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</si>
  <si>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</si>
  <si>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</si>
  <si>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</si>
  <si>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</si>
  <si>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</si>
  <si>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</si>
  <si>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</si>
  <si>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</si>
  <si>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</si>
  <si>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</si>
  <si>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</si>
  <si>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</si>
  <si>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</si>
  <si>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</si>
  <si>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</si>
  <si>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</si>
  <si>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</si>
  <si>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</si>
  <si>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</si>
  <si>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</si>
  <si>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</si>
  <si>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</si>
  <si>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</si>
  <si>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</si>
  <si>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</si>
  <si>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</si>
  <si>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</si>
  <si>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</si>
  <si>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</si>
  <si>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</si>
  <si>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</si>
  <si>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</si>
  <si>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</si>
  <si>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</si>
  <si>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</si>
  <si>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</si>
  <si>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</si>
  <si>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</si>
  <si>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</si>
  <si>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</si>
  <si>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</si>
  <si>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</si>
  <si>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</si>
  <si>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</si>
  <si>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</si>
  <si>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</si>
  <si>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</si>
  <si>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</si>
  <si>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</si>
  <si>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</si>
  <si>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</si>
  <si>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</si>
  <si>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</si>
  <si>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</si>
  <si>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</si>
  <si>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</si>
  <si>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</si>
  <si>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</si>
  <si>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</si>
  <si>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</si>
  <si>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</si>
  <si>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</si>
  <si>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</si>
  <si>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</si>
  <si>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</si>
  <si>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</si>
  <si>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</si>
  <si>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</si>
  <si>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</si>
  <si>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</si>
  <si>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</si>
  <si>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</si>
  <si>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</si>
  <si>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</si>
  <si>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</si>
  <si>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</si>
  <si>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</si>
  <si>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</si>
  <si>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</si>
  <si>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</si>
  <si>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</si>
  <si>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</si>
  <si>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</si>
  <si>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</si>
  <si>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</si>
  <si>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</si>
  <si>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</si>
  <si>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</si>
  <si>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</si>
  <si>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</si>
  <si>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</si>
  <si>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</si>
  <si>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</si>
  <si>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</si>
  <si>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</si>
  <si>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</si>
  <si>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</si>
  <si>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</si>
  <si>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</si>
  <si>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</si>
  <si>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</si>
  <si>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</si>
  <si>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</si>
  <si>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</si>
  <si>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</si>
  <si>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</si>
  <si>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</si>
  <si>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</si>
  <si>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</si>
  <si>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</si>
  <si>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</si>
  <si>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</si>
  <si>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</si>
  <si>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</si>
  <si>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</si>
  <si>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</si>
  <si>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</si>
  <si>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</si>
  <si>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</si>
  <si>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</si>
  <si>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</si>
  <si>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</si>
  <si>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</si>
  <si>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</si>
  <si>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</si>
  <si>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</si>
  <si>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</si>
  <si>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</si>
  <si>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</si>
  <si>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</si>
  <si>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</si>
  <si>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</si>
  <si>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</si>
  <si>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</si>
  <si>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</si>
  <si>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</si>
  <si>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</si>
  <si>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</si>
  <si>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</si>
  <si>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</si>
  <si>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</si>
  <si>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</si>
  <si>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</si>
  <si>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</si>
  <si>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</si>
  <si>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</si>
  <si>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</si>
  <si>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</si>
  <si>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</si>
  <si>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</si>
  <si>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</si>
  <si>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</si>
  <si>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</si>
  <si>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</si>
  <si>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</si>
  <si>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</si>
  <si>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</si>
  <si>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</si>
  <si>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</si>
  <si>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</si>
  <si>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</si>
  <si>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</si>
  <si>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</si>
  <si>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</si>
  <si>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</si>
  <si>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</si>
  <si>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</si>
  <si>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</si>
  <si>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</si>
  <si>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</si>
  <si>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</si>
  <si>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</si>
  <si>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</si>
  <si>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</si>
  <si>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</si>
  <si>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</si>
  <si>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</si>
  <si>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</si>
  <si>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</si>
  <si>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</si>
  <si>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</si>
  <si>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</si>
  <si>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</si>
  <si>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</si>
  <si>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</si>
  <si>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</si>
  <si>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</si>
  <si>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</si>
  <si>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</si>
  <si>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</si>
  <si>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</si>
  <si>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</si>
  <si>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</si>
  <si>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</si>
  <si>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</si>
  <si>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</si>
  <si>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</si>
  <si>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</si>
  <si>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</si>
  <si>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</si>
  <si>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</si>
  <si>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</si>
  <si>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</si>
  <si>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</si>
  <si>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</si>
  <si>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</si>
  <si>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</si>
  <si>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</si>
  <si>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</si>
  <si>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</si>
  <si>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</si>
  <si>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</si>
  <si>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</si>
  <si>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</si>
  <si>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</si>
  <si>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</si>
  <si>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</si>
  <si>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</si>
  <si>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</si>
  <si>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</si>
  <si>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</si>
  <si>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</si>
  <si>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</si>
  <si>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</si>
  <si>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</si>
  <si>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</si>
  <si>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</si>
  <si>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</si>
  <si>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</si>
  <si>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</si>
  <si>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</si>
  <si>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</si>
  <si>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</si>
  <si>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</si>
  <si>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</si>
  <si>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</si>
  <si>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</si>
  <si>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</si>
  <si>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</si>
  <si>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</si>
  <si>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</si>
  <si>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</si>
  <si>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</si>
  <si>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</si>
  <si>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</si>
  <si>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</si>
  <si>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</si>
  <si>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</si>
  <si>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</si>
  <si>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</si>
  <si>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</si>
  <si>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</si>
  <si>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</si>
  <si>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</si>
  <si>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</si>
  <si>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</si>
  <si>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</si>
  <si>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</si>
  <si>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</si>
  <si>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</si>
  <si>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</si>
  <si>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</si>
  <si>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</si>
  <si>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</si>
  <si>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</si>
  <si>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</si>
  <si>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</si>
  <si>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</si>
  <si>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</si>
  <si>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</si>
  <si>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</si>
  <si>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</si>
  <si>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</si>
  <si>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</si>
  <si>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</si>
  <si>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</si>
  <si>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</si>
  <si>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</si>
  <si>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</si>
  <si>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</si>
  <si>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</si>
  <si>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</si>
  <si>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</si>
  <si>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</si>
  <si>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</si>
  <si>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</si>
  <si>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</si>
  <si>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</si>
  <si>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</si>
  <si>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</si>
  <si>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</si>
  <si>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</si>
  <si>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</si>
  <si>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</si>
  <si>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</si>
  <si>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</si>
  <si>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</si>
  <si>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</si>
  <si>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</si>
  <si>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</si>
  <si>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</si>
  <si>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</si>
  <si>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</si>
  <si>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</si>
  <si>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</si>
  <si>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</si>
  <si>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</si>
  <si>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</si>
  <si>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</si>
  <si>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</si>
  <si>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</si>
  <si>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</si>
  <si>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</si>
  <si>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</si>
  <si>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</si>
  <si>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</si>
  <si>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</si>
  <si>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</si>
  <si>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</si>
  <si>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</si>
  <si>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</si>
  <si>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</si>
  <si>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</si>
  <si>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</si>
  <si>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</si>
  <si>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</si>
  <si>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</si>
  <si>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</si>
  <si>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</si>
  <si>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</si>
  <si>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</si>
  <si>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</si>
  <si>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</si>
  <si>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</si>
  <si>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</si>
  <si>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</si>
  <si>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</si>
  <si>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</si>
  <si>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</si>
  <si>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</si>
  <si>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</si>
  <si>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</si>
  <si>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</si>
  <si>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</si>
  <si>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</si>
  <si>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</si>
  <si>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</si>
  <si>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</si>
  <si>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</si>
  <si>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</si>
  <si>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</si>
  <si>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</si>
  <si>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</si>
  <si>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</si>
  <si>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</si>
  <si>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</si>
  <si>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</si>
  <si>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</si>
  <si>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</si>
  <si>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</si>
  <si>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</si>
  <si>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</si>
  <si>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</si>
  <si>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</si>
  <si>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</si>
  <si>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</si>
  <si>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</si>
  <si>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</si>
  <si>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</si>
  <si>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</si>
  <si>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</si>
  <si>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</si>
  <si>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</si>
  <si>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</si>
  <si>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</si>
  <si>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</si>
  <si>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</si>
  <si>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</si>
  <si>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</si>
  <si>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</si>
  <si>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</si>
  <si>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</si>
  <si>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</si>
  <si>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</si>
  <si>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</si>
  <si>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</si>
  <si>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</si>
  <si>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</si>
  <si>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</si>
  <si>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</si>
  <si>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</si>
  <si>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</si>
  <si>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</si>
  <si>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</si>
  <si>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</si>
  <si>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</si>
  <si>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</si>
  <si>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</si>
  <si>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</si>
  <si>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</si>
  <si>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</si>
  <si>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</si>
  <si>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</si>
  <si>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</si>
  <si>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</si>
  <si>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</si>
  <si>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</si>
  <si>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</si>
  <si>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</si>
  <si>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</si>
  <si>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</si>
  <si>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</si>
  <si>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</si>
  <si>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</si>
  <si>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</si>
  <si>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</si>
  <si>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</si>
  <si>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</si>
  <si>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</si>
  <si>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</si>
  <si>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</si>
  <si>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</si>
  <si>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</si>
  <si>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</si>
  <si>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</si>
  <si>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</si>
  <si>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</si>
  <si>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</si>
  <si>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</si>
  <si>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</si>
  <si>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</si>
  <si>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</si>
  <si>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</si>
  <si>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</si>
  <si>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</si>
  <si>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</si>
  <si>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</si>
  <si>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</si>
  <si>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</si>
  <si>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</si>
  <si>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</si>
  <si>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</si>
  <si>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</si>
  <si>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</si>
  <si>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</si>
  <si>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</si>
  <si>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</si>
  <si>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</si>
  <si>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</si>
  <si>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</si>
  <si>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</si>
  <si>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</si>
  <si>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</si>
  <si>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</si>
  <si>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</si>
  <si>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</si>
  <si>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</si>
  <si>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</si>
  <si>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</si>
  <si>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</si>
  <si>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</si>
  <si>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</si>
  <si>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</si>
  <si>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</si>
  <si>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</si>
  <si>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</si>
  <si>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</si>
  <si>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</si>
  <si>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</si>
  <si>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</si>
  <si>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</si>
  <si>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</si>
  <si>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</si>
  <si>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</si>
  <si>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</si>
  <si>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</si>
  <si>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</si>
  <si>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</si>
  <si>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</si>
  <si>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</si>
  <si>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</si>
  <si>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</si>
  <si>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</si>
  <si>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</si>
  <si>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</si>
  <si>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</si>
  <si>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</si>
  <si>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</si>
  <si>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</si>
  <si>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</si>
  <si>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</si>
  <si>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</si>
  <si>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</si>
  <si>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</si>
  <si>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</si>
  <si>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</si>
  <si>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</si>
  <si>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</si>
  <si>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</si>
  <si>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</si>
  <si>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</si>
  <si>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</si>
  <si>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</si>
  <si>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</si>
  <si>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</si>
  <si>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</si>
  <si>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</si>
  <si>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</si>
  <si>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</si>
  <si>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</si>
  <si>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</si>
  <si>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</si>
  <si>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</si>
  <si>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</si>
  <si>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</si>
  <si>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</si>
  <si>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</si>
  <si>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</si>
  <si>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</si>
  <si>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</si>
  <si>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</si>
  <si>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</si>
  <si>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</si>
  <si>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</si>
  <si>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</si>
  <si>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</si>
  <si>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</si>
  <si>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</si>
  <si>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</si>
  <si>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</si>
  <si>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</si>
  <si>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</si>
  <si>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</si>
  <si>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</si>
  <si>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</si>
  <si>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</si>
  <si>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</si>
  <si>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</si>
  <si>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</si>
  <si>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</si>
  <si>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</si>
  <si>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</si>
  <si>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</si>
  <si>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</si>
  <si>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</si>
  <si>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</si>
  <si>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</si>
  <si>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</si>
  <si>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</si>
  <si>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</si>
  <si>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</si>
  <si>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</si>
  <si>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</si>
  <si>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</si>
  <si>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</si>
  <si>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</si>
  <si>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</si>
  <si>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</si>
  <si>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</si>
  <si>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</si>
  <si>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</si>
  <si>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</si>
  <si>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</si>
  <si>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</si>
  <si>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</si>
  <si>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</si>
  <si>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</si>
  <si>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</si>
  <si>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</si>
  <si>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</si>
  <si>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</si>
  <si>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</si>
  <si>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</si>
  <si>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</si>
  <si>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</si>
  <si>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</si>
  <si>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</si>
  <si>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</si>
  <si>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</si>
  <si>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</si>
  <si>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</si>
  <si>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</si>
  <si>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</si>
  <si>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</si>
  <si>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</si>
  <si>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</si>
  <si>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</si>
  <si>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</si>
  <si>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</si>
  <si>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</si>
  <si>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</si>
  <si>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</si>
  <si>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</si>
  <si>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</si>
  <si>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</si>
  <si>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</si>
  <si>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</si>
  <si>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</si>
  <si>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</si>
  <si>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</si>
  <si>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</si>
  <si>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</si>
  <si>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</si>
  <si>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</si>
  <si>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</si>
  <si>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</si>
  <si>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</si>
  <si>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</si>
  <si>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</si>
  <si>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</si>
  <si>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</si>
  <si>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</si>
  <si>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</si>
  <si>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</si>
  <si>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</si>
  <si>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</si>
  <si>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</si>
  <si>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</si>
  <si>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</si>
  <si>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</si>
  <si>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</si>
  <si>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</si>
  <si>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</si>
  <si>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</si>
  <si>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</si>
  <si>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</si>
  <si>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</si>
  <si>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</si>
  <si>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</si>
  <si>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</si>
  <si>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</si>
  <si>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</si>
  <si>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</si>
  <si>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</si>
  <si>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</si>
  <si>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</si>
  <si>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</si>
  <si>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</si>
  <si>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</si>
  <si>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</si>
  <si>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</si>
  <si>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</si>
  <si>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</si>
  <si>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</si>
  <si>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</si>
  <si>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</si>
  <si>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</si>
  <si>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</si>
  <si>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</si>
  <si>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</si>
  <si>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</si>
  <si>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</si>
  <si>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</si>
  <si>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</si>
  <si>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</si>
  <si>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</si>
  <si>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</si>
  <si>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</si>
  <si>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</si>
  <si>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</si>
  <si>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</si>
  <si>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</si>
  <si>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</si>
  <si>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</si>
  <si>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</si>
  <si>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</si>
  <si>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</si>
  <si>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</si>
  <si>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</si>
  <si>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</si>
  <si>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</si>
  <si>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</si>
  <si>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</si>
  <si>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</si>
  <si>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</si>
  <si>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</si>
  <si>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</si>
  <si>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</si>
  <si>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</si>
  <si>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</si>
  <si>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</si>
  <si>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</si>
  <si>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</si>
  <si>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</si>
  <si>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</si>
  <si>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</si>
  <si>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</si>
  <si>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</si>
  <si>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</si>
  <si>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</si>
  <si>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</si>
  <si>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</si>
  <si>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</si>
  <si>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</si>
  <si>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</si>
  <si>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</si>
  <si>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</si>
  <si>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</si>
  <si>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</si>
  <si>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</si>
  <si>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</si>
  <si>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</si>
  <si>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</si>
  <si>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</si>
  <si>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</si>
  <si>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</si>
  <si>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</si>
  <si>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</si>
  <si>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</si>
  <si>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</si>
  <si>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</si>
  <si>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</si>
  <si>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</si>
  <si>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</si>
  <si>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</si>
  <si>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</si>
  <si>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</si>
  <si>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</si>
  <si>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</si>
  <si>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</si>
  <si>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</si>
  <si>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</si>
  <si>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</si>
  <si>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</si>
  <si>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</si>
  <si>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</si>
  <si>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</si>
  <si>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</si>
  <si>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</si>
  <si>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</si>
  <si>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</si>
  <si>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</si>
  <si>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</si>
  <si>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</si>
  <si>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</si>
  <si>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</si>
  <si>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</si>
  <si>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</si>
  <si>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</si>
  <si>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</si>
  <si>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</si>
  <si>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</si>
  <si>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</si>
  <si>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</si>
  <si>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</si>
  <si>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</si>
  <si>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</si>
  <si>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</si>
  <si>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</si>
  <si>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</si>
  <si>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</si>
  <si>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</si>
  <si>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</si>
  <si>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</si>
  <si>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</si>
  <si>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</si>
  <si>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</si>
  <si>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</si>
  <si>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</si>
  <si>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</si>
  <si>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</si>
  <si>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</si>
  <si>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</si>
  <si>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</si>
  <si>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</si>
  <si>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</si>
  <si>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</si>
  <si>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</si>
  <si>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</si>
  <si>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</si>
  <si>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</si>
  <si>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</si>
  <si>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</si>
  <si>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</si>
  <si>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</si>
  <si>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</si>
  <si>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</si>
  <si>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</si>
  <si>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</si>
  <si>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</si>
  <si>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</si>
  <si>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</si>
  <si>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</si>
  <si>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</si>
  <si>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</si>
  <si>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</si>
  <si>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</si>
  <si>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</si>
  <si>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</si>
  <si>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</si>
  <si>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</si>
  <si>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</si>
  <si>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</si>
  <si>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</si>
  <si>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</si>
  <si>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</si>
  <si>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</si>
  <si>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</si>
  <si>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</si>
  <si>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</si>
  <si>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</si>
  <si>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</si>
  <si>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</si>
  <si>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</si>
  <si>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</si>
  <si>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</si>
  <si>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</si>
  <si>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</si>
  <si>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</si>
  <si>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</si>
  <si>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</si>
  <si>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</si>
  <si>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</si>
  <si>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</si>
  <si>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</si>
  <si>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</si>
  <si>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</si>
  <si>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</si>
  <si>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</si>
  <si>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</si>
  <si>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</si>
  <si>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</si>
  <si>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</si>
  <si>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</si>
  <si>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</si>
  <si>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</si>
  <si>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</si>
  <si>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</si>
  <si>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</si>
  <si>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</si>
  <si>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</si>
  <si>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</si>
  <si>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</si>
  <si>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</si>
  <si>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</si>
  <si>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</si>
  <si>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</si>
  <si>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</si>
  <si>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</si>
  <si>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</si>
  <si>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</si>
  <si>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</si>
  <si>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</si>
  <si>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</si>
  <si>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</si>
  <si>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</si>
  <si>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</si>
  <si>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</si>
  <si>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</si>
  <si>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</si>
  <si>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</si>
  <si>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</si>
  <si>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</si>
  <si>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</si>
  <si>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</si>
  <si>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</si>
  <si>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</si>
  <si>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</si>
  <si>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</si>
  <si>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</si>
  <si>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</si>
  <si>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</si>
  <si>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</si>
  <si>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</si>
  <si>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</si>
  <si>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</si>
  <si>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</si>
  <si>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</si>
  <si>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</si>
  <si>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</si>
  <si>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</si>
  <si>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</si>
  <si>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</si>
  <si>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</si>
  <si>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</si>
  <si>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</si>
  <si>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</si>
  <si>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</si>
  <si>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</si>
  <si>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</si>
  <si>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</si>
  <si>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</si>
  <si>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</si>
  <si>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</si>
  <si>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</si>
  <si>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</si>
  <si>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</si>
  <si>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</si>
  <si>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</si>
  <si>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</si>
  <si>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</si>
  <si>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</si>
  <si>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</si>
  <si>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</si>
  <si>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</si>
  <si>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</si>
  <si>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</si>
  <si>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</si>
  <si>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</si>
  <si>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</si>
  <si>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</si>
  <si>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</si>
  <si>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</si>
  <si>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</si>
  <si>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</si>
  <si>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</si>
  <si>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</si>
  <si>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</si>
  <si>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</si>
  <si>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</si>
  <si>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</si>
  <si>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</si>
  <si>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</si>
  <si>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</si>
  <si>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</si>
  <si>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</si>
  <si>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</si>
  <si>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</si>
  <si>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</si>
  <si>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</si>
  <si>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</si>
  <si>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</si>
  <si>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</si>
  <si>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</si>
  <si>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</si>
  <si>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</si>
  <si>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</si>
  <si>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</si>
  <si>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</si>
  <si>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</si>
  <si>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</si>
  <si>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</si>
  <si>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</si>
  <si>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</si>
  <si>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</si>
  <si>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</si>
  <si>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</si>
  <si>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</si>
  <si>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</si>
  <si>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</si>
  <si>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</si>
  <si>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</si>
  <si>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</si>
  <si>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</si>
  <si>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</si>
  <si>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</si>
  <si>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</si>
  <si>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</si>
  <si>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</si>
  <si>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</si>
  <si>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</si>
  <si>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</si>
  <si>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</si>
  <si>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</si>
  <si>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</si>
  <si>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</si>
  <si>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</si>
  <si>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</si>
  <si>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</si>
  <si>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</si>
  <si>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</si>
  <si>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</si>
  <si>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</si>
  <si>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</si>
  <si>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</si>
  <si>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</si>
  <si>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</si>
  <si>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</si>
  <si>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</si>
  <si>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</si>
  <si>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</si>
  <si>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</si>
  <si>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</si>
  <si>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</si>
  <si>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</si>
  <si>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</si>
  <si>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</si>
  <si>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</si>
  <si>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</si>
  <si>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</si>
  <si>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</si>
  <si>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</si>
  <si>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</si>
  <si>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</si>
  <si>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</si>
  <si>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</si>
  <si>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</si>
  <si>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</si>
  <si>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</si>
  <si>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</si>
  <si>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</si>
  <si>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</si>
  <si>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</si>
  <si>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</si>
  <si>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</si>
  <si>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</si>
  <si>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</si>
  <si>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</si>
  <si>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</si>
  <si>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</si>
  <si>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</si>
  <si>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</si>
  <si>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</si>
  <si>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</si>
  <si>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</si>
  <si>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</si>
  <si>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</si>
  <si>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</si>
  <si>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</si>
  <si>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</si>
  <si>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</si>
  <si>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</si>
  <si>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</si>
  <si>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</si>
  <si>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</si>
  <si>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</si>
  <si>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</si>
  <si>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</si>
  <si>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</si>
  <si>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</si>
  <si>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</si>
  <si>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</si>
  <si>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</si>
  <si>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</si>
  <si>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</si>
  <si>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</si>
  <si>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</si>
  <si>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</si>
  <si>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</si>
  <si>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</si>
  <si>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</si>
  <si>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</si>
  <si>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</si>
  <si>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</si>
  <si>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</si>
  <si>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</si>
  <si>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</si>
  <si>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</si>
  <si>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</si>
  <si>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</si>
  <si>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</si>
  <si>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</si>
  <si>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</si>
  <si>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</si>
  <si>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</si>
  <si>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</si>
  <si>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</si>
  <si>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</si>
  <si>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</si>
  <si>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</si>
  <si>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</si>
  <si>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</si>
  <si>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</si>
  <si>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</si>
  <si>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</si>
  <si>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</si>
  <si>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</si>
  <si>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</si>
  <si>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</si>
  <si>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</si>
  <si>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</si>
  <si>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</si>
  <si>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</si>
  <si>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</si>
  <si>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</si>
  <si>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</si>
  <si>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</si>
  <si>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</si>
  <si>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</si>
  <si>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</si>
  <si>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</si>
  <si>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</si>
  <si>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</si>
  <si>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</si>
  <si>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</si>
  <si>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</si>
  <si>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</si>
  <si>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</si>
  <si>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</si>
  <si>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</si>
  <si>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</si>
  <si>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</si>
  <si>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</si>
  <si>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</si>
  <si>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</si>
  <si>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</si>
  <si>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</si>
  <si>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</si>
  <si>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</si>
  <si>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</si>
  <si>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</si>
  <si>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</si>
  <si>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</si>
  <si>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</si>
  <si>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</si>
  <si>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</si>
  <si>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</si>
  <si>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</si>
  <si>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</si>
  <si>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</si>
  <si>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</si>
  <si>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</si>
  <si>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</si>
  <si>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</si>
  <si>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</si>
  <si>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</si>
  <si>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</si>
  <si>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</si>
  <si>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</si>
  <si>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</si>
  <si>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</si>
  <si>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</si>
  <si>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</si>
  <si>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</si>
  <si>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</si>
  <si>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</si>
  <si>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</si>
  <si>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</si>
  <si>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</si>
  <si>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</si>
  <si>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</si>
  <si>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</si>
  <si>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</si>
  <si>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</si>
  <si>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</si>
  <si>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</si>
  <si>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</si>
  <si>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</si>
  <si>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</si>
  <si>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</si>
  <si>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</si>
  <si>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</si>
  <si>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</si>
  <si>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</si>
  <si>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</si>
  <si>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</si>
  <si>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</si>
  <si>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</si>
  <si>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</si>
  <si>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</si>
  <si>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</si>
  <si>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</si>
  <si>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</si>
  <si>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</si>
  <si>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</si>
  <si>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</si>
  <si>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</si>
  <si>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</si>
  <si>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</si>
  <si>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</si>
  <si>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</si>
  <si>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</si>
  <si>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</si>
  <si>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</si>
  <si>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</si>
  <si>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</si>
  <si>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</si>
  <si>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</si>
  <si>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</si>
  <si>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</si>
  <si>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</si>
  <si>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</si>
  <si>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</si>
  <si>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</si>
  <si>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</si>
  <si>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</si>
  <si>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</si>
  <si>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</si>
  <si>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</si>
  <si>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</si>
  <si>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</si>
  <si>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</si>
  <si>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</si>
  <si>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</si>
  <si>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</si>
  <si>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</si>
  <si>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</si>
  <si>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</si>
  <si>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</si>
  <si>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</si>
  <si>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</si>
  <si>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</si>
  <si>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</si>
  <si>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</si>
  <si>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</si>
  <si>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</si>
  <si>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</si>
  <si>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</si>
  <si>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</si>
  <si>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</si>
  <si>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</si>
  <si>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</si>
  <si>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</si>
  <si>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</si>
  <si>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</si>
  <si>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</si>
  <si>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</si>
  <si>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</si>
  <si>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</si>
  <si>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</si>
  <si>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</si>
  <si>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</si>
  <si>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</si>
  <si>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</si>
  <si>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</si>
  <si>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</si>
  <si>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</si>
  <si>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</si>
  <si>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</si>
  <si>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</si>
  <si>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</si>
  <si>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</si>
  <si>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</si>
  <si>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</si>
  <si>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</si>
  <si>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</si>
  <si>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</si>
  <si>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</si>
  <si>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</si>
  <si>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</si>
  <si>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</si>
  <si>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</si>
  <si>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</si>
  <si>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</si>
  <si>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</si>
  <si>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</si>
  <si>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</si>
  <si>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</si>
  <si>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</si>
  <si>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</si>
  <si>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</si>
  <si>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</si>
  <si>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</si>
  <si>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</si>
  <si>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</si>
  <si>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</si>
  <si>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</si>
  <si>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</si>
  <si>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</si>
  <si>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</si>
  <si>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</si>
  <si>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</si>
  <si>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</si>
  <si>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</si>
  <si>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</si>
  <si>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</si>
  <si>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</si>
  <si>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</si>
  <si>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</si>
  <si>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</si>
  <si>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</si>
  <si>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</si>
  <si>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</si>
  <si>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</si>
  <si>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</si>
  <si>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</si>
  <si>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</si>
  <si>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</si>
  <si>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</si>
  <si>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</si>
  <si>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</si>
  <si>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</si>
  <si>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</si>
  <si>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</si>
  <si>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</si>
  <si>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</si>
  <si>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</si>
  <si>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</si>
  <si>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</si>
  <si>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</si>
  <si>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</si>
  <si>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</si>
  <si>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</si>
  <si>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</si>
  <si>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</si>
  <si>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</si>
  <si>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</si>
  <si>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</si>
  <si>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</si>
  <si>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</si>
  <si>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</si>
  <si>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</si>
  <si>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</si>
  <si>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</si>
  <si>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</si>
  <si>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</si>
  <si>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</si>
  <si>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</si>
  <si>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</si>
  <si>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</si>
  <si>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</si>
  <si>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</si>
  <si>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</si>
  <si>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</si>
  <si>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</si>
  <si>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</si>
  <si>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</si>
  <si>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</si>
  <si>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</si>
  <si>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</si>
  <si>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</si>
  <si>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</si>
  <si>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</si>
  <si>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</si>
  <si>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</si>
  <si>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</si>
  <si>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</si>
  <si>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</si>
  <si>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</si>
  <si>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</si>
  <si>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</si>
  <si>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</si>
  <si>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</si>
  <si>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</si>
  <si>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</si>
  <si>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</si>
  <si>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</si>
  <si>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</si>
  <si>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</si>
  <si>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</si>
  <si>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</si>
  <si>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</si>
  <si>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</si>
  <si>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</si>
  <si>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</si>
  <si>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</si>
  <si>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</si>
  <si>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</si>
  <si>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</si>
  <si>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</si>
  <si>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</si>
  <si>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</si>
  <si>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</si>
  <si>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</si>
  <si>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</si>
  <si>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</si>
  <si>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</si>
  <si>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</si>
  <si>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</si>
  <si>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</si>
  <si>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</si>
  <si>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</si>
  <si>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</si>
  <si>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</si>
  <si>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</si>
  <si>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</si>
  <si>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</si>
  <si>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</si>
  <si>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</si>
  <si>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</si>
  <si>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</si>
  <si>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</si>
  <si>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</si>
  <si>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</si>
  <si>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</si>
  <si>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</si>
  <si>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</si>
  <si>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</si>
  <si>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</si>
  <si>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</si>
  <si>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</si>
  <si>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</si>
  <si>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</si>
  <si>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</si>
  <si>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</si>
  <si>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</si>
  <si>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</si>
  <si>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</si>
  <si>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</si>
  <si>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</si>
  <si>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</si>
  <si>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</si>
  <si>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</si>
  <si>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</si>
  <si>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</si>
  <si>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</si>
  <si>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</si>
  <si>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</si>
  <si>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</si>
  <si>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</si>
  <si>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</si>
  <si>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</si>
  <si>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</si>
  <si>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</si>
  <si>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</si>
  <si>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</si>
  <si>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</si>
  <si>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</si>
  <si>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</si>
  <si>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</si>
  <si>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</si>
  <si>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</si>
  <si>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</si>
  <si>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</si>
  <si>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</si>
  <si>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</si>
  <si>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</si>
  <si>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</si>
  <si>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</si>
  <si>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</si>
  <si>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</si>
  <si>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</si>
  <si>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</si>
  <si>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</si>
  <si>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</si>
  <si>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</si>
  <si>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</si>
  <si>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</si>
  <si>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</si>
  <si>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</si>
  <si>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</si>
  <si>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</si>
  <si>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</si>
  <si>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</si>
  <si>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</si>
  <si>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</si>
  <si>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</si>
  <si>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</si>
  <si>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</si>
  <si>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</si>
  <si>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</si>
  <si>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</si>
  <si>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</si>
  <si>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</si>
  <si>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</si>
  <si>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</si>
  <si>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</si>
  <si>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</si>
  <si>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</si>
  <si>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</si>
  <si>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</si>
  <si>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</si>
  <si>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</si>
  <si>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</si>
  <si>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</si>
  <si>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</si>
  <si>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</si>
  <si>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</si>
  <si>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</si>
  <si>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</si>
  <si>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</si>
  <si>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</si>
  <si>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</si>
  <si>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</si>
  <si>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</si>
  <si>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</si>
  <si>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</si>
  <si>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</si>
  <si>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</si>
  <si>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</si>
  <si>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</si>
  <si>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</si>
  <si>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</si>
  <si>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</si>
  <si>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</si>
  <si>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</si>
  <si>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</si>
  <si>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</si>
  <si>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</si>
  <si>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</si>
  <si>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</si>
  <si>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</si>
  <si>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</si>
  <si>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</si>
  <si>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</si>
  <si>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</si>
  <si>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</si>
  <si>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</si>
  <si>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</si>
  <si>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</si>
  <si>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</si>
  <si>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</si>
  <si>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</si>
  <si>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</si>
  <si>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</si>
  <si>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</si>
  <si>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</si>
  <si>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</si>
  <si>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</si>
  <si>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</si>
  <si>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</si>
  <si>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</si>
  <si>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</si>
  <si>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</si>
  <si>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</si>
  <si>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</si>
  <si>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</si>
  <si>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</si>
  <si>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</si>
  <si>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</si>
  <si>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</si>
  <si>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</si>
  <si>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</si>
  <si>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</si>
  <si>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</si>
  <si>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</si>
  <si>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</si>
  <si>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</si>
  <si>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</si>
  <si>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</si>
  <si>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</si>
  <si>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</si>
  <si>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</si>
  <si>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</si>
  <si>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</si>
  <si>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</si>
  <si>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</si>
  <si>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</si>
  <si>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</si>
  <si>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</si>
  <si>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</si>
  <si>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</si>
  <si>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</si>
  <si>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</si>
  <si>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</si>
  <si>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</si>
  <si>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</si>
  <si>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</si>
  <si>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</si>
  <si>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</si>
  <si>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</si>
  <si>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</si>
  <si>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</si>
  <si>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</si>
  <si>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</si>
  <si>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</si>
  <si>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</si>
  <si>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</si>
  <si>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</si>
  <si>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</si>
  <si>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</si>
  <si>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</si>
  <si>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</si>
  <si>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</si>
  <si>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</si>
  <si>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</si>
  <si>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</si>
  <si>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</si>
  <si>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</si>
  <si>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</si>
  <si>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</si>
  <si>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</si>
  <si>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</si>
  <si>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</si>
  <si>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</si>
  <si>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</si>
  <si>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</si>
  <si>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</si>
  <si>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</si>
  <si>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</si>
  <si>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</si>
  <si>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</si>
  <si>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</si>
  <si>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</si>
  <si>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</si>
  <si>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</si>
  <si>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</si>
  <si>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</si>
  <si>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</si>
  <si>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</si>
  <si>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</si>
  <si>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</si>
  <si>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</si>
  <si>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</si>
  <si>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</si>
  <si>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</si>
  <si>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</si>
  <si>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</si>
  <si>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</si>
  <si>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</si>
  <si>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</si>
  <si>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</si>
  <si>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</si>
  <si>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</si>
  <si>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</si>
  <si>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</si>
  <si>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</si>
  <si>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</si>
  <si>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</si>
  <si>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</si>
  <si>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</si>
  <si>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</si>
  <si>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</si>
  <si>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</si>
  <si>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</si>
  <si>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</si>
  <si>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</si>
  <si>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</si>
  <si>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</si>
  <si>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</si>
  <si>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</si>
  <si>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</si>
  <si>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</si>
  <si>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</si>
  <si>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</si>
  <si>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</si>
  <si>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</si>
  <si>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</si>
  <si>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</si>
  <si>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</si>
  <si>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</si>
  <si>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</si>
  <si>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</si>
  <si>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</si>
  <si>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</si>
  <si>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</si>
  <si>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</si>
  <si>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</si>
  <si>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</si>
  <si>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</si>
  <si>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</si>
  <si>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</si>
  <si>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</si>
  <si>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</si>
  <si>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</si>
  <si>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</si>
  <si>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</si>
  <si>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</si>
  <si>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</si>
  <si>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</si>
  <si>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</si>
  <si>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</si>
  <si>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</si>
  <si>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</si>
  <si>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</si>
  <si>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</si>
  <si>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</si>
  <si>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</si>
  <si>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</si>
  <si>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</si>
  <si>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</si>
  <si>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</si>
  <si>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</si>
  <si>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</si>
  <si>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</si>
  <si>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</si>
  <si>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</si>
  <si>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</si>
  <si>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</si>
  <si>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</si>
  <si>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</si>
  <si>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</si>
  <si>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</si>
  <si>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</si>
  <si>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</si>
  <si>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</si>
  <si>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</si>
  <si>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</si>
  <si>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</si>
  <si>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</si>
  <si>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</si>
  <si>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</si>
  <si>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</si>
  <si>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</si>
  <si>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</si>
  <si>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</si>
  <si>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</si>
  <si>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</si>
  <si>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</si>
  <si>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</si>
  <si>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</si>
  <si>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</si>
  <si>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</si>
  <si>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</si>
  <si>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</si>
  <si>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</si>
  <si>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</si>
  <si>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</si>
  <si>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</si>
  <si>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</si>
  <si>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</si>
  <si>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</si>
  <si>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</si>
  <si>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</si>
  <si>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</si>
  <si>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</si>
  <si>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</si>
  <si>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</si>
  <si>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</si>
  <si>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</si>
  <si>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</si>
  <si>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</si>
  <si>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</si>
  <si>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</si>
  <si>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</si>
  <si>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</si>
  <si>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</si>
  <si>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</si>
  <si>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</si>
  <si>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</si>
  <si>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</si>
  <si>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</si>
  <si>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</si>
  <si>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</si>
  <si>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</si>
  <si>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</si>
  <si>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</si>
  <si>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</si>
  <si>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</si>
  <si>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</si>
  <si>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</si>
  <si>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</si>
  <si>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</si>
  <si>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</si>
  <si>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</si>
  <si>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</si>
  <si>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</si>
  <si>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</si>
  <si>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</si>
  <si>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</si>
  <si>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</si>
  <si>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</si>
  <si>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</si>
  <si>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</si>
  <si>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</si>
  <si>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</si>
  <si>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</si>
  <si>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</si>
  <si>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</si>
  <si>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</si>
  <si>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</si>
  <si>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</si>
  <si>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</si>
  <si>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</si>
  <si>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</si>
  <si>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</si>
  <si>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</si>
  <si>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</si>
  <si>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</si>
  <si>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</si>
  <si>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</si>
  <si>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</si>
  <si>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</si>
  <si>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</si>
  <si>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</si>
  <si>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</si>
  <si>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</si>
  <si>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</si>
  <si>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</si>
  <si>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</si>
  <si>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</si>
  <si>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</si>
  <si>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</si>
  <si>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</si>
  <si>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</si>
  <si>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</si>
  <si>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</si>
  <si>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</si>
  <si>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</si>
  <si>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</si>
  <si>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</si>
  <si>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</si>
  <si>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</si>
  <si>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</si>
  <si>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</si>
  <si>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</si>
  <si>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</si>
  <si>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</si>
  <si>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</si>
  <si>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</si>
  <si>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</si>
  <si>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</si>
  <si>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</si>
  <si>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</si>
  <si>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</si>
  <si>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</si>
  <si>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</si>
  <si>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</si>
  <si>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</si>
  <si>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</si>
  <si>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</si>
  <si>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</si>
  <si>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</si>
  <si>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</si>
  <si>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</si>
  <si>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</si>
  <si>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</si>
  <si>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</si>
  <si>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</si>
  <si>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</si>
  <si>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</si>
  <si>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</si>
  <si>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</si>
  <si>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</si>
  <si>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</si>
  <si>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</si>
  <si>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</si>
  <si>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</si>
  <si>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</si>
  <si>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</si>
  <si>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</si>
  <si>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</si>
  <si>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</si>
  <si>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</si>
  <si>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</si>
  <si>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</si>
  <si>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</si>
  <si>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</si>
  <si>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</si>
  <si>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</si>
  <si>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</si>
  <si>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</si>
  <si>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</si>
  <si>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</si>
  <si>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</si>
  <si>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</si>
  <si>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</si>
  <si>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</si>
  <si>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</si>
  <si>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</si>
  <si>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</si>
  <si>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</si>
  <si>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</si>
  <si>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</si>
  <si>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</si>
  <si>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</si>
  <si>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</si>
  <si>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</si>
  <si>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</si>
  <si>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</si>
  <si>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</si>
  <si>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</si>
  <si>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</si>
  <si>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</si>
  <si>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</si>
  <si>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</si>
  <si>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</si>
  <si>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</si>
  <si>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</si>
  <si>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</si>
  <si>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</si>
  <si>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</si>
  <si>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</si>
  <si>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</si>
  <si>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</si>
  <si>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</si>
  <si>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</si>
  <si>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</si>
  <si>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</si>
  <si>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</si>
  <si>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</si>
  <si>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</si>
  <si>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</si>
  <si>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</si>
  <si>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</si>
  <si>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</si>
  <si>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</si>
  <si>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</si>
  <si>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</si>
  <si>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</si>
  <si>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</si>
  <si>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</si>
  <si>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</si>
  <si>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</si>
  <si>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</si>
  <si>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</si>
  <si>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</si>
  <si>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</si>
  <si>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</si>
  <si>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</si>
  <si>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</si>
  <si>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</si>
  <si>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</si>
  <si>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</si>
  <si>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</si>
  <si>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</si>
  <si>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</si>
  <si>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</si>
  <si>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</si>
  <si>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</si>
  <si>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</si>
  <si>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</si>
  <si>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</si>
  <si>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</si>
  <si>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</si>
  <si>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</si>
  <si>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</si>
  <si>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</si>
  <si>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</si>
  <si>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</si>
  <si>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</si>
  <si>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</si>
  <si>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</si>
  <si>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</si>
  <si>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</si>
  <si>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</si>
  <si>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</si>
  <si>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</si>
  <si>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</si>
  <si>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</si>
  <si>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</si>
  <si>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</si>
  <si>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</si>
  <si>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</si>
  <si>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</si>
  <si>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</si>
  <si>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</si>
  <si>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</si>
  <si>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</si>
  <si>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</si>
  <si>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</si>
  <si>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</si>
  <si>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</si>
  <si>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</si>
  <si>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</si>
  <si>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</si>
  <si>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</si>
  <si>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</si>
  <si>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</si>
  <si>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</si>
  <si>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</si>
  <si>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</si>
  <si>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</si>
  <si>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</si>
  <si>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</si>
  <si>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</si>
  <si>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</si>
  <si>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</si>
  <si>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</si>
  <si>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</si>
  <si>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</si>
  <si>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</si>
  <si>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</si>
  <si>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</si>
  <si>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</si>
  <si>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</si>
  <si>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</si>
  <si>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</si>
  <si>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</si>
  <si>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</si>
  <si>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</si>
  <si>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</si>
  <si>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</si>
  <si>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</si>
  <si>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</si>
  <si>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</si>
  <si>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</si>
  <si>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</si>
  <si>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</si>
  <si>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</si>
  <si>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</si>
  <si>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</si>
  <si>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</si>
  <si>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</si>
  <si>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</si>
  <si>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</si>
  <si>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</si>
  <si>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</si>
  <si>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</si>
  <si>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</si>
  <si>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</si>
  <si>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</si>
  <si>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</si>
  <si>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</si>
  <si>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</si>
  <si>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</si>
  <si>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</si>
  <si>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</si>
  <si>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</si>
  <si>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</si>
  <si>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</si>
  <si>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</si>
  <si>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</si>
  <si>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</si>
  <si>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</si>
  <si>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</si>
  <si>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</si>
  <si>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</si>
  <si>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</si>
  <si>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</si>
  <si>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</si>
  <si>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</si>
  <si>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</si>
  <si>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</si>
  <si>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</si>
  <si>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</si>
  <si>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</si>
  <si>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</si>
  <si>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</si>
  <si>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</si>
  <si>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</si>
  <si>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</si>
  <si>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</si>
  <si>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</si>
  <si>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</si>
  <si>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</si>
  <si>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</si>
  <si>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</si>
  <si>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</si>
  <si>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</si>
  <si>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</si>
  <si>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</si>
  <si>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</si>
  <si>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</si>
  <si>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</si>
  <si>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</si>
  <si>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</si>
  <si>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</si>
  <si>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</si>
  <si>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</si>
  <si>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</si>
  <si>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</si>
  <si>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</si>
  <si>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</si>
  <si>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</si>
  <si>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</si>
  <si>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</si>
  <si>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</si>
  <si>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</si>
  <si>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</si>
  <si>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</si>
  <si>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</si>
  <si>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</si>
  <si>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</si>
  <si>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</si>
  <si>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</si>
  <si>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</si>
  <si>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</si>
  <si>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</si>
  <si>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</si>
  <si>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</si>
  <si>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</si>
  <si>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</si>
  <si>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</si>
  <si>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</si>
  <si>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</si>
  <si>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</si>
  <si>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</si>
  <si>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</si>
  <si>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</si>
  <si>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</si>
  <si>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</si>
  <si>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</si>
  <si>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</si>
  <si>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</si>
  <si>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</si>
  <si>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</si>
  <si>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</si>
  <si>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</si>
  <si>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</si>
  <si>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</si>
  <si>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</si>
  <si>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</si>
  <si>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</si>
  <si>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</si>
  <si>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</si>
  <si>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</si>
  <si>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</si>
  <si>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</si>
  <si>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</si>
  <si>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</si>
  <si>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</si>
  <si>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</si>
  <si>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</si>
  <si>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</si>
  <si>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</si>
  <si>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</si>
  <si>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</si>
  <si>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</si>
  <si>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</si>
  <si>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</si>
  <si>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</si>
  <si>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</si>
  <si>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</si>
  <si>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</si>
  <si>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</si>
  <si>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</si>
  <si>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</si>
  <si>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</si>
  <si>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</si>
  <si>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</si>
  <si>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</si>
  <si>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</si>
  <si>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</si>
  <si>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</si>
  <si>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</si>
  <si>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</si>
  <si>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</si>
  <si>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</si>
  <si>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</si>
  <si>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</si>
  <si>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</si>
  <si>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</si>
  <si>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</si>
  <si>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</si>
  <si>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</si>
  <si>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</si>
  <si>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</si>
  <si>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</si>
  <si>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</si>
  <si>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</si>
  <si>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</si>
  <si>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</si>
  <si>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</si>
  <si>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</si>
  <si>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</si>
  <si>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</si>
  <si>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</si>
  <si>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</si>
  <si>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</si>
  <si>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</si>
  <si>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</si>
  <si>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</si>
  <si>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</si>
  <si>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</si>
  <si>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</si>
  <si>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</si>
  <si>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</si>
  <si>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</si>
  <si>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</si>
  <si>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</si>
  <si>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</si>
  <si>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</si>
  <si>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</si>
  <si>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</si>
  <si>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</si>
  <si>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</si>
  <si>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</si>
  <si>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</si>
  <si>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</si>
  <si>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</si>
  <si>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</si>
  <si>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</si>
  <si>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</si>
  <si>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</si>
  <si>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</si>
  <si>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</si>
  <si>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</si>
  <si>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</si>
  <si>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</si>
  <si>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</si>
  <si>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</si>
  <si>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</si>
  <si>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</si>
  <si>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</si>
  <si>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</si>
  <si>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</si>
  <si>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</si>
  <si>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</si>
  <si>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</si>
  <si>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</si>
  <si>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</si>
  <si>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</si>
  <si>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</si>
  <si>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</si>
  <si>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</si>
  <si>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</si>
  <si>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</si>
  <si>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</si>
  <si>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</si>
  <si>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</si>
  <si>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</si>
  <si>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</si>
  <si>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</si>
  <si>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</si>
  <si>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</si>
  <si>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</si>
  <si>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</si>
  <si>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</si>
  <si>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</si>
  <si>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</si>
  <si>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</si>
  <si>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</si>
  <si>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</si>
  <si>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</si>
  <si>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</si>
  <si>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</si>
  <si>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</si>
  <si>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</si>
  <si>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</si>
  <si>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</si>
  <si>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</si>
  <si>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</si>
  <si>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</si>
  <si>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</si>
  <si>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</si>
  <si>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</si>
  <si>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</si>
  <si>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</si>
  <si>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</si>
  <si>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</si>
  <si>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</si>
  <si>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</si>
  <si>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</si>
  <si>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</si>
  <si>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</si>
  <si>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</si>
  <si>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</si>
  <si>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</si>
  <si>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</si>
  <si>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</si>
  <si>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</si>
  <si>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</si>
  <si>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</si>
  <si>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</si>
  <si>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</si>
  <si>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</si>
  <si>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</si>
  <si>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</si>
  <si>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</si>
  <si>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</si>
  <si>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</si>
  <si>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</si>
  <si>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</si>
  <si>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</si>
  <si>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</si>
  <si>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</si>
  <si>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</si>
  <si>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</si>
  <si>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</si>
  <si>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</si>
  <si>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</si>
  <si>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</si>
  <si>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</si>
  <si>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</si>
  <si>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</si>
  <si>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</si>
  <si>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</si>
  <si>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</si>
  <si>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</si>
  <si>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</si>
  <si>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</si>
  <si>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</si>
  <si>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</si>
  <si>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</si>
  <si>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</si>
  <si>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</si>
  <si>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</si>
  <si>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</si>
  <si>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</si>
  <si>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</si>
  <si>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</si>
  <si>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</si>
  <si>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</si>
  <si>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</si>
  <si>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</si>
  <si>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</si>
  <si>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</si>
  <si>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</si>
  <si>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</si>
  <si>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</si>
  <si>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</si>
  <si>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</si>
  <si>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</si>
  <si>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</si>
  <si>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</si>
  <si>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</si>
  <si>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</si>
  <si>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</si>
  <si>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</si>
  <si>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</si>
  <si>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</si>
  <si>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</si>
  <si>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</si>
  <si>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</si>
  <si>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</si>
  <si>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</si>
  <si>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</si>
  <si>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</si>
  <si>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</si>
  <si>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</si>
  <si>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</si>
  <si>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</si>
  <si>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</si>
  <si>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</si>
  <si>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</si>
  <si>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</si>
  <si>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</si>
  <si>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</si>
  <si>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</si>
  <si>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</si>
  <si>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</si>
  <si>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</si>
  <si>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</si>
  <si>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</si>
  <si>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</si>
  <si>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</si>
  <si>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</si>
  <si>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</si>
  <si>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</si>
  <si>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</si>
  <si>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</si>
  <si>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</si>
  <si>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</si>
  <si>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</si>
  <si>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</si>
  <si>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</si>
  <si>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</si>
  <si>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</si>
  <si>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</si>
  <si>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</si>
  <si>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</si>
  <si>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</si>
  <si>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</si>
  <si>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</si>
  <si>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</si>
  <si>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</si>
  <si>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</si>
  <si>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</si>
  <si>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</si>
  <si>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</si>
  <si>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</si>
  <si>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</si>
  <si>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</si>
  <si>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</si>
  <si>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</si>
  <si>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</si>
  <si>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</si>
  <si>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</si>
  <si>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</si>
  <si>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</si>
  <si>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</si>
  <si>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</si>
  <si>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</si>
  <si>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</si>
  <si>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</si>
  <si>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</si>
  <si>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</si>
  <si>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</si>
  <si>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</si>
  <si>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</si>
  <si>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</si>
  <si>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</si>
  <si>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</si>
  <si>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</si>
  <si>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</si>
  <si>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</si>
  <si>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</si>
  <si>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</si>
  <si>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</si>
  <si>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</si>
  <si>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</si>
  <si>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</si>
  <si>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</si>
  <si>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</si>
  <si>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</si>
  <si>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</si>
  <si>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</si>
  <si>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</si>
  <si>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</si>
  <si>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</si>
  <si>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</si>
  <si>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</si>
  <si>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</si>
  <si>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</si>
  <si>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</si>
  <si>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</si>
  <si>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</si>
  <si>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</si>
  <si>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</si>
  <si>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</si>
  <si>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</si>
  <si>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</si>
  <si>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</si>
  <si>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</si>
  <si>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</si>
  <si>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</si>
  <si>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</si>
  <si>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</si>
  <si>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</si>
  <si>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</si>
  <si>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</si>
  <si>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</si>
  <si>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</si>
  <si>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</si>
  <si>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</si>
  <si>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</si>
  <si>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</si>
  <si>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</si>
  <si>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</si>
  <si>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</si>
  <si>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</si>
  <si>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</si>
  <si>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</si>
  <si>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</si>
  <si>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</si>
  <si>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</si>
  <si>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</si>
  <si>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</si>
  <si>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</si>
  <si>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</si>
  <si>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</si>
  <si>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</si>
  <si>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</si>
  <si>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</si>
  <si>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</si>
  <si>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</si>
  <si>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</si>
  <si>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</si>
  <si>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</si>
  <si>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</si>
  <si>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</si>
  <si>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</si>
  <si>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</si>
  <si>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</si>
  <si>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</si>
  <si>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</si>
  <si>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</si>
  <si>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</si>
  <si>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</si>
  <si>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</si>
  <si>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</si>
  <si>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</si>
  <si>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</si>
  <si>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</si>
  <si>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</si>
  <si>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</si>
  <si>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</si>
  <si>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</si>
  <si>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</si>
  <si>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</si>
  <si>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</si>
  <si>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</si>
  <si>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</si>
  <si>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</si>
  <si>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</si>
  <si>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</si>
  <si>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</si>
  <si>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</si>
  <si>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</si>
  <si>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</si>
  <si>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</si>
  <si>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</si>
  <si>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</si>
  <si>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</si>
  <si>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</si>
  <si>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</si>
  <si>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</si>
  <si>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</si>
  <si>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</si>
  <si>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</si>
  <si>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</si>
  <si>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</si>
  <si>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</si>
  <si>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</si>
  <si>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</si>
  <si>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</si>
  <si>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</si>
  <si>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</si>
  <si>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</si>
  <si>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</si>
  <si>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</si>
  <si>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</si>
  <si>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</si>
  <si>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</si>
  <si>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</si>
  <si>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</si>
  <si>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</si>
  <si>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</si>
  <si>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</si>
  <si>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</si>
  <si>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</si>
  <si>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</si>
  <si>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</si>
  <si>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</si>
  <si>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</si>
  <si>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</si>
  <si>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</si>
  <si>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</si>
  <si>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</si>
  <si>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</si>
  <si>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</si>
  <si>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</si>
  <si>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</si>
  <si>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</si>
  <si>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</si>
  <si>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</si>
  <si>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</si>
  <si>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</si>
  <si>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</si>
  <si>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</si>
  <si>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</si>
  <si>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</si>
  <si>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</si>
  <si>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</si>
  <si>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</si>
  <si>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</si>
  <si>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</si>
  <si>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</si>
  <si>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</si>
  <si>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</si>
  <si>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</si>
  <si>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</si>
  <si>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</si>
  <si>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</si>
  <si>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</si>
  <si>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</si>
  <si>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</si>
  <si>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</si>
  <si>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</si>
  <si>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</si>
  <si>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</si>
  <si>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</si>
  <si>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</si>
  <si>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</si>
  <si>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</si>
  <si>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</si>
  <si>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</si>
  <si>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</si>
  <si>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</si>
  <si>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</si>
  <si>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</si>
  <si>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</si>
  <si>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</si>
  <si>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</si>
  <si>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</si>
  <si>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</si>
  <si>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</si>
  <si>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</si>
  <si>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</si>
  <si>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</si>
  <si>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</si>
  <si>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</si>
  <si>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</si>
  <si>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</si>
  <si>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</si>
  <si>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</si>
  <si>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</si>
  <si>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</si>
  <si>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</si>
  <si>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</si>
  <si>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</si>
  <si>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</si>
  <si>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</si>
  <si>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</si>
  <si>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</si>
  <si>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</si>
  <si>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</si>
  <si>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</si>
  <si>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</si>
  <si>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</si>
  <si>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</si>
  <si>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</si>
  <si>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</si>
  <si>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</si>
  <si>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</si>
  <si>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</si>
  <si>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</si>
  <si>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</si>
  <si>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</si>
  <si>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</si>
  <si>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</si>
  <si>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</si>
  <si>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</si>
  <si>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</si>
  <si>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</si>
  <si>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</si>
  <si>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</si>
  <si>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</si>
  <si>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</si>
  <si>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</si>
  <si>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</si>
  <si>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</si>
  <si>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</si>
  <si>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</si>
  <si>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</si>
  <si>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</si>
  <si>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</si>
  <si>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</si>
  <si>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</si>
  <si>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</si>
  <si>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</si>
  <si>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</si>
  <si>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</si>
  <si>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</si>
  <si>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</si>
  <si>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</si>
  <si>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</si>
  <si>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</si>
  <si>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</si>
  <si>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</si>
  <si>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</si>
  <si>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</si>
  <si>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</si>
  <si>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</si>
  <si>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</si>
  <si>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</si>
  <si>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</si>
  <si>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</si>
  <si>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</si>
  <si>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</si>
  <si>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</si>
  <si>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</si>
  <si>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</si>
  <si>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</si>
  <si>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</si>
  <si>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</si>
  <si>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</si>
  <si>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</si>
  <si>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</si>
  <si>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</si>
  <si>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</si>
  <si>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</si>
  <si>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</si>
  <si>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</si>
  <si>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</si>
  <si>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</si>
  <si>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</si>
  <si>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</si>
  <si>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</si>
  <si>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</si>
  <si>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</si>
  <si>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</si>
  <si>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</si>
  <si>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</si>
  <si>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</si>
  <si>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</si>
  <si>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</si>
  <si>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</si>
  <si>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</si>
  <si>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</si>
  <si>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</si>
  <si>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</si>
  <si>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</si>
  <si>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</si>
  <si>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</si>
  <si>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</si>
  <si>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</si>
  <si>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</si>
  <si>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</si>
  <si>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</si>
  <si>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</si>
  <si>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</si>
  <si>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</si>
  <si>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</si>
  <si>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</si>
  <si>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</si>
  <si>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</si>
  <si>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</si>
  <si>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</si>
  <si>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</si>
  <si>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</si>
  <si>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</si>
  <si>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</si>
  <si>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</si>
  <si>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</si>
  <si>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</si>
  <si>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</si>
  <si>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</si>
  <si>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</si>
  <si>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</si>
  <si>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</si>
  <si>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</si>
  <si>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</si>
  <si>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</si>
  <si>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</si>
  <si>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</si>
  <si>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</si>
  <si>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</si>
  <si>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</si>
  <si>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</si>
  <si>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</si>
  <si>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</si>
  <si>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</si>
  <si>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</si>
  <si>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</si>
  <si>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</si>
  <si>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</si>
  <si>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</si>
  <si>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</si>
  <si>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</si>
  <si>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</si>
  <si>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</si>
  <si>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</si>
  <si>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</si>
  <si>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</si>
  <si>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</si>
  <si>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</si>
  <si>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</si>
  <si>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</si>
  <si>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</si>
  <si>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</si>
  <si>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</si>
  <si>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</si>
  <si>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</si>
  <si>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</si>
  <si>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</si>
  <si>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</si>
  <si>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</si>
  <si>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</si>
  <si>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</si>
  <si>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</si>
  <si>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</si>
  <si>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</si>
  <si>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</si>
  <si>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</si>
  <si>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</si>
  <si>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</si>
  <si>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</si>
  <si>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</si>
  <si>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</si>
  <si>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</si>
  <si>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</si>
  <si>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</si>
  <si>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</si>
  <si>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</si>
  <si>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</si>
  <si>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</si>
  <si>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</si>
  <si>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</si>
  <si>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</si>
  <si>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</si>
  <si>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</si>
  <si>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</si>
  <si>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</si>
  <si>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</si>
  <si>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</si>
  <si>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</si>
  <si>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</si>
  <si>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</si>
  <si>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</si>
  <si>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</si>
  <si>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</si>
  <si>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</si>
  <si>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</si>
  <si>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</si>
  <si>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</si>
  <si>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</si>
  <si>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</si>
  <si>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</si>
  <si>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</si>
  <si>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</si>
  <si>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</si>
  <si>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</si>
  <si>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</si>
  <si>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</si>
  <si>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</si>
  <si>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</si>
  <si>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</si>
  <si>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</si>
  <si>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</si>
  <si>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</si>
  <si>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</si>
  <si>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</si>
  <si>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</si>
  <si>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</si>
  <si>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</si>
  <si>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</si>
  <si>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</si>
  <si>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</si>
  <si>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</si>
  <si>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</si>
  <si>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</si>
  <si>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</si>
  <si>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</si>
  <si>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</si>
  <si>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</si>
  <si>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</si>
  <si>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</si>
  <si>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</si>
  <si>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</si>
  <si>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</si>
  <si>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</si>
  <si>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</si>
  <si>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</si>
  <si>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</si>
  <si>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</si>
  <si>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</si>
  <si>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</si>
  <si>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</si>
  <si>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</si>
  <si>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</si>
  <si>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</si>
  <si>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</si>
  <si>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</si>
  <si>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</si>
  <si>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</si>
  <si>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</si>
  <si>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</si>
  <si>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</si>
  <si>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</si>
  <si>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</si>
  <si>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</si>
  <si>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</si>
  <si>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</si>
  <si>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</si>
  <si>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</si>
  <si>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</si>
  <si>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</si>
  <si>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</si>
  <si>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</si>
  <si>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</si>
  <si>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</si>
  <si>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</si>
  <si>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</si>
  <si>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</si>
  <si>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</si>
  <si>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</si>
  <si>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</si>
  <si>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</si>
  <si>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</si>
  <si>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</si>
  <si>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</si>
  <si>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</si>
  <si>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</si>
  <si>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</si>
  <si>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</si>
  <si>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</si>
  <si>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</si>
  <si>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</si>
  <si>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</si>
  <si>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</si>
  <si>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</si>
  <si>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</si>
  <si>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</si>
  <si>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</si>
  <si>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</si>
  <si>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</si>
  <si>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</si>
  <si>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</si>
  <si>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</si>
  <si>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</si>
  <si>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</si>
  <si>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</si>
  <si>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</si>
  <si>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</si>
  <si>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</si>
  <si>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</si>
  <si>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</si>
  <si>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</si>
  <si>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</si>
  <si>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</si>
  <si>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</si>
  <si>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</si>
  <si>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</si>
  <si>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</si>
  <si>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</si>
  <si>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</si>
  <si>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</si>
  <si>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</si>
  <si>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</si>
  <si>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</si>
  <si>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</si>
  <si>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</si>
  <si>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</si>
  <si>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</si>
  <si>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</si>
  <si>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</si>
  <si>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</si>
  <si>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</si>
  <si>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</si>
  <si>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</si>
  <si>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</si>
  <si>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</si>
  <si>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</si>
  <si>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</si>
  <si>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</si>
  <si>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</si>
  <si>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</si>
  <si>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</si>
  <si>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</si>
  <si>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</si>
  <si>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</si>
  <si>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</si>
  <si>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</si>
  <si>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</si>
  <si>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</si>
  <si>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</si>
  <si>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</si>
  <si>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</si>
  <si>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</si>
  <si>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</si>
  <si>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</si>
  <si>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</si>
  <si>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</si>
  <si>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</si>
  <si>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</si>
  <si>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</si>
  <si>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</si>
  <si>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</si>
  <si>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</si>
  <si>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</si>
  <si>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</si>
  <si>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</si>
  <si>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</si>
  <si>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</si>
  <si>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</si>
  <si>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</si>
  <si>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</si>
  <si>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</si>
  <si>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</si>
  <si>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</si>
  <si>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</si>
  <si>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</si>
  <si>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</si>
  <si>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</si>
  <si>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</si>
  <si>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</si>
  <si>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</si>
  <si>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</si>
  <si>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</si>
  <si>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</si>
  <si>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</si>
  <si>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</si>
  <si>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</si>
  <si>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</si>
  <si>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</si>
  <si>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</si>
  <si>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</si>
  <si>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</si>
  <si>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</si>
  <si>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</si>
  <si>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</si>
  <si>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</si>
  <si>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</si>
  <si>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Jln kebon jeruk</t>
  </si>
  <si>
    <t>kebon jeruk</t>
  </si>
  <si>
    <t>jakarta barat</t>
  </si>
  <si>
    <t>Reason Failed</t>
  </si>
  <si>
    <t>Objective</t>
  </si>
  <si>
    <t>JL TWICE NO 91</t>
  </si>
  <si>
    <t>08/08/2001</t>
  </si>
  <si>
    <t>03/01/2024</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</si>
  <si>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</si>
  <si>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</si>
  <si>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</si>
  <si>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</si>
  <si>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</si>
  <si>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</si>
  <si>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</si>
  <si>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</si>
  <si>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</si>
  <si>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</si>
  <si>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</si>
  <si>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</si>
  <si>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</si>
  <si>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</si>
  <si>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</si>
  <si>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</si>
  <si>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</si>
  <si>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</si>
  <si>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</si>
  <si>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</si>
  <si>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</si>
  <si>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</si>
  <si>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</si>
  <si>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</si>
  <si>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</si>
  <si>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</si>
  <si>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</si>
  <si>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</si>
  <si>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</si>
  <si>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</si>
  <si>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</si>
  <si>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</si>
  <si>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</si>
  <si>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</si>
  <si>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</si>
  <si>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</si>
  <si>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</si>
  <si>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</si>
  <si>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</si>
  <si>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</si>
  <si>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</si>
  <si>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</si>
  <si>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</si>
  <si>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</si>
  <si>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</si>
  <si>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</si>
  <si>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</si>
  <si>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</si>
  <si>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</si>
  <si>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</si>
  <si>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</si>
  <si>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</si>
  <si>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</si>
  <si>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</si>
  <si>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</si>
  <si>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</si>
  <si>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</si>
  <si>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</si>
  <si>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</si>
  <si>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</si>
  <si>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</si>
  <si>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</si>
  <si>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</si>
  <si>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</si>
  <si>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</si>
  <si>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</si>
  <si>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</si>
  <si>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</si>
  <si>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</si>
  <si>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</si>
  <si>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</si>
  <si>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</si>
  <si>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</si>
  <si>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</si>
  <si>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</si>
  <si>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</si>
  <si>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</si>
  <si>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</si>
  <si>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</si>
  <si>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</si>
  <si>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</si>
  <si>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</si>
  <si>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</si>
  <si>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</si>
  <si>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</si>
  <si>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</si>
  <si>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jeremy</t>
  </si>
  <si>
    <t>LookUp</t>
  </si>
  <si>
    <t>FT TIO</t>
  </si>
  <si>
    <t>300000000;2000000</t>
  </si>
  <si>
    <t>3;1</t>
  </si>
  <si>
    <t>AVANZA;HONDA</t>
  </si>
  <si>
    <t>sule</t>
  </si>
  <si>
    <t>ft tio</t>
  </si>
  <si>
    <t>1;1</t>
  </si>
  <si>
    <t>BRANCH NIAGA</t>
  </si>
  <si>
    <t>128469216</t>
  </si>
  <si>
    <t>BRANCH BRI</t>
  </si>
  <si>
    <t>21487424</t>
  </si>
  <si>
    <t>24970244</t>
  </si>
  <si>
    <t>BRANCH BNI</t>
  </si>
  <si>
    <t>0002CUST20211204000</t>
  </si>
  <si>
    <t>LOS-011</t>
  </si>
  <si>
    <t>FT SURYA</t>
  </si>
  <si>
    <t>Cust Attr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</si>
</sst>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6" fillId="0" borderId="0" applyNumberFormat="0" applyFill="0" applyBorder="0" applyAlignment="0" applyProtection="0"/>
  </cellStyleXfs>
  <cellXfs count="63">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3" borderId="8" xfId="0" applyFill="1" applyBorder="1"/>
    <xf numFmtId="0" fontId="1" fillId="0" borderId="0" xfId="0" applyFont="1"/>
  </cellXfs>
  <cellStyles count="2">
    <cellStyle name="Hyperlink" xfId="1" builtinId="8"/>
    <cellStyle name="Normal" xfId="0" builtinId="0"/>
  </cellStyles>
  <dxfs count="101">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FL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0002APP20221206316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14" sqref="B14"/>
    </sheetView>
  </sheetViews>
  <sheetFormatPr defaultRowHeight="15" x14ac:dyDescent="0.25"/>
  <cols>
    <col min="1" max="1" width="29.7109375" bestFit="1" customWidth="1" collapsed="1"/>
    <col min="2" max="3" width="34.28515625" bestFit="1" customWidth="1" collapsed="1"/>
    <col min="4" max="5" width="19.85546875" bestFit="1" customWidth="1" collapsed="1"/>
    <col min="6" max="6" width="16.5703125" customWidth="1"/>
    <col min="7" max="7" width="15.7109375" customWidth="1"/>
  </cols>
  <sheetData>
    <row r="1" spans="1:11" s="1" customFormat="1" x14ac:dyDescent="0.25">
      <c r="A1" s="1" t="s">
        <v>12</v>
      </c>
      <c r="B1" s="1" t="s">
        <v>3283</v>
      </c>
    </row>
    <row r="2" spans="1:11" s="1" customFormat="1" x14ac:dyDescent="0.25">
      <c r="A2" s="1" t="s">
        <v>4144</v>
      </c>
      <c r="B2" s="1" t="s">
        <v>4234</v>
      </c>
    </row>
    <row r="3" spans="1:11" s="1" customFormat="1" x14ac:dyDescent="0.25">
      <c r="A3" s="1" t="s">
        <v>4145</v>
      </c>
      <c r="B3" s="1" t="s">
        <v>4251</v>
      </c>
    </row>
    <row r="4" spans="1:11" s="1" customFormat="1" x14ac:dyDescent="0.25">
      <c r="A4" s="1" t="s">
        <v>4156</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3558</v>
      </c>
      <c r="B12" s="1" t="str">
        <f>'[1]1.TabCustomerMainData'!$B$13</f>
        <v>0002APP20221206316</v>
      </c>
    </row>
    <row r="13" spans="1:11" s="1" customFormat="1" x14ac:dyDescent="0.25">
      <c r="A13" s="47" t="s">
        <v>0</v>
      </c>
      <c r="B13" t="s">
        <v>4252</v>
      </c>
      <c r="C13"/>
    </row>
    <row r="14" spans="1:11" s="1" customFormat="1" x14ac:dyDescent="0.25">
      <c r="A14" s="1" t="s">
        <v>9</v>
      </c>
    </row>
    <row r="15" spans="1:11" s="1" customFormat="1" x14ac:dyDescent="0.25">
      <c r="A15" s="1" t="s">
        <v>2</v>
      </c>
      <c r="B15" s="2">
        <v>0</v>
      </c>
      <c r="C15" s="2"/>
      <c r="D15" s="2"/>
      <c r="E15" s="2"/>
      <c r="F15" s="2"/>
      <c r="G15" s="2"/>
      <c r="H15" s="2"/>
      <c r="I15" s="2"/>
      <c r="J15" s="2"/>
      <c r="K15" s="2"/>
    </row>
    <row r="16" spans="1:11" s="1" customFormat="1" x14ac:dyDescent="0.25">
      <c r="A16" s="1" t="s">
        <v>3</v>
      </c>
      <c r="B16" s="2">
        <v>0</v>
      </c>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4157</v>
      </c>
      <c r="B18" s="1" t="s">
        <v>5</v>
      </c>
    </row>
    <row r="19" spans="1:11" s="1" customFormat="1" x14ac:dyDescent="0.25">
      <c r="A19" s="1" t="s">
        <v>4158</v>
      </c>
      <c r="B19" s="1" t="s">
        <v>5</v>
      </c>
    </row>
    <row r="20" spans="1:11" s="1" customFormat="1" x14ac:dyDescent="0.25">
      <c r="A20" s="1" t="s">
        <v>4159</v>
      </c>
      <c r="B20" s="1" t="s">
        <v>5</v>
      </c>
    </row>
    <row r="21" spans="1:11" s="1" customFormat="1" x14ac:dyDescent="0.25">
      <c r="A21" s="1" t="s">
        <v>7</v>
      </c>
    </row>
    <row r="22" spans="1:11" s="1" customFormat="1" x14ac:dyDescent="0.25">
      <c r="A22" s="37" t="s">
        <v>4149</v>
      </c>
      <c r="B22" s="1" t="s">
        <v>8</v>
      </c>
    </row>
    <row r="23" spans="1:11" s="1" customFormat="1" x14ac:dyDescent="0.25">
      <c r="A23" s="1" t="s">
        <v>1</v>
      </c>
    </row>
    <row r="24" spans="1:11" s="1" customFormat="1" x14ac:dyDescent="0.25">
      <c r="A24" s="1" t="s">
        <v>10</v>
      </c>
    </row>
    <row r="25" spans="1:11" s="1" customFormat="1" x14ac:dyDescent="0.25">
      <c r="A25" s="37" t="s">
        <v>4150</v>
      </c>
      <c r="B25" s="1" t="s">
        <v>11</v>
      </c>
    </row>
    <row r="26" spans="1:11" s="1" customFormat="1" x14ac:dyDescent="0.25">
      <c r="A26" s="38" t="s">
        <v>4151</v>
      </c>
      <c r="B26" s="1" t="str">
        <f>VLOOKUP(B27,Master!$BA:$BB,2,FALSE)</f>
        <v>COUNTRY001</v>
      </c>
    </row>
    <row r="27" spans="1:11" s="1" customFormat="1" x14ac:dyDescent="0.25">
      <c r="A27" s="36" t="s">
        <v>4152</v>
      </c>
      <c r="B27" s="2" t="s">
        <v>3572</v>
      </c>
      <c r="C27" s="2"/>
      <c r="D27" s="2"/>
      <c r="E27" s="2"/>
      <c r="F27" s="2"/>
      <c r="G27" s="2"/>
      <c r="H27" s="2"/>
      <c r="I27" s="2"/>
      <c r="J27" s="2"/>
      <c r="K27" s="2"/>
    </row>
    <row r="28" spans="1:11" s="1" customFormat="1" x14ac:dyDescent="0.25">
      <c r="A28" s="37" t="s">
        <v>4153</v>
      </c>
      <c r="B28" s="1" t="s">
        <v>4105</v>
      </c>
    </row>
    <row r="29" spans="1:11" s="1" customFormat="1" x14ac:dyDescent="0.25">
      <c r="A29" s="37" t="s">
        <v>4154</v>
      </c>
      <c r="B29" s="1" t="s">
        <v>4100</v>
      </c>
    </row>
    <row r="30" spans="1:11" s="1" customFormat="1" x14ac:dyDescent="0.25">
      <c r="A30" s="36" t="s">
        <v>4155</v>
      </c>
      <c r="B30" s="2"/>
      <c r="C30" s="2"/>
      <c r="D30" s="2"/>
      <c r="E30" s="2"/>
      <c r="F30" s="2"/>
      <c r="G30" s="2"/>
      <c r="H30" s="2"/>
      <c r="I30" s="2"/>
      <c r="J30" s="2"/>
      <c r="K30" s="2"/>
    </row>
  </sheetData>
  <conditionalFormatting sqref="A30:B30 H30:XFD30">
    <cfRule type="expression" dxfId="100" priority="12">
      <formula>A$19="No"</formula>
    </cfRule>
  </conditionalFormatting>
  <conditionalFormatting sqref="B26:B27 H26:XFD27">
    <cfRule type="expression" dxfId="99" priority="11">
      <formula>AND(B$25&lt;&gt;"Foreigner",B$25&lt;&gt;"",B$25&lt;&gt;"Nationality")</formula>
    </cfRule>
  </conditionalFormatting>
  <conditionalFormatting sqref="C30">
    <cfRule type="expression" dxfId="98" priority="10">
      <formula>C$19="No"</formula>
    </cfRule>
  </conditionalFormatting>
  <conditionalFormatting sqref="C26:C27">
    <cfRule type="expression" dxfId="97" priority="9">
      <formula>AND(C$25&lt;&gt;"Foreigner",C$25&lt;&gt;"",C$25&lt;&gt;"Nationality")</formula>
    </cfRule>
  </conditionalFormatting>
  <conditionalFormatting sqref="D30">
    <cfRule type="expression" dxfId="96" priority="8">
      <formula>D$19="No"</formula>
    </cfRule>
  </conditionalFormatting>
  <conditionalFormatting sqref="D26:D27">
    <cfRule type="expression" dxfId="95" priority="7">
      <formula>AND(D$25&lt;&gt;"Foreigner",D$25&lt;&gt;"",D$25&lt;&gt;"Nationality")</formula>
    </cfRule>
  </conditionalFormatting>
  <conditionalFormatting sqref="E30">
    <cfRule type="expression" dxfId="94" priority="6">
      <formula>E$19="No"</formula>
    </cfRule>
  </conditionalFormatting>
  <conditionalFormatting sqref="E26:E27">
    <cfRule type="expression" dxfId="93" priority="5">
      <formula>AND(E$25&lt;&gt;"Foreigner",E$25&lt;&gt;"",E$25&lt;&gt;"Nationality")</formula>
    </cfRule>
  </conditionalFormatting>
  <conditionalFormatting sqref="F30">
    <cfRule type="expression" dxfId="92" priority="4">
      <formula>F$19="No"</formula>
    </cfRule>
  </conditionalFormatting>
  <conditionalFormatting sqref="F26:F27">
    <cfRule type="expression" dxfId="91" priority="3">
      <formula>AND(F$25&lt;&gt;"Foreigner",F$25&lt;&gt;"",F$25&lt;&gt;"Nationality")</formula>
    </cfRule>
  </conditionalFormatting>
  <conditionalFormatting sqref="G30">
    <cfRule type="expression" dxfId="90" priority="2">
      <formula>G$19="No"</formula>
    </cfRule>
  </conditionalFormatting>
  <conditionalFormatting sqref="G26:G27">
    <cfRule type="expression" dxfId="89" priority="1">
      <formula>AND(G$25&lt;&gt;"Foreigner",G$25&lt;&gt;"",G$25&lt;&gt;"Nationality")</formula>
    </cfRule>
  </conditionalFormatting>
  <dataValidations count="15">
    <dataValidation type="list" allowBlank="1" showInputMessage="1" showErrorMessage="1" sqref="H29:K29">
      <formula1>"Buddha, Catholic, Christian, Hindu, Islam, Kong Hu Cu"</formula1>
    </dataValidation>
    <dataValidation type="list" allowBlank="1" showInputMessage="1" showErrorMessage="1" sqref="H28:K28">
      <formula1>"S1, S2, S3, SD, SMP, SMA"</formula1>
    </dataValidation>
    <dataValidation showInputMessage="1" showErrorMessage="1" sqref="B21:K21"/>
    <dataValidation type="list" showInputMessage="1" showErrorMessage="1" sqref="H18:K20">
      <formula1>"Yes, No"</formula1>
    </dataValidation>
    <dataValidation type="list" showInputMessage="1" showErrorMessage="1" sqref="H25:K25">
      <formula1>"Local, Foreigner"</formula1>
    </dataValidation>
    <dataValidation type="list" showInputMessage="1" showErrorMessage="1" sqref="H22:K22">
      <formula1>"Mr, Mrs, Ms"</formula1>
    </dataValidation>
    <dataValidation type="custom" allowBlank="1" showInputMessage="1" showErrorMessage="1" sqref="B26:G26">
      <formula1>B$25="Foreigner"</formula1>
    </dataValidation>
    <dataValidation type="custom" allowBlank="1" showInputMessage="1" showErrorMessage="1" sqref="B30:G30">
      <formula1>B$19="Yes"</formula1>
    </dataValidation>
    <dataValidation type="whole" allowBlank="1" showInputMessage="1" showErrorMessage="1" sqref="B15:G16">
      <formula1>0</formula1>
      <formula2>9.99999999999999E+26</formula2>
    </dataValidation>
    <dataValidation type="list" allowBlank="1" showInputMessage="1" showErrorMessage="1" sqref="B27:G27">
      <formula1>IF(B$25="Foreigner",ListCountry)</formula1>
    </dataValidation>
    <dataValidation type="list" errorStyle="information" showInputMessage="1" showErrorMessage="1" sqref="B18:G20">
      <formula1>"Yes, No"</formula1>
    </dataValidation>
    <dataValidation type="list" errorStyle="information" allowBlank="1" showInputMessage="1" showErrorMessage="1" sqref="B22:G22">
      <formula1>"Mr, Mrs, Ms"</formula1>
    </dataValidation>
    <dataValidation type="list" errorStyle="information" allowBlank="1" showInputMessage="1" showErrorMessage="1" sqref="B25:G25">
      <formula1>"Local, Foreigner"</formula1>
    </dataValidation>
    <dataValidation type="list" errorStyle="information" allowBlank="1" showInputMessage="1" showErrorMessage="1" sqref="B28:G28">
      <formula1>"S1, S2, S3, SD, SMP, SMA, D3"</formula1>
    </dataValidation>
    <dataValidation type="list" errorStyle="information" allowBlank="1" showInputMessage="1" showErrorMessage="1" sqref="B29:G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B9" sqref="B9"/>
    </sheetView>
  </sheetViews>
  <sheetFormatPr defaultRowHeight="15" x14ac:dyDescent="0.25"/>
  <cols>
    <col min="1" max="1" width="18.28515625" bestFit="1" customWidth="1" collapsed="1"/>
    <col min="2" max="7" width="23.140625" bestFit="1" customWidth="1" collapsed="1"/>
  </cols>
  <sheetData>
    <row r="1" spans="1:11" s="1" customFormat="1" x14ac:dyDescent="0.25">
      <c r="A1" s="1" t="s">
        <v>12</v>
      </c>
      <c r="B1" t="s">
        <v>3283</v>
      </c>
      <c r="C1"/>
    </row>
    <row r="2" spans="1:11" s="1" customFormat="1" x14ac:dyDescent="0.25">
      <c r="A2" s="1" t="s">
        <v>4144</v>
      </c>
      <c r="B2" s="1" t="s">
        <v>4234</v>
      </c>
    </row>
    <row r="3" spans="1:11" s="1" customFormat="1" x14ac:dyDescent="0.25">
      <c r="A3" s="1" t="s">
        <v>4145</v>
      </c>
      <c r="B3" s="1" t="str">
        <f>'1.CustomerDetail'!B3</f>
        <v>LOS-011</v>
      </c>
    </row>
    <row r="4" spans="1:11" s="1" customFormat="1" x14ac:dyDescent="0.25">
      <c r="A4" s="1" t="s">
        <v>4156</v>
      </c>
      <c r="B4" s="1">
        <f t="shared" ref="B4" si="0">IF(B13="",COUNTIFS($A$12:$A$32, "*$*",B12:B32,""),0)</f>
        <v>0</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3558</v>
      </c>
      <c r="B9" s="1" t="str">
        <f>'1.CustomerDetail'!B12</f>
        <v>0002APP20221206316</v>
      </c>
    </row>
    <row r="10" spans="1:11" s="1" customFormat="1" x14ac:dyDescent="0.25">
      <c r="A10" s="1" t="s">
        <v>4215</v>
      </c>
      <c r="B10" s="1" t="str">
        <f>'1.CustomerDetail'!B13</f>
        <v>-</v>
      </c>
    </row>
    <row r="11" spans="1:11" s="53" customFormat="1" x14ac:dyDescent="0.25">
      <c r="B11" s="54"/>
      <c r="C11" s="54"/>
    </row>
    <row r="12" spans="1:11" s="1" customFormat="1" x14ac:dyDescent="0.25">
      <c r="A12" s="37" t="s">
        <v>4160</v>
      </c>
      <c r="B12" s="1" t="s">
        <v>13</v>
      </c>
    </row>
    <row r="13" spans="1:11" s="1" customFormat="1" x14ac:dyDescent="0.25">
      <c r="A13" s="1" t="s">
        <v>14</v>
      </c>
    </row>
    <row r="14" spans="1:11" s="1" customFormat="1" x14ac:dyDescent="0.25">
      <c r="A14" s="37" t="s">
        <v>4161</v>
      </c>
      <c r="B14" s="1" t="s">
        <v>16</v>
      </c>
    </row>
    <row r="15" spans="1:11" s="1" customFormat="1" x14ac:dyDescent="0.25">
      <c r="A15" s="37" t="s">
        <v>4162</v>
      </c>
      <c r="B15" s="2">
        <v>23</v>
      </c>
      <c r="C15" s="2"/>
      <c r="D15" s="2"/>
      <c r="E15" s="2"/>
      <c r="F15" s="2"/>
      <c r="G15" s="2"/>
      <c r="H15" s="2"/>
      <c r="I15" s="2"/>
      <c r="J15" s="2"/>
      <c r="K15" s="2"/>
    </row>
    <row r="16" spans="1:11" s="1" customFormat="1" x14ac:dyDescent="0.25">
      <c r="A16" s="37" t="s">
        <v>4163</v>
      </c>
      <c r="B16" s="2">
        <v>12</v>
      </c>
      <c r="C16" s="2"/>
      <c r="D16" s="2"/>
      <c r="E16" s="2"/>
      <c r="F16" s="2"/>
      <c r="G16" s="2"/>
      <c r="H16" s="2"/>
      <c r="I16" s="2"/>
      <c r="J16" s="2"/>
      <c r="K16" s="2"/>
    </row>
    <row r="17" spans="1:11" s="1" customFormat="1" x14ac:dyDescent="0.25">
      <c r="A17" s="37" t="s">
        <v>4164</v>
      </c>
      <c r="B17" s="2">
        <v>11530</v>
      </c>
      <c r="C17" s="2"/>
      <c r="D17" s="2"/>
      <c r="E17" s="2"/>
      <c r="F17" s="2"/>
      <c r="G17" s="2"/>
      <c r="H17" s="2"/>
      <c r="I17" s="2"/>
      <c r="J17" s="2"/>
      <c r="K17" s="2"/>
    </row>
    <row r="18" spans="1:11" s="1" customFormat="1" x14ac:dyDescent="0.25">
      <c r="A18" s="37" t="s">
        <v>4165</v>
      </c>
      <c r="B18" s="1" t="s">
        <v>21</v>
      </c>
    </row>
    <row r="19" spans="1:11" s="1" customFormat="1" x14ac:dyDescent="0.25">
      <c r="A19" s="37" t="s">
        <v>4166</v>
      </c>
      <c r="B19" s="1" t="s">
        <v>21</v>
      </c>
    </row>
    <row r="20" spans="1:11" s="1" customFormat="1" x14ac:dyDescent="0.25">
      <c r="A20" s="37" t="s">
        <v>4167</v>
      </c>
      <c r="B20" s="1" t="s">
        <v>248</v>
      </c>
    </row>
    <row r="21" spans="1:11" s="1" customFormat="1" x14ac:dyDescent="0.25">
      <c r="A21" s="37" t="s">
        <v>4168</v>
      </c>
      <c r="B21" s="2">
        <v>312</v>
      </c>
      <c r="C21" s="2"/>
      <c r="D21" s="2"/>
      <c r="E21" s="2"/>
      <c r="F21" s="2"/>
      <c r="G21" s="2"/>
      <c r="H21" s="2"/>
      <c r="I21" s="2"/>
      <c r="J21" s="2"/>
      <c r="K21" s="2"/>
    </row>
    <row r="22" spans="1:11" s="1" customFormat="1" x14ac:dyDescent="0.25">
      <c r="A22" s="37" t="s">
        <v>4169</v>
      </c>
      <c r="B22" s="2">
        <v>123123</v>
      </c>
      <c r="C22" s="2"/>
      <c r="D22" s="2"/>
      <c r="E22" s="2"/>
      <c r="F22" s="2"/>
      <c r="G22" s="2"/>
      <c r="H22" s="2"/>
      <c r="I22" s="2"/>
      <c r="J22" s="2"/>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4170</v>
      </c>
      <c r="B32" s="1" t="s">
        <v>2996</v>
      </c>
    </row>
  </sheetData>
  <conditionalFormatting sqref="B14:D20 H14:XFD20">
    <cfRule type="expression" dxfId="88" priority="5">
      <formula>AND(B$13&lt;&gt;"",B$13&lt;&gt;"Copy Address From")</formula>
    </cfRule>
  </conditionalFormatting>
  <conditionalFormatting sqref="A14:A20">
    <cfRule type="expression" dxfId="87" priority="4">
      <formula>AND(A$13&lt;&gt;"",A$13&lt;&gt;"Copy Address From")</formula>
    </cfRule>
  </conditionalFormatting>
  <conditionalFormatting sqref="E14:E20">
    <cfRule type="expression" dxfId="86" priority="3">
      <formula>AND(E$13&lt;&gt;"",E$13&lt;&gt;"Copy Address From")</formula>
    </cfRule>
  </conditionalFormatting>
  <conditionalFormatting sqref="F14:F20">
    <cfRule type="expression" dxfId="85" priority="2">
      <formula>AND(F$13&lt;&gt;"",F$13&lt;&gt;"Copy Address From")</formula>
    </cfRule>
  </conditionalFormatting>
  <conditionalFormatting sqref="G14:G20">
    <cfRule type="expression" dxfId="84" priority="1">
      <formula>AND(G$13&lt;&gt;"",G$13&lt;&gt;"Copy Address From")</formula>
    </cfRule>
  </conditionalFormatting>
  <dataValidations count="6">
    <dataValidation type="list" showInputMessage="1" showErrorMessage="1" sqref="H32:K32">
      <formula1>"Dinas, Family, KPR, Rented, Self - Owned"</formula1>
    </dataValidation>
    <dataValidation type="list" showInputMessage="1" showErrorMessage="1" sqref="H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4:G20">
      <formula1>ISBLANK(B$13)</formula1>
    </dataValidation>
    <dataValidation type="list" errorStyle="information" showInputMessage="1" showErrorMessage="1" sqref="B12:G12">
      <formula1>"Legal, Mailing, Residence, Residence 2"</formula1>
    </dataValidation>
    <dataValidation type="list" errorStyle="information" showInputMessage="1" showErrorMessage="1" sqref="B32:G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H13</xm:sqref>
        </x14:dataValidation>
        <x14:dataValidation type="list" errorStyle="information" allowBlank="1" showInputMessage="1" showErrorMessage="1">
          <x14:formula1>
            <xm:f>Master!$BE$2:$BE$20</xm:f>
          </x14:formula1>
          <xm:sqref>B13:G13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B1" zoomScaleNormal="100" workbookViewId="0">
      <selection activeCell="B1" sqref="B1"/>
    </sheetView>
  </sheetViews>
  <sheetFormatPr defaultRowHeight="15" x14ac:dyDescent="0.25"/>
  <cols>
    <col min="1" max="1" width="39.28515625" bestFit="1" customWidth="1" collapsed="1"/>
    <col min="2" max="7" width="42.140625" bestFit="1" customWidth="1" collapsed="1"/>
  </cols>
  <sheetData>
    <row r="1" spans="1:11" s="1" customFormat="1" x14ac:dyDescent="0.25">
      <c r="A1" s="1" t="s">
        <v>12</v>
      </c>
      <c r="B1" s="1" t="s">
        <v>3283</v>
      </c>
      <c r="C1" s="1" t="s">
        <v>3283</v>
      </c>
    </row>
    <row r="2" spans="1:11" s="1" customFormat="1" x14ac:dyDescent="0.25">
      <c r="A2" s="1" t="s">
        <v>4144</v>
      </c>
      <c r="B2" s="1" t="s">
        <v>4234</v>
      </c>
      <c r="C2" s="1" t="s">
        <v>4234</v>
      </c>
    </row>
    <row r="3" spans="1:11" s="1" customFormat="1" x14ac:dyDescent="0.25">
      <c r="A3" s="1" t="s">
        <v>4145</v>
      </c>
      <c r="B3" s="1" t="str">
        <f>'1.CustomerDetail'!B$3</f>
        <v>LOS-011</v>
      </c>
      <c r="C3" s="1">
        <f>'1.CustomerDetail'!C$3</f>
        <v>0</v>
      </c>
    </row>
    <row r="4" spans="1:11" s="1" customFormat="1" x14ac:dyDescent="0.25">
      <c r="A4" s="1" t="s">
        <v>4156</v>
      </c>
      <c r="B4" s="1">
        <f t="shared" ref="B4" si="0">IF(B12="Employee",COUNTIFS($A$14:$A$26,"*$*",B14:B26,"")+COUNTIFS($A$55:$A$61,"*$*",B55:B61,""),IF(B12="Professional",COUNTIFS($A$28:$A$36,"*$*",B28:B36,"")+COUNTIFS($A$55:$A$61,"*$*",B55:B61,""),IF(B12="Non Professional",COUNTIFS($A$38:$A$40,"*$*",B38:B40,"")+COUNTIFS($A$55:$A$61,"*$*",B55:B61,""),IF(B12="Employee",COUNTIFS($A$42:$A$53,"*$*",B42:B53,"")+COUNTIFS($A$55:$A$61,"*$*",B55:B61,"")))))</f>
        <v>0</v>
      </c>
      <c r="C4" s="1">
        <f t="shared" ref="C4" si="1">IF(C12="Employee",COUNTIFS($A$14:$A$26,"*$*",C14:C26,"")+COUNTIFS($A$55:$A$61,"*$*",C55:C61,""),IF(C12="Professional",COUNTIFS($A$28:$A$36,"*$*",C28:C36,"")+COUNTIFS($A$55:$A$61,"*$*",C55:C61,""),IF(C12="Non Professional",COUNTIFS($A$38:$A$40,"*$*",C38:C40,"")+COUNTIFS($A$55:$A$61,"*$*",C55:C61,""),IF(C12="Employee",COUNTIFS($A$42:$A$53,"*$*",C42:C53,"")+COUNTIFS($A$55:$A$61,"*$*",C55:C61,"")))))</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0002APP20221206316</v>
      </c>
      <c r="C10" s="1">
        <f>'1.CustomerDetail'!C$12</f>
        <v>0</v>
      </c>
    </row>
    <row r="11" spans="1:11" s="57" customFormat="1" x14ac:dyDescent="0.25">
      <c r="A11" s="58" t="s">
        <v>4214</v>
      </c>
      <c r="B11" s="59"/>
      <c r="C11" s="59"/>
      <c r="D11" s="59"/>
      <c r="E11" s="59"/>
      <c r="F11" s="59"/>
      <c r="G11" s="59"/>
      <c r="H11" s="59"/>
      <c r="I11" s="59"/>
      <c r="J11" s="59"/>
      <c r="K11" s="60"/>
    </row>
    <row r="12" spans="1:11" s="1" customFormat="1" x14ac:dyDescent="0.25">
      <c r="A12" s="1" t="s">
        <v>4214</v>
      </c>
      <c r="B12" s="1" t="s">
        <v>4213</v>
      </c>
      <c r="C12" s="1" t="s">
        <v>4213</v>
      </c>
    </row>
    <row r="13" spans="1:11" s="57" customFormat="1" x14ac:dyDescent="0.25">
      <c r="A13" s="58" t="s">
        <v>3559</v>
      </c>
      <c r="B13" s="59"/>
      <c r="C13" s="59"/>
      <c r="D13" s="59"/>
      <c r="E13" s="59"/>
      <c r="F13" s="59"/>
      <c r="G13" s="59"/>
      <c r="H13" s="59"/>
      <c r="I13" s="59"/>
      <c r="J13" s="59"/>
      <c r="K13" s="60"/>
    </row>
    <row r="14" spans="1:11" s="1" customFormat="1" x14ac:dyDescent="0.25">
      <c r="A14" s="38" t="s">
        <v>4204</v>
      </c>
      <c r="B14" s="3" t="str">
        <f>VLOOKUP(B15,Master!$A$1:$B$100,2,FALSE)</f>
        <v>001</v>
      </c>
      <c r="C14" s="3" t="str">
        <f>VLOOKUP(C15,Master!$A$1:$B$100,2,FALSE)</f>
        <v>001</v>
      </c>
      <c r="D14" s="3"/>
      <c r="E14" s="3"/>
      <c r="F14" s="3"/>
      <c r="G14" s="3"/>
      <c r="H14" s="3"/>
      <c r="I14" s="3"/>
      <c r="J14" s="3"/>
      <c r="K14" s="3"/>
    </row>
    <row r="15" spans="1:11" s="1" customFormat="1" x14ac:dyDescent="0.25">
      <c r="A15" s="37" t="s">
        <v>4205</v>
      </c>
      <c r="B15" s="3" t="s">
        <v>61</v>
      </c>
      <c r="C15" s="3" t="s">
        <v>61</v>
      </c>
      <c r="D15" s="3"/>
      <c r="E15" s="3"/>
      <c r="F15" s="3"/>
      <c r="G15" s="3"/>
      <c r="H15" s="3"/>
      <c r="I15" s="3"/>
      <c r="J15" s="3"/>
      <c r="K15" s="3"/>
    </row>
    <row r="16" spans="1:11" s="1" customFormat="1" x14ac:dyDescent="0.25">
      <c r="A16" s="37" t="s">
        <v>4206</v>
      </c>
      <c r="B16" s="3" t="s">
        <v>261</v>
      </c>
      <c r="C16" s="3" t="s">
        <v>261</v>
      </c>
      <c r="D16" s="3"/>
      <c r="E16" s="3"/>
      <c r="F16" s="3"/>
      <c r="G16" s="3"/>
      <c r="H16" s="3"/>
      <c r="I16" s="3"/>
      <c r="J16" s="3"/>
      <c r="K16" s="3"/>
    </row>
    <row r="17" spans="1:11" s="1" customFormat="1" x14ac:dyDescent="0.25">
      <c r="A17" s="37" t="s">
        <v>4207</v>
      </c>
      <c r="B17" s="3" t="s">
        <v>32</v>
      </c>
      <c r="C17" s="3" t="s">
        <v>32</v>
      </c>
      <c r="D17" s="3"/>
      <c r="E17" s="3"/>
      <c r="F17" s="3"/>
      <c r="G17" s="3"/>
      <c r="H17" s="3"/>
      <c r="I17" s="3"/>
      <c r="J17" s="3"/>
      <c r="K17" s="3"/>
    </row>
    <row r="18" spans="1:11" s="1" customFormat="1" x14ac:dyDescent="0.25">
      <c r="A18" s="1" t="s">
        <v>33</v>
      </c>
      <c r="B18" s="1" t="s">
        <v>6</v>
      </c>
      <c r="C18" s="1" t="s">
        <v>6</v>
      </c>
    </row>
    <row r="19" spans="1:11" s="1" customFormat="1" x14ac:dyDescent="0.25">
      <c r="A19" s="1" t="s">
        <v>34</v>
      </c>
      <c r="B19" s="1" t="s">
        <v>5</v>
      </c>
      <c r="C19" s="1" t="s">
        <v>5</v>
      </c>
    </row>
    <row r="20" spans="1:11" s="1" customFormat="1" x14ac:dyDescent="0.25">
      <c r="A20" s="37" t="s">
        <v>4208</v>
      </c>
      <c r="B20" s="1" t="s">
        <v>35</v>
      </c>
      <c r="C20" s="1" t="s">
        <v>35</v>
      </c>
    </row>
    <row r="21" spans="1:11" s="1" customFormat="1" x14ac:dyDescent="0.25">
      <c r="A21" s="38" t="s">
        <v>4209</v>
      </c>
      <c r="B21" s="1" t="str">
        <f>VLOOKUP(B22,Master!$AW:$AX,2,FALSE)</f>
        <v>1141</v>
      </c>
      <c r="C21" s="1" t="str">
        <f>VLOOKUP(C22,Master!$AW:$AX,2,FALSE)</f>
        <v>1141</v>
      </c>
    </row>
    <row r="22" spans="1:11" s="1" customFormat="1" x14ac:dyDescent="0.25">
      <c r="A22" s="37" t="s">
        <v>4210</v>
      </c>
      <c r="B22" s="1" t="s">
        <v>3020</v>
      </c>
      <c r="C22" s="1" t="s">
        <v>3020</v>
      </c>
    </row>
    <row r="23" spans="1:11" s="1" customFormat="1" x14ac:dyDescent="0.25">
      <c r="A23" s="1" t="s">
        <v>36</v>
      </c>
    </row>
    <row r="24" spans="1:11" s="1" customFormat="1" x14ac:dyDescent="0.25">
      <c r="A24" s="37" t="s">
        <v>4211</v>
      </c>
      <c r="B24" s="41">
        <v>43958</v>
      </c>
      <c r="C24" s="41">
        <v>43958</v>
      </c>
      <c r="D24" s="41"/>
      <c r="E24" s="41"/>
      <c r="F24" s="41"/>
      <c r="G24" s="41"/>
      <c r="H24" s="8"/>
      <c r="I24" s="8"/>
      <c r="J24" s="8"/>
      <c r="K24" s="8"/>
    </row>
    <row r="25" spans="1:11" s="1" customFormat="1" x14ac:dyDescent="0.25">
      <c r="A25" s="1" t="s">
        <v>241</v>
      </c>
      <c r="B25" s="2"/>
      <c r="C25" s="2"/>
      <c r="D25" s="2"/>
      <c r="E25" s="2"/>
      <c r="F25" s="2"/>
      <c r="G25" s="2"/>
      <c r="H25" s="2"/>
      <c r="I25" s="2"/>
      <c r="J25" s="2"/>
      <c r="K25" s="2"/>
    </row>
    <row r="26" spans="1:11" s="1" customFormat="1" x14ac:dyDescent="0.25">
      <c r="A26" s="1" t="s">
        <v>38</v>
      </c>
      <c r="B26" s="2">
        <v>0</v>
      </c>
      <c r="C26" s="2">
        <v>0</v>
      </c>
      <c r="D26" s="2"/>
      <c r="E26" s="2"/>
      <c r="F26" s="2"/>
      <c r="G26" s="2"/>
      <c r="H26" s="2"/>
      <c r="I26" s="2"/>
      <c r="J26" s="2"/>
      <c r="K26" s="2"/>
    </row>
    <row r="27" spans="1:11" s="57" customFormat="1" x14ac:dyDescent="0.25">
      <c r="A27" s="57" t="s">
        <v>4063</v>
      </c>
    </row>
    <row r="28" spans="1:11" s="1" customFormat="1" x14ac:dyDescent="0.25">
      <c r="A28" s="1" t="s">
        <v>27</v>
      </c>
      <c r="B28" s="3" t="str">
        <f>VLOOKUP(B29,Master!$A$1:$B$100,2,FALSE)</f>
        <v>ARCHT</v>
      </c>
      <c r="C28" s="3" t="str">
        <f>VLOOKUP(C29,Master!$A$1:$B$100,2,FALSE)</f>
        <v>ARCHT</v>
      </c>
      <c r="D28" s="3"/>
      <c r="E28" s="3"/>
      <c r="F28" s="3"/>
      <c r="G28" s="3"/>
    </row>
    <row r="29" spans="1:11" s="1" customFormat="1" x14ac:dyDescent="0.25">
      <c r="A29" s="1" t="s">
        <v>60</v>
      </c>
      <c r="B29" s="3" t="s">
        <v>205</v>
      </c>
      <c r="C29" s="3" t="s">
        <v>205</v>
      </c>
      <c r="D29" s="3"/>
      <c r="E29" s="3"/>
      <c r="F29" s="3"/>
      <c r="G29" s="3"/>
    </row>
    <row r="30" spans="1:11" s="1" customFormat="1" x14ac:dyDescent="0.25">
      <c r="A30" s="1" t="s">
        <v>34</v>
      </c>
      <c r="B30" s="1" t="s">
        <v>5</v>
      </c>
      <c r="C30" s="1" t="s">
        <v>5</v>
      </c>
    </row>
    <row r="31" spans="1:11" s="1" customFormat="1" x14ac:dyDescent="0.25">
      <c r="A31" s="1" t="s">
        <v>240</v>
      </c>
      <c r="B31" s="1" t="s">
        <v>4061</v>
      </c>
      <c r="C31" s="1" t="s">
        <v>4061</v>
      </c>
    </row>
    <row r="32" spans="1:11" s="1" customFormat="1" x14ac:dyDescent="0.25">
      <c r="A32" s="1" t="s">
        <v>4064</v>
      </c>
      <c r="B32" s="1" t="str">
        <f>VLOOKUP(B33,Master!$AW:$AX,2,FALSE)</f>
        <v>1380</v>
      </c>
      <c r="C32" s="1" t="str">
        <f>VLOOKUP(C33,Master!$AW:$AX,2,FALSE)</f>
        <v>1380</v>
      </c>
    </row>
    <row r="33" spans="1:7" s="1" customFormat="1" x14ac:dyDescent="0.25">
      <c r="A33" s="1" t="s">
        <v>4065</v>
      </c>
      <c r="B33" s="1" t="s">
        <v>4066</v>
      </c>
      <c r="C33" s="1" t="s">
        <v>4066</v>
      </c>
    </row>
    <row r="34" spans="1:7" s="1" customFormat="1" x14ac:dyDescent="0.25">
      <c r="A34" s="1" t="s">
        <v>4067</v>
      </c>
      <c r="B34" s="1">
        <v>1823612694</v>
      </c>
      <c r="C34" s="1">
        <v>1823612694</v>
      </c>
    </row>
    <row r="35" spans="1:7" s="1" customFormat="1" x14ac:dyDescent="0.25">
      <c r="A35" s="1" t="s">
        <v>4068</v>
      </c>
      <c r="B35" s="42">
        <v>44443</v>
      </c>
      <c r="C35" s="42">
        <v>44443</v>
      </c>
      <c r="D35" s="42"/>
      <c r="E35" s="42"/>
      <c r="F35" s="42"/>
      <c r="G35" s="42"/>
    </row>
    <row r="36" spans="1:7" s="1" customFormat="1" x14ac:dyDescent="0.25">
      <c r="A36" s="1" t="s">
        <v>241</v>
      </c>
      <c r="B36" s="1" t="s">
        <v>269</v>
      </c>
      <c r="C36" s="1" t="s">
        <v>269</v>
      </c>
    </row>
    <row r="37" spans="1:7" s="57" customFormat="1" x14ac:dyDescent="0.25">
      <c r="A37" s="57" t="s">
        <v>4069</v>
      </c>
    </row>
    <row r="38" spans="1:7" s="1" customFormat="1" x14ac:dyDescent="0.25">
      <c r="A38" s="1" t="s">
        <v>4204</v>
      </c>
      <c r="B38" s="3" t="str">
        <f>VLOOKUP(B39,Master!$A$1:$B$100,2,FALSE)</f>
        <v>SMPLPR</v>
      </c>
      <c r="C38" s="3" t="str">
        <f>VLOOKUP(C39,Master!$A$1:$B$100,2,FALSE)</f>
        <v>SMPLPR</v>
      </c>
      <c r="D38" s="3"/>
      <c r="E38" s="3"/>
      <c r="F38" s="3"/>
      <c r="G38" s="3"/>
    </row>
    <row r="39" spans="1:7" s="1" customFormat="1" x14ac:dyDescent="0.25">
      <c r="A39" s="1" t="s">
        <v>4205</v>
      </c>
      <c r="B39" s="3" t="s">
        <v>4070</v>
      </c>
      <c r="C39" s="3" t="s">
        <v>4070</v>
      </c>
      <c r="D39" s="3"/>
      <c r="E39" s="3"/>
      <c r="F39" s="3"/>
      <c r="G39" s="3"/>
    </row>
    <row r="40" spans="1:7" s="1" customFormat="1" x14ac:dyDescent="0.25">
      <c r="A40" s="1" t="s">
        <v>4212</v>
      </c>
      <c r="B40" s="1" t="s">
        <v>4099</v>
      </c>
      <c r="C40" s="1" t="s">
        <v>4099</v>
      </c>
    </row>
    <row r="41" spans="1:7" s="57" customFormat="1" x14ac:dyDescent="0.25">
      <c r="A41" s="57" t="s">
        <v>4071</v>
      </c>
    </row>
    <row r="42" spans="1:7" s="1" customFormat="1" x14ac:dyDescent="0.25">
      <c r="A42" s="1" t="s">
        <v>27</v>
      </c>
      <c r="B42" s="3" t="str">
        <f>VLOOKUP(B43,Master!$A$1:$B$100,2,FALSE)</f>
        <v>PO</v>
      </c>
      <c r="C42" s="3" t="str">
        <f>VLOOKUP(C43,Master!$A$1:$B$100,2,FALSE)</f>
        <v>PO</v>
      </c>
      <c r="D42" s="3"/>
      <c r="E42" s="3"/>
      <c r="F42" s="3"/>
      <c r="G42" s="3"/>
    </row>
    <row r="43" spans="1:7" s="1" customFormat="1" x14ac:dyDescent="0.25">
      <c r="A43" s="1" t="s">
        <v>60</v>
      </c>
      <c r="B43" s="3" t="s">
        <v>231</v>
      </c>
      <c r="C43" s="3" t="s">
        <v>231</v>
      </c>
      <c r="D43" s="3"/>
      <c r="E43" s="3"/>
      <c r="F43" s="3"/>
      <c r="G43" s="3"/>
    </row>
    <row r="44" spans="1:7" s="1" customFormat="1" x14ac:dyDescent="0.25">
      <c r="A44" s="1" t="s">
        <v>29</v>
      </c>
      <c r="B44" s="3" t="s">
        <v>270</v>
      </c>
      <c r="C44" s="3" t="s">
        <v>270</v>
      </c>
      <c r="D44" s="3"/>
      <c r="E44" s="3"/>
      <c r="F44" s="3"/>
      <c r="G44" s="3"/>
    </row>
    <row r="45" spans="1:7" s="1" customFormat="1" x14ac:dyDescent="0.25">
      <c r="A45" s="1" t="s">
        <v>34</v>
      </c>
      <c r="B45" s="1" t="s">
        <v>5</v>
      </c>
      <c r="C45" s="1" t="s">
        <v>5</v>
      </c>
    </row>
    <row r="46" spans="1:7" s="1" customFormat="1" x14ac:dyDescent="0.25">
      <c r="A46" s="1" t="s">
        <v>240</v>
      </c>
      <c r="B46" s="1" t="s">
        <v>4072</v>
      </c>
      <c r="C46" s="1" t="s">
        <v>4072</v>
      </c>
    </row>
    <row r="47" spans="1:7" s="1" customFormat="1" x14ac:dyDescent="0.25">
      <c r="A47" s="1" t="s">
        <v>4064</v>
      </c>
      <c r="B47" s="1" t="str">
        <f>VLOOKUP(B48,Master!$AW:$AX,2,FALSE)</f>
        <v>1115</v>
      </c>
      <c r="C47" s="1" t="str">
        <f>VLOOKUP(C48,Master!$AW:$AX,2,FALSE)</f>
        <v>1115</v>
      </c>
    </row>
    <row r="48" spans="1:7" s="1" customFormat="1" x14ac:dyDescent="0.25">
      <c r="A48" s="1" t="s">
        <v>4065</v>
      </c>
      <c r="B48" s="1" t="s">
        <v>3322</v>
      </c>
      <c r="C48" s="1" t="s">
        <v>3322</v>
      </c>
    </row>
    <row r="49" spans="1:11" s="1" customFormat="1" x14ac:dyDescent="0.25">
      <c r="A49" s="1" t="s">
        <v>4073</v>
      </c>
      <c r="B49" s="1" t="s">
        <v>37</v>
      </c>
      <c r="C49" s="1" t="s">
        <v>37</v>
      </c>
    </row>
    <row r="50" spans="1:11" s="1" customFormat="1" x14ac:dyDescent="0.25">
      <c r="A50" s="1" t="s">
        <v>4074</v>
      </c>
      <c r="B50" s="41">
        <v>43958</v>
      </c>
      <c r="C50" s="41">
        <v>43958</v>
      </c>
      <c r="D50" s="41"/>
      <c r="E50" s="41"/>
      <c r="F50" s="41"/>
      <c r="G50" s="41"/>
    </row>
    <row r="51" spans="1:11" s="1" customFormat="1" x14ac:dyDescent="0.25">
      <c r="A51" s="1" t="s">
        <v>241</v>
      </c>
      <c r="B51" s="2" t="s">
        <v>31</v>
      </c>
      <c r="C51" s="2" t="s">
        <v>31</v>
      </c>
      <c r="D51" s="2"/>
      <c r="E51" s="2"/>
      <c r="F51" s="2"/>
      <c r="G51" s="2"/>
    </row>
    <row r="52" spans="1:11" s="1" customFormat="1" x14ac:dyDescent="0.25">
      <c r="A52" s="1" t="s">
        <v>38</v>
      </c>
      <c r="B52" s="2">
        <v>101</v>
      </c>
      <c r="C52" s="2">
        <v>101</v>
      </c>
      <c r="D52" s="2"/>
      <c r="E52" s="2"/>
      <c r="F52" s="2"/>
      <c r="G52" s="2"/>
    </row>
    <row r="53" spans="1:11" s="1" customFormat="1" x14ac:dyDescent="0.25">
      <c r="A53" s="1" t="s">
        <v>4075</v>
      </c>
      <c r="B53" s="1" t="s">
        <v>4076</v>
      </c>
      <c r="C53" s="1" t="s">
        <v>4076</v>
      </c>
    </row>
    <row r="54" spans="1:11" s="57" customFormat="1" x14ac:dyDescent="0.25">
      <c r="A54" s="58" t="s">
        <v>3560</v>
      </c>
      <c r="B54" s="59"/>
      <c r="C54" s="59"/>
      <c r="D54" s="59"/>
      <c r="E54" s="59"/>
      <c r="F54" s="59"/>
      <c r="G54" s="59"/>
      <c r="H54" s="59"/>
      <c r="I54" s="59"/>
      <c r="J54" s="59"/>
      <c r="K54" s="60"/>
    </row>
    <row r="55" spans="1:11" s="1" customFormat="1" x14ac:dyDescent="0.25">
      <c r="A55" s="37" t="s">
        <v>4161</v>
      </c>
      <c r="B55" s="1" t="s">
        <v>4146</v>
      </c>
      <c r="C55" s="1" t="s">
        <v>4146</v>
      </c>
    </row>
    <row r="56" spans="1:11" s="1" customFormat="1" x14ac:dyDescent="0.25">
      <c r="A56" s="37" t="s">
        <v>4162</v>
      </c>
      <c r="B56" s="3" t="s">
        <v>55</v>
      </c>
      <c r="C56" s="3" t="s">
        <v>55</v>
      </c>
      <c r="D56" s="3"/>
      <c r="E56" s="3"/>
      <c r="F56" s="3"/>
      <c r="G56" s="3"/>
      <c r="H56" s="2"/>
      <c r="I56" s="2"/>
      <c r="J56" s="2"/>
      <c r="K56" s="2"/>
    </row>
    <row r="57" spans="1:11" s="1" customFormat="1" x14ac:dyDescent="0.25">
      <c r="A57" s="37" t="s">
        <v>4163</v>
      </c>
      <c r="B57" s="3" t="s">
        <v>56</v>
      </c>
      <c r="C57" s="3" t="s">
        <v>56</v>
      </c>
      <c r="D57" s="3"/>
      <c r="E57" s="3"/>
      <c r="F57" s="3"/>
      <c r="G57" s="3"/>
      <c r="H57" s="2"/>
      <c r="I57" s="2"/>
      <c r="J57" s="2"/>
      <c r="K57" s="2"/>
    </row>
    <row r="58" spans="1:11" s="1" customFormat="1" x14ac:dyDescent="0.25">
      <c r="A58" s="37" t="s">
        <v>4164</v>
      </c>
      <c r="B58" s="1">
        <v>25584</v>
      </c>
      <c r="C58" s="1">
        <v>25584</v>
      </c>
      <c r="H58" s="2"/>
      <c r="I58" s="2"/>
      <c r="J58" s="2"/>
      <c r="K58" s="2"/>
    </row>
    <row r="59" spans="1:11" s="1" customFormat="1" x14ac:dyDescent="0.25">
      <c r="A59" s="37" t="s">
        <v>4166</v>
      </c>
      <c r="B59" s="1" t="s">
        <v>4102</v>
      </c>
      <c r="C59" s="1" t="s">
        <v>4102</v>
      </c>
    </row>
    <row r="60" spans="1:11" s="1" customFormat="1" x14ac:dyDescent="0.25">
      <c r="A60" s="37" t="s">
        <v>4165</v>
      </c>
      <c r="B60" s="1" t="s">
        <v>4101</v>
      </c>
      <c r="C60" s="1" t="s">
        <v>4101</v>
      </c>
    </row>
    <row r="61" spans="1:11" s="1" customFormat="1" x14ac:dyDescent="0.25">
      <c r="A61" s="37" t="s">
        <v>4167</v>
      </c>
      <c r="B61" s="1" t="s">
        <v>4103</v>
      </c>
      <c r="C61" s="1" t="s">
        <v>4103</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row>
    <row r="75" spans="1:11" s="57" customFormat="1" x14ac:dyDescent="0.25">
      <c r="A75" s="58" t="s">
        <v>3561</v>
      </c>
      <c r="B75" s="59"/>
      <c r="C75" s="59"/>
      <c r="D75" s="59"/>
      <c r="E75" s="59"/>
      <c r="F75" s="59"/>
      <c r="G75" s="59"/>
      <c r="H75" s="59"/>
      <c r="I75" s="59"/>
      <c r="J75" s="59"/>
      <c r="K75" s="60"/>
    </row>
    <row r="76" spans="1:11" s="1" customFormat="1" x14ac:dyDescent="0.25">
      <c r="A76" s="2" t="s">
        <v>242</v>
      </c>
    </row>
    <row r="77" spans="1:11" s="1" customFormat="1" x14ac:dyDescent="0.25">
      <c r="A77" s="2" t="s">
        <v>243</v>
      </c>
      <c r="B77" s="42"/>
      <c r="C77" s="42"/>
      <c r="D77" s="42"/>
      <c r="E77" s="42"/>
      <c r="F77" s="42"/>
      <c r="G77" s="42"/>
    </row>
    <row r="78" spans="1:11" s="57" customFormat="1" x14ac:dyDescent="0.25">
      <c r="A78" s="58" t="s">
        <v>3562</v>
      </c>
      <c r="B78" s="59"/>
      <c r="C78" s="59"/>
      <c r="D78" s="59"/>
      <c r="E78" s="59"/>
      <c r="F78" s="59"/>
      <c r="G78" s="59"/>
      <c r="H78" s="59"/>
      <c r="I78" s="59"/>
      <c r="J78" s="59"/>
      <c r="K78" s="60"/>
    </row>
    <row r="79" spans="1:11" s="1" customFormat="1" x14ac:dyDescent="0.25">
      <c r="A79" s="2" t="s">
        <v>303</v>
      </c>
    </row>
    <row r="80" spans="1:11" s="1" customFormat="1" x14ac:dyDescent="0.25">
      <c r="A80" s="2" t="s">
        <v>304</v>
      </c>
      <c r="B80" s="2"/>
      <c r="C80" s="2"/>
      <c r="D80" s="2"/>
      <c r="E80" s="2"/>
      <c r="F80" s="2"/>
      <c r="G80" s="2"/>
      <c r="H80" s="2"/>
      <c r="I80" s="2"/>
      <c r="J80" s="2"/>
      <c r="K80" s="2"/>
    </row>
    <row r="81" spans="1:11" s="1" customFormat="1" x14ac:dyDescent="0.25">
      <c r="A81" s="2" t="s">
        <v>305</v>
      </c>
      <c r="B81" s="2"/>
      <c r="C81" s="2"/>
      <c r="D81" s="2"/>
      <c r="E81" s="2"/>
      <c r="F81" s="2"/>
      <c r="G81" s="2"/>
      <c r="H81" s="2"/>
      <c r="I81" s="2"/>
      <c r="J81" s="2"/>
      <c r="K81" s="2"/>
    </row>
    <row r="82" spans="1:11" s="1" customFormat="1" x14ac:dyDescent="0.25">
      <c r="A82" s="2" t="s">
        <v>306</v>
      </c>
      <c r="B82" s="2"/>
      <c r="C82" s="2"/>
      <c r="D82" s="2"/>
      <c r="E82" s="2"/>
      <c r="F82" s="2"/>
      <c r="G82" s="2"/>
      <c r="H82" s="2"/>
      <c r="I82" s="2"/>
      <c r="J82" s="2"/>
      <c r="K82" s="2"/>
    </row>
    <row r="83" spans="1:11" s="1" customFormat="1" x14ac:dyDescent="0.25">
      <c r="A83" s="2" t="s">
        <v>307</v>
      </c>
    </row>
    <row r="84" spans="1:11" s="1" customFormat="1" x14ac:dyDescent="0.25">
      <c r="A84" s="2" t="s">
        <v>308</v>
      </c>
    </row>
    <row r="85" spans="1:11" s="1" customFormat="1" x14ac:dyDescent="0.25">
      <c r="A85" s="2" t="s">
        <v>309</v>
      </c>
    </row>
    <row r="86" spans="1:11" s="1" customFormat="1" x14ac:dyDescent="0.25">
      <c r="A86" s="2" t="s">
        <v>310</v>
      </c>
    </row>
    <row r="87" spans="1:11" s="1" customFormat="1" x14ac:dyDescent="0.25">
      <c r="A87" s="1" t="s">
        <v>311</v>
      </c>
      <c r="B87" s="2"/>
      <c r="C87" s="2"/>
      <c r="D87" s="2"/>
      <c r="E87" s="2"/>
      <c r="F87" s="2"/>
      <c r="G87" s="2"/>
      <c r="H87" s="2"/>
      <c r="I87" s="2"/>
      <c r="J87" s="2"/>
      <c r="K87" s="2"/>
    </row>
    <row r="88" spans="1:11" s="1" customFormat="1" x14ac:dyDescent="0.25">
      <c r="A88" s="1" t="s">
        <v>312</v>
      </c>
      <c r="B88" s="2"/>
      <c r="C88" s="2"/>
      <c r="D88" s="2"/>
      <c r="E88" s="2"/>
      <c r="F88" s="2"/>
      <c r="G88" s="2"/>
      <c r="H88" s="2"/>
      <c r="I88" s="2"/>
      <c r="J88" s="2"/>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row>
    <row r="99" spans="1:11" s="57" customFormat="1" x14ac:dyDescent="0.25">
      <c r="A99" s="58" t="s">
        <v>3563</v>
      </c>
      <c r="B99" s="59"/>
      <c r="C99" s="59"/>
      <c r="D99" s="59"/>
      <c r="E99" s="59"/>
      <c r="F99" s="59"/>
      <c r="G99" s="59"/>
      <c r="H99" s="59"/>
      <c r="I99" s="59"/>
      <c r="J99" s="59"/>
      <c r="K99" s="60"/>
    </row>
    <row r="100" spans="1:11" s="1" customFormat="1" x14ac:dyDescent="0.25">
      <c r="A100" s="2" t="s">
        <v>244</v>
      </c>
    </row>
    <row r="101" spans="1:11" s="1" customFormat="1" x14ac:dyDescent="0.25">
      <c r="A101" s="2" t="s">
        <v>245</v>
      </c>
    </row>
    <row r="102" spans="1:11" s="1" customFormat="1" x14ac:dyDescent="0.25">
      <c r="A102" s="2" t="s">
        <v>282</v>
      </c>
    </row>
    <row r="103" spans="1:11" s="1" customFormat="1" x14ac:dyDescent="0.25">
      <c r="A103" s="2" t="s">
        <v>246</v>
      </c>
    </row>
    <row r="104" spans="1:11" s="1" customFormat="1" x14ac:dyDescent="0.25">
      <c r="A104" s="2" t="s">
        <v>247</v>
      </c>
      <c r="B104" s="42"/>
      <c r="C104" s="42"/>
      <c r="D104" s="42"/>
      <c r="E104" s="42"/>
      <c r="F104" s="42"/>
      <c r="G104" s="42"/>
    </row>
    <row r="105" spans="1:11" s="57" customFormat="1" x14ac:dyDescent="0.25">
      <c r="A105" s="58" t="s">
        <v>3564</v>
      </c>
      <c r="B105" s="59"/>
      <c r="C105" s="59"/>
      <c r="D105" s="59"/>
      <c r="E105" s="59"/>
      <c r="F105" s="59"/>
      <c r="G105" s="59"/>
      <c r="H105" s="59"/>
      <c r="I105" s="59"/>
      <c r="J105" s="59"/>
      <c r="K105" s="60"/>
    </row>
    <row r="106" spans="1:11" s="1" customFormat="1" x14ac:dyDescent="0.25">
      <c r="A106" s="2" t="s">
        <v>283</v>
      </c>
    </row>
    <row r="107" spans="1:11" s="1" customFormat="1" x14ac:dyDescent="0.25">
      <c r="A107" s="2" t="s">
        <v>284</v>
      </c>
      <c r="B107" s="2"/>
      <c r="C107" s="2"/>
      <c r="D107" s="2"/>
      <c r="E107" s="2"/>
      <c r="F107" s="2"/>
      <c r="G107" s="2"/>
      <c r="H107" s="2"/>
      <c r="I107" s="2"/>
      <c r="J107" s="2"/>
      <c r="K107" s="2"/>
    </row>
    <row r="108" spans="1:11" s="1" customFormat="1" x14ac:dyDescent="0.25">
      <c r="A108" s="2" t="s">
        <v>285</v>
      </c>
      <c r="B108" s="2"/>
      <c r="C108" s="2"/>
      <c r="D108" s="2"/>
      <c r="E108" s="2"/>
      <c r="F108" s="2"/>
      <c r="G108" s="2"/>
      <c r="H108" s="2"/>
      <c r="I108" s="2"/>
      <c r="J108" s="2"/>
      <c r="K108" s="2"/>
    </row>
    <row r="109" spans="1:11" s="1" customFormat="1" x14ac:dyDescent="0.25">
      <c r="A109" s="2" t="s">
        <v>286</v>
      </c>
      <c r="B109" s="2"/>
      <c r="C109" s="2"/>
      <c r="D109" s="2"/>
      <c r="E109" s="2"/>
      <c r="F109" s="2"/>
      <c r="G109" s="2"/>
      <c r="H109" s="2"/>
      <c r="I109" s="2"/>
      <c r="J109" s="2"/>
      <c r="K109" s="2"/>
    </row>
    <row r="110" spans="1:11" s="1" customFormat="1" x14ac:dyDescent="0.25">
      <c r="A110" s="2" t="s">
        <v>287</v>
      </c>
    </row>
    <row r="111" spans="1:11" s="1" customFormat="1" x14ac:dyDescent="0.25">
      <c r="A111" s="2" t="s">
        <v>288</v>
      </c>
    </row>
    <row r="112" spans="1:11" s="1" customFormat="1" x14ac:dyDescent="0.25">
      <c r="A112" s="2" t="s">
        <v>289</v>
      </c>
    </row>
    <row r="113" spans="1:11" s="1" customFormat="1" x14ac:dyDescent="0.25">
      <c r="A113" s="2" t="s">
        <v>290</v>
      </c>
    </row>
    <row r="114" spans="1:11" s="1" customFormat="1" x14ac:dyDescent="0.25">
      <c r="A114" s="1" t="s">
        <v>291</v>
      </c>
      <c r="B114" s="2"/>
      <c r="C114" s="2"/>
      <c r="D114" s="2"/>
      <c r="E114" s="2"/>
      <c r="F114" s="2"/>
      <c r="G114" s="2"/>
      <c r="H114" s="2"/>
      <c r="I114" s="2"/>
      <c r="J114" s="2"/>
      <c r="K114" s="2"/>
    </row>
    <row r="115" spans="1:11" s="1" customFormat="1" x14ac:dyDescent="0.25">
      <c r="A115" s="1" t="s">
        <v>292</v>
      </c>
      <c r="B115" s="2"/>
      <c r="C115" s="2"/>
      <c r="D115" s="2"/>
      <c r="E115" s="2"/>
      <c r="F115" s="2"/>
      <c r="G115" s="2"/>
      <c r="H115" s="2"/>
      <c r="I115" s="2"/>
      <c r="J115" s="2"/>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row>
  </sheetData>
  <dataValidations count="13">
    <dataValidation type="list" allowBlank="1" showInputMessage="1" showErrorMessage="1" sqref="H22:K22 H18:K19">
      <formula1>"Yes, No"</formula1>
    </dataValidation>
    <dataValidation type="list" showInputMessage="1" showErrorMessage="1" sqref="H98:K98 H125:K125 H74:K74">
      <formula1>"Dinas, Family, KPR, Rented, Self - Owned"</formula1>
    </dataValidation>
    <dataValidation type="list" allowBlank="1" showInputMessage="1" showErrorMessage="1" sqref="H17:K17">
      <formula1>"Contract, Permanent"</formula1>
    </dataValidation>
    <dataValidation type="whole" errorStyle="information" allowBlank="1" showInputMessage="1" showErrorMessage="1" sqref="B26:G26">
      <formula1>0</formula1>
      <formula2>9.99999999999999E+22</formula2>
    </dataValidation>
    <dataValidation type="list" errorStyle="information" allowBlank="1" showInputMessage="1" showErrorMessage="1" sqref="B125:G125 B74:G74 B98:G98">
      <formula1>"Dinas, Family, KPR, Rented, Self - Owned"</formula1>
    </dataValidation>
    <dataValidation errorStyle="information" allowBlank="1" showInputMessage="1" showErrorMessage="1" sqref="B55:G61 B79:G85 B106:G124 B20:G21 B49:G51 B46:G47 B42:G42 B40:G40 B38:G38 B34:G36 B31:G32 B28:G28 B23:G25 B100:G104 B14:G14"/>
    <dataValidation type="list" errorStyle="information" allowBlank="1" showInputMessage="1" showErrorMessage="1" sqref="B43:G43 B39:G39 B29:G29 B15:G15">
      <formula1>ListJobProfession</formula1>
    </dataValidation>
    <dataValidation type="list" errorStyle="information" allowBlank="1" showInputMessage="1" showErrorMessage="1" sqref="B44:G44 B16:G16">
      <formula1>ListJobPosition</formula1>
    </dataValidation>
    <dataValidation type="list" errorStyle="information" allowBlank="1" showInputMessage="1" showErrorMessage="1" sqref="B17:G17">
      <formula1>"Contract, Permanent"</formula1>
    </dataValidation>
    <dataValidation type="list" errorStyle="information" allowBlank="1" showInputMessage="1" showErrorMessage="1" sqref="B45:G45 B30:G30 B18:G19">
      <formula1>"Yes, No"</formula1>
    </dataValidation>
    <dataValidation type="list" errorStyle="information" allowBlank="1" showInputMessage="1" showErrorMessage="1" sqref="B48:G48 B33:G33 B22:G22">
      <formula1>ListIndustryType</formula1>
    </dataValidation>
    <dataValidation type="whole" errorStyle="information" allowBlank="1" showInputMessage="1" showErrorMessage="1" sqref="B52:G52">
      <formula1>0</formula1>
      <formula2>999999999999999000000</formula2>
    </dataValidation>
    <dataValidation type="list" errorStyle="information" allowBlank="1" showInputMessage="1" showErrorMessage="1" sqref="B53:G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H16:K16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C1" workbookViewId="0">
      <selection activeCell="D1" sqref="D1:G44"/>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6" width="34.140625" bestFit="1" customWidth="1" collapsed="1"/>
    <col min="7" max="7" width="27.85546875" bestFit="1" customWidth="1" collapsed="1"/>
  </cols>
  <sheetData>
    <row r="1" spans="1:11" s="1" customFormat="1" x14ac:dyDescent="0.25">
      <c r="A1" s="1" t="s">
        <v>12</v>
      </c>
      <c r="B1" t="s">
        <v>3283</v>
      </c>
      <c r="C1" t="s">
        <v>3283</v>
      </c>
      <c r="E1"/>
      <c r="F1"/>
    </row>
    <row r="2" spans="1:11" s="1" customFormat="1" x14ac:dyDescent="0.25">
      <c r="A2" s="1" t="s">
        <v>4144</v>
      </c>
      <c r="B2" t="s">
        <v>4234</v>
      </c>
      <c r="C2" s="1" t="s">
        <v>4234</v>
      </c>
      <c r="E2"/>
      <c r="F2"/>
    </row>
    <row r="3" spans="1:11" s="1" customFormat="1" x14ac:dyDescent="0.25">
      <c r="A3" s="1" t="s">
        <v>4145</v>
      </c>
    </row>
    <row r="4" spans="1:11" s="1" customFormat="1" x14ac:dyDescent="0.25">
      <c r="A4" s="1" t="s">
        <v>4156</v>
      </c>
      <c r="B4" s="1">
        <f t="shared" ref="B4:C4" si="0">IF(B12="Input Data",COUNTIFS($A$15:$A$42,"*$*",B15:B42,""),COUNTIFS($A$13:$A$14,"*$*",B13:B14,""))</f>
        <v>0</v>
      </c>
      <c r="C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3558</v>
      </c>
      <c r="B10" s="1" t="str">
        <f>'1.CustomerDetail'!B$12</f>
        <v>0002APP20221206316</v>
      </c>
      <c r="C10" s="1">
        <f>'1.CustomerDetail'!C$12</f>
        <v>0</v>
      </c>
    </row>
    <row r="11" spans="1:11" s="53" customFormat="1" x14ac:dyDescent="0.25">
      <c r="B11" s="54"/>
      <c r="C11" s="54"/>
      <c r="D11" s="55"/>
      <c r="E11" s="54"/>
      <c r="F11" s="54"/>
      <c r="G11" s="55"/>
    </row>
    <row r="12" spans="1:11" s="1" customFormat="1" x14ac:dyDescent="0.25">
      <c r="A12" s="1" t="s">
        <v>4107</v>
      </c>
      <c r="B12" s="50" t="s">
        <v>4236</v>
      </c>
      <c r="C12" s="50" t="s">
        <v>4108</v>
      </c>
      <c r="D12" s="50"/>
      <c r="E12" s="50"/>
      <c r="F12" s="50"/>
      <c r="G12" s="50"/>
    </row>
    <row r="13" spans="1:11" s="1" customFormat="1" x14ac:dyDescent="0.25">
      <c r="A13" s="37" t="s">
        <v>4171</v>
      </c>
      <c r="B13" s="62" t="s">
        <v>4250</v>
      </c>
      <c r="C13" s="4"/>
      <c r="D13" s="4"/>
      <c r="E13" s="62"/>
      <c r="F13" s="62"/>
      <c r="G13" s="4"/>
    </row>
    <row r="14" spans="1:11" s="1" customFormat="1" x14ac:dyDescent="0.25">
      <c r="A14" s="37" t="s">
        <v>4172</v>
      </c>
      <c r="B14" s="62" t="s">
        <v>4237</v>
      </c>
      <c r="E14" s="62"/>
      <c r="F14" s="62"/>
      <c r="H14" s="2"/>
      <c r="I14" s="2"/>
      <c r="J14" s="2"/>
      <c r="K14" s="2"/>
    </row>
    <row r="15" spans="1:11" s="1" customFormat="1" x14ac:dyDescent="0.25">
      <c r="A15" s="37" t="s">
        <v>4173</v>
      </c>
      <c r="C15" s="1" t="s">
        <v>4136</v>
      </c>
      <c r="H15" s="8"/>
      <c r="I15" s="8"/>
      <c r="J15" s="8"/>
      <c r="K15" s="8"/>
    </row>
    <row r="16" spans="1:11" s="1" customFormat="1" x14ac:dyDescent="0.25">
      <c r="A16" s="2" t="s">
        <v>4109</v>
      </c>
      <c r="C16" s="1" t="s">
        <v>4123</v>
      </c>
      <c r="H16" s="8"/>
      <c r="I16" s="8"/>
      <c r="J16" s="8"/>
      <c r="K16" s="8"/>
    </row>
    <row r="17" spans="1:11" s="1" customFormat="1" x14ac:dyDescent="0.25">
      <c r="A17" s="37" t="s">
        <v>4110</v>
      </c>
      <c r="B17" s="3"/>
      <c r="C17" s="3" t="s">
        <v>4137</v>
      </c>
      <c r="D17" s="3"/>
      <c r="E17" s="3"/>
      <c r="F17" s="3"/>
      <c r="G17" s="3"/>
      <c r="H17" s="8"/>
      <c r="I17" s="8"/>
      <c r="J17" s="8"/>
      <c r="K17" s="8"/>
    </row>
    <row r="18" spans="1:11" s="1" customFormat="1" x14ac:dyDescent="0.25">
      <c r="A18" s="2" t="s">
        <v>4111</v>
      </c>
      <c r="H18" s="8"/>
      <c r="I18" s="8"/>
      <c r="J18" s="8"/>
      <c r="K18" s="8"/>
    </row>
    <row r="19" spans="1:11" s="1" customFormat="1" x14ac:dyDescent="0.25">
      <c r="A19" s="51" t="s">
        <v>41</v>
      </c>
      <c r="B19" s="8" t="s">
        <v>42</v>
      </c>
      <c r="C19" s="8" t="s">
        <v>333</v>
      </c>
      <c r="D19" s="8"/>
      <c r="E19" s="8"/>
      <c r="F19" s="8"/>
      <c r="G19" s="8"/>
      <c r="H19" s="8"/>
      <c r="I19" s="8"/>
      <c r="J19" s="8"/>
      <c r="K19" s="8"/>
    </row>
    <row r="20" spans="1:11" s="1" customFormat="1" x14ac:dyDescent="0.25">
      <c r="A20" s="2" t="s">
        <v>4113</v>
      </c>
      <c r="B20" s="52"/>
      <c r="C20" s="52" t="s">
        <v>4138</v>
      </c>
      <c r="D20" s="52"/>
      <c r="E20" s="52"/>
      <c r="F20" s="52"/>
      <c r="G20" s="52"/>
      <c r="H20" s="8"/>
      <c r="I20" s="8"/>
      <c r="J20" s="8"/>
      <c r="K20" s="8"/>
    </row>
    <row r="21" spans="1:11" s="1" customFormat="1" x14ac:dyDescent="0.25">
      <c r="A21" s="37" t="s">
        <v>4114</v>
      </c>
      <c r="C21" s="1" t="s">
        <v>4134</v>
      </c>
      <c r="H21" s="8"/>
      <c r="I21" s="8"/>
      <c r="J21" s="8"/>
      <c r="K21" s="8"/>
    </row>
    <row r="22" spans="1:11" s="1" customFormat="1" x14ac:dyDescent="0.25">
      <c r="A22" s="2" t="s">
        <v>4115</v>
      </c>
      <c r="C22" s="1" t="s">
        <v>4139</v>
      </c>
      <c r="H22" s="8"/>
      <c r="I22" s="8"/>
      <c r="J22" s="8"/>
      <c r="K22" s="8"/>
    </row>
    <row r="23" spans="1:11" s="1" customFormat="1" x14ac:dyDescent="0.25">
      <c r="A23" s="2" t="s">
        <v>4116</v>
      </c>
      <c r="B23" s="3"/>
      <c r="C23" s="3" t="s">
        <v>4147</v>
      </c>
      <c r="D23" s="3"/>
      <c r="E23" s="3"/>
      <c r="F23" s="3"/>
      <c r="G23" s="3"/>
      <c r="H23" s="8"/>
      <c r="I23" s="8"/>
      <c r="J23" s="8"/>
      <c r="K23" s="8"/>
    </row>
    <row r="24" spans="1:11" s="1" customFormat="1" x14ac:dyDescent="0.25">
      <c r="A24" s="37" t="s">
        <v>4112</v>
      </c>
      <c r="B24" s="3"/>
      <c r="C24" s="3" t="s">
        <v>4140</v>
      </c>
      <c r="D24" s="3"/>
      <c r="E24" s="3"/>
      <c r="F24" s="3"/>
      <c r="G24" s="3"/>
      <c r="H24" s="8"/>
      <c r="I24" s="8"/>
      <c r="J24" s="8"/>
      <c r="K24" s="8"/>
    </row>
    <row r="25" spans="1:11" s="1" customFormat="1" x14ac:dyDescent="0.25">
      <c r="A25" s="2" t="s">
        <v>4117</v>
      </c>
      <c r="H25" s="8"/>
      <c r="I25" s="8"/>
      <c r="J25" s="8"/>
      <c r="K25" s="8"/>
    </row>
    <row r="26" spans="1:11" s="1" customFormat="1" x14ac:dyDescent="0.25">
      <c r="A26" s="2" t="s">
        <v>14</v>
      </c>
      <c r="H26" s="2"/>
      <c r="I26" s="2"/>
      <c r="J26" s="2"/>
      <c r="K26" s="2"/>
    </row>
    <row r="27" spans="1:11" s="1" customFormat="1" x14ac:dyDescent="0.25">
      <c r="A27" s="2" t="s">
        <v>15</v>
      </c>
      <c r="C27" s="1" t="s">
        <v>4141</v>
      </c>
    </row>
    <row r="28" spans="1:11" s="1" customFormat="1" x14ac:dyDescent="0.25">
      <c r="A28" s="2" t="s">
        <v>17</v>
      </c>
      <c r="B28" s="2"/>
      <c r="C28" s="2">
        <v>23</v>
      </c>
      <c r="D28" s="2"/>
      <c r="E28" s="2"/>
      <c r="F28" s="2"/>
      <c r="G28" s="2"/>
    </row>
    <row r="29" spans="1:11" s="1" customFormat="1" x14ac:dyDescent="0.25">
      <c r="A29" s="2" t="s">
        <v>18</v>
      </c>
      <c r="B29" s="2"/>
      <c r="C29" s="2">
        <v>22</v>
      </c>
      <c r="D29" s="2"/>
      <c r="E29" s="2"/>
      <c r="F29" s="2"/>
      <c r="G29" s="2"/>
    </row>
    <row r="30" spans="1:11" s="1" customFormat="1" x14ac:dyDescent="0.25">
      <c r="A30" s="2" t="s">
        <v>19</v>
      </c>
      <c r="B30" s="2"/>
      <c r="C30" s="2">
        <v>11530</v>
      </c>
      <c r="D30" s="2"/>
      <c r="E30" s="2"/>
      <c r="F30" s="2"/>
      <c r="G30" s="2"/>
    </row>
    <row r="31" spans="1:11" s="1" customFormat="1" x14ac:dyDescent="0.25">
      <c r="A31" s="2" t="s">
        <v>22</v>
      </c>
      <c r="B31" s="2"/>
      <c r="C31" s="2" t="s">
        <v>4142</v>
      </c>
      <c r="D31" s="2"/>
      <c r="E31" s="2"/>
      <c r="F31" s="2"/>
      <c r="G31" s="2"/>
    </row>
    <row r="32" spans="1:11" s="1" customFormat="1" x14ac:dyDescent="0.25">
      <c r="A32" s="2" t="s">
        <v>20</v>
      </c>
      <c r="B32" s="2"/>
      <c r="C32" s="2" t="s">
        <v>4142</v>
      </c>
      <c r="D32" s="2"/>
      <c r="E32" s="2"/>
      <c r="F32" s="2"/>
      <c r="G32" s="2"/>
    </row>
    <row r="33" spans="1:7" s="1" customFormat="1" x14ac:dyDescent="0.25">
      <c r="A33" s="2" t="s">
        <v>23</v>
      </c>
      <c r="B33" s="2"/>
      <c r="C33" s="2" t="s">
        <v>4143</v>
      </c>
      <c r="D33" s="2"/>
      <c r="E33" s="2"/>
      <c r="F33" s="2"/>
      <c r="G33" s="2"/>
    </row>
    <row r="34" spans="1:7" s="1" customFormat="1" x14ac:dyDescent="0.25">
      <c r="A34" s="2" t="s">
        <v>249</v>
      </c>
      <c r="B34" s="2"/>
      <c r="C34" s="2"/>
      <c r="D34" s="2"/>
      <c r="E34" s="2"/>
      <c r="F34" s="2"/>
      <c r="G34" s="2"/>
    </row>
    <row r="35" spans="1:7" s="1" customFormat="1" x14ac:dyDescent="0.25">
      <c r="A35" s="2" t="s">
        <v>250</v>
      </c>
      <c r="B35" s="2"/>
      <c r="C35" s="2"/>
      <c r="D35" s="2"/>
      <c r="E35" s="2"/>
      <c r="F35" s="2"/>
      <c r="G35" s="2"/>
    </row>
    <row r="36" spans="1:7" s="1" customFormat="1" x14ac:dyDescent="0.25">
      <c r="A36" s="2" t="s">
        <v>251</v>
      </c>
      <c r="B36" s="2"/>
      <c r="C36" s="2"/>
      <c r="D36" s="2"/>
      <c r="E36" s="2"/>
      <c r="F36" s="2"/>
      <c r="G36" s="2"/>
    </row>
    <row r="37" spans="1:7" s="1" customFormat="1" x14ac:dyDescent="0.25">
      <c r="A37" s="2" t="s">
        <v>252</v>
      </c>
    </row>
    <row r="38" spans="1:7" s="1" customFormat="1" x14ac:dyDescent="0.25">
      <c r="A38" s="2" t="s">
        <v>253</v>
      </c>
    </row>
    <row r="39" spans="1:7" s="1" customFormat="1" x14ac:dyDescent="0.25">
      <c r="A39" s="2" t="s">
        <v>254</v>
      </c>
    </row>
    <row r="40" spans="1:7" s="1" customFormat="1" x14ac:dyDescent="0.25">
      <c r="A40" s="1" t="s">
        <v>255</v>
      </c>
      <c r="B40" s="2"/>
      <c r="C40" s="2"/>
      <c r="D40" s="2"/>
      <c r="E40" s="2"/>
      <c r="F40" s="2"/>
      <c r="G40" s="2"/>
    </row>
    <row r="41" spans="1:7" s="1" customFormat="1" x14ac:dyDescent="0.25">
      <c r="A41" s="1" t="s">
        <v>256</v>
      </c>
      <c r="B41" s="2"/>
      <c r="C41" s="2"/>
      <c r="D41" s="2"/>
      <c r="E41" s="2"/>
      <c r="F41" s="2"/>
      <c r="G41" s="2"/>
    </row>
    <row r="42" spans="1:7" s="1" customFormat="1" x14ac:dyDescent="0.25">
      <c r="A42" s="1" t="s">
        <v>257</v>
      </c>
      <c r="B42" s="2"/>
      <c r="C42" s="2"/>
      <c r="D42" s="2"/>
      <c r="E42" s="2"/>
      <c r="F42" s="2"/>
      <c r="G42" s="2"/>
    </row>
  </sheetData>
  <conditionalFormatting sqref="B27:D39">
    <cfRule type="expression" dxfId="83" priority="8">
      <formula>AND(B$13&lt;&gt;"",B$13&lt;&gt;"Copy Address From")</formula>
    </cfRule>
  </conditionalFormatting>
  <conditionalFormatting sqref="B16:D16">
    <cfRule type="expression" dxfId="82" priority="7">
      <formula>B$13="LookUp"</formula>
    </cfRule>
  </conditionalFormatting>
  <conditionalFormatting sqref="F27:F39">
    <cfRule type="expression" dxfId="81" priority="6">
      <formula>AND(F$13&lt;&gt;"",F$13&lt;&gt;"Copy Address From")</formula>
    </cfRule>
  </conditionalFormatting>
  <conditionalFormatting sqref="F16">
    <cfRule type="expression" dxfId="80" priority="5">
      <formula>F$13="LookUp"</formula>
    </cfRule>
  </conditionalFormatting>
  <conditionalFormatting sqref="E27:E39">
    <cfRule type="expression" dxfId="79" priority="4">
      <formula>AND(E$13&lt;&gt;"",E$13&lt;&gt;"Copy Address From")</formula>
    </cfRule>
  </conditionalFormatting>
  <conditionalFormatting sqref="E16">
    <cfRule type="expression" dxfId="78" priority="3">
      <formula>E$13="LookUp"</formula>
    </cfRule>
  </conditionalFormatting>
  <conditionalFormatting sqref="G27:G39">
    <cfRule type="expression" dxfId="77" priority="2">
      <formula>AND(G$13&lt;&gt;"",G$13&lt;&gt;"Copy Address From")</formula>
    </cfRule>
  </conditionalFormatting>
  <conditionalFormatting sqref="G16">
    <cfRule type="expression" dxfId="76" priority="1">
      <formula>G$13="LookUp"</formula>
    </cfRule>
  </conditionalFormatting>
  <dataValidations count="9">
    <dataValidation type="list" showInputMessage="1" showErrorMessage="1" sqref="H14:K14">
      <formula1>"AKTA, CAT CAT, CAT IS A CAT, DESCRIPTION FOR AAA, DESCRIPTION FOR ASA, DESCRIPTION FOR KTP, E-KTP, KITAS, NPWP, SIM"</formula1>
    </dataValidation>
    <dataValidation type="custom" errorStyle="information" allowBlank="1" showInputMessage="1" showErrorMessage="1" sqref="B27:G27">
      <formula1>ISBLANK(B$26)</formula1>
    </dataValidation>
    <dataValidation type="list" errorStyle="information" allowBlank="1" showInputMessage="1" showErrorMessage="1" sqref="B19:G19">
      <formula1>ListCusRel</formula1>
    </dataValidation>
    <dataValidation type="custom" allowBlank="1" showInputMessage="1" showErrorMessage="1" sqref="B34:G39">
      <formula1>ISBLANK(B$13)</formula1>
    </dataValidation>
    <dataValidation type="list" errorStyle="information" allowBlank="1" showInputMessage="1" showErrorMessage="1" sqref="B12:G12">
      <formula1>"Input Data, LookUp"</formula1>
    </dataValidation>
    <dataValidation type="list" errorStyle="information" showInputMessage="1" showErrorMessage="1" sqref="B16:G16">
      <formula1>ListIdType</formula1>
    </dataValidation>
    <dataValidation errorStyle="information" allowBlank="1" showInputMessage="1" showErrorMessage="1" sqref="B17:G18 B20:G24"/>
    <dataValidation type="list" errorStyle="information" allowBlank="1" showInputMessage="1" showErrorMessage="1" sqref="B26:G26">
      <formula1>"Job, Legal, Residence"</formula1>
    </dataValidation>
    <dataValidation type="custom" errorStyle="information" allowBlank="1" showInputMessage="1" showErrorMessage="1" sqref="B28:G33">
      <formula1>ISBLANK(B$13)</formula1>
    </dataValidation>
  </dataValidations>
  <hyperlinks>
    <hyperlink ref="C20"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topLeftCell="A19" workbookViewId="0">
      <selection activeCell="A3" sqref="A3"/>
    </sheetView>
  </sheetViews>
  <sheetFormatPr defaultRowHeight="15" x14ac:dyDescent="0.25"/>
  <cols>
    <col min="1" max="1" width="22" bestFit="1" customWidth="1" collapsed="1"/>
    <col min="2" max="3" width="19.85546875" bestFit="1" customWidth="1" collapsed="1"/>
    <col min="4" max="7" width="25.5703125" bestFit="1" customWidth="1" collapsed="1"/>
  </cols>
  <sheetData>
    <row r="1" spans="1:11" s="1" customFormat="1" x14ac:dyDescent="0.25">
      <c r="A1" s="1" t="s">
        <v>12</v>
      </c>
      <c r="B1" t="s">
        <v>3283</v>
      </c>
      <c r="C1" t="s">
        <v>3283</v>
      </c>
      <c r="D1" s="1" t="s">
        <v>3283</v>
      </c>
      <c r="E1" s="1" t="s">
        <v>3283</v>
      </c>
      <c r="F1" s="1" t="s">
        <v>3283</v>
      </c>
      <c r="G1" s="1" t="s">
        <v>3283</v>
      </c>
    </row>
    <row r="2" spans="1:11" s="1" customFormat="1" x14ac:dyDescent="0.25">
      <c r="A2" s="1" t="s">
        <v>4144</v>
      </c>
      <c r="B2" t="s">
        <v>4234</v>
      </c>
      <c r="C2" t="s">
        <v>4234</v>
      </c>
      <c r="D2" s="1" t="s">
        <v>4234</v>
      </c>
      <c r="E2" s="1" t="s">
        <v>4234</v>
      </c>
      <c r="F2" s="1" t="s">
        <v>4234</v>
      </c>
      <c r="G2" s="1" t="s">
        <v>4234</v>
      </c>
    </row>
    <row r="3" spans="1:11" s="1" customFormat="1" x14ac:dyDescent="0.25">
      <c r="A3" s="1" t="s">
        <v>4145</v>
      </c>
    </row>
    <row r="4" spans="1:11" s="1" customFormat="1" x14ac:dyDescent="0.25">
      <c r="A4" s="1" t="s">
        <v>4156</v>
      </c>
      <c r="B4" s="1">
        <f t="shared" ref="B4:G4" si="0">IF(LEN(B12) &gt;0,COUNTIFS($A$12:$A$21,"*$*",B12:B21,""),0)+IF(LEN(B24)&gt;0,COUNTIFS($A$23:$A$30,"*$*",B23:B30,""),0)</f>
        <v>0</v>
      </c>
      <c r="C4" s="1">
        <f t="shared" si="0"/>
        <v>0</v>
      </c>
      <c r="D4" s="1">
        <f t="shared" si="0"/>
        <v>0</v>
      </c>
      <c r="E4" s="1">
        <f t="shared" si="0"/>
        <v>0</v>
      </c>
      <c r="F4" s="1">
        <f t="shared" si="0"/>
        <v>0</v>
      </c>
      <c r="G4" s="1">
        <f t="shared" si="0"/>
        <v>0</v>
      </c>
    </row>
    <row r="5" spans="1:11" s="1" customFormat="1" x14ac:dyDescent="0.25"/>
    <row r="6" spans="1:11" s="1" customFormat="1" x14ac:dyDescent="0.25"/>
    <row r="7" spans="1:11" s="1" customFormat="1" x14ac:dyDescent="0.25"/>
    <row r="8" spans="1:11" s="53" customFormat="1" x14ac:dyDescent="0.25"/>
    <row r="9" spans="1:11" s="1" customFormat="1" x14ac:dyDescent="0.25">
      <c r="A9" s="1" t="s">
        <v>4219</v>
      </c>
      <c r="B9" s="1" t="str">
        <f>'1.CustomerDetail'!B12</f>
        <v>0002APP20221206316</v>
      </c>
      <c r="C9" s="1" t="str">
        <f>'1.CustomerDetail'!B12</f>
        <v>0002APP20221206316</v>
      </c>
      <c r="D9" s="1">
        <f>'1.CustomerDetail'!D12</f>
        <v>0</v>
      </c>
      <c r="E9" s="1">
        <f>'1.CustomerDetail'!E12</f>
        <v>0</v>
      </c>
      <c r="F9" s="1">
        <f>'1.CustomerDetail'!F12</f>
        <v>0</v>
      </c>
      <c r="G9" s="1">
        <f>'1.CustomerDetail'!G12</f>
        <v>0</v>
      </c>
    </row>
    <row r="10" spans="1:11" s="1" customFormat="1" x14ac:dyDescent="0.25">
      <c r="A10" s="1" t="s">
        <v>4215</v>
      </c>
      <c r="B10" s="1" t="str">
        <f>'1.CustomerDetail'!B13</f>
        <v>FT SURYA</v>
      </c>
      <c r="C10" s="1" t="str">
        <f>'1.CustomerDetail'!B13</f>
        <v>FT SURYA</v>
      </c>
      <c r="D10" s="1">
        <f>'1.CustomerDetail'!D13</f>
        <v>0</v>
      </c>
      <c r="E10" s="1">
        <f>'1.CustomerDetail'!E13</f>
        <v>0</v>
      </c>
      <c r="F10" s="1">
        <f>'1.CustomerDetail'!F13</f>
        <v>0</v>
      </c>
      <c r="G10" s="1">
        <f>'1.CustomerDetail'!G13</f>
        <v>0</v>
      </c>
    </row>
    <row r="11" spans="1:11" s="57" customFormat="1" x14ac:dyDescent="0.25">
      <c r="A11" s="58" t="s">
        <v>3565</v>
      </c>
      <c r="B11" s="59"/>
      <c r="C11" s="59"/>
      <c r="D11" s="59"/>
      <c r="E11" s="59"/>
      <c r="F11" s="59"/>
      <c r="G11" s="59"/>
      <c r="H11" s="59"/>
      <c r="I11" s="59"/>
      <c r="J11" s="59"/>
      <c r="K11" s="60"/>
    </row>
    <row r="12" spans="1:11" s="1" customFormat="1" x14ac:dyDescent="0.25">
      <c r="A12" s="37" t="s">
        <v>4174</v>
      </c>
      <c r="B12" s="44">
        <v>5000000000</v>
      </c>
      <c r="C12" s="44">
        <v>5000000000</v>
      </c>
      <c r="D12" s="44">
        <v>5000000000</v>
      </c>
      <c r="E12" s="44">
        <v>5000000000</v>
      </c>
      <c r="F12" s="44">
        <v>5000000000</v>
      </c>
      <c r="G12" s="44">
        <v>5000000000</v>
      </c>
      <c r="H12" s="8"/>
      <c r="I12" s="8"/>
      <c r="J12" s="8"/>
      <c r="K12" s="8"/>
    </row>
    <row r="13" spans="1:11" s="1" customFormat="1" x14ac:dyDescent="0.25">
      <c r="A13" s="1" t="s">
        <v>44</v>
      </c>
      <c r="B13" s="44">
        <v>5000000000</v>
      </c>
      <c r="C13" s="44">
        <v>5000000000</v>
      </c>
      <c r="D13" s="44">
        <v>5000000000</v>
      </c>
      <c r="E13" s="44">
        <v>5000000000</v>
      </c>
      <c r="F13" s="44">
        <v>5000000000</v>
      </c>
      <c r="G13" s="44">
        <v>5000000000</v>
      </c>
      <c r="H13" s="8"/>
      <c r="I13" s="8"/>
      <c r="J13" s="8"/>
      <c r="K13" s="8"/>
    </row>
    <row r="14" spans="1:11" s="1" customFormat="1" x14ac:dyDescent="0.25">
      <c r="A14" s="1" t="s">
        <v>45</v>
      </c>
      <c r="B14" s="2" t="s">
        <v>46</v>
      </c>
      <c r="C14" s="2" t="s">
        <v>46</v>
      </c>
      <c r="D14" s="2" t="s">
        <v>46</v>
      </c>
      <c r="E14" s="2" t="s">
        <v>46</v>
      </c>
      <c r="F14" s="2" t="s">
        <v>46</v>
      </c>
      <c r="G14" s="2" t="s">
        <v>46</v>
      </c>
      <c r="H14" s="2"/>
      <c r="I14" s="2"/>
      <c r="J14" s="2"/>
      <c r="K14" s="2"/>
    </row>
    <row r="15" spans="1:11" s="1" customFormat="1" x14ac:dyDescent="0.25">
      <c r="A15" s="1" t="s">
        <v>47</v>
      </c>
      <c r="B15" s="43">
        <v>15000000</v>
      </c>
      <c r="C15" s="43">
        <v>15000000</v>
      </c>
      <c r="D15" s="43">
        <v>15000000</v>
      </c>
      <c r="E15" s="43">
        <v>15000000</v>
      </c>
      <c r="F15" s="43">
        <v>15000000</v>
      </c>
      <c r="G15" s="43">
        <v>15000000</v>
      </c>
      <c r="H15" s="2"/>
      <c r="I15" s="2"/>
      <c r="J15" s="2"/>
      <c r="K15" s="2"/>
    </row>
    <row r="16" spans="1:11" s="1" customFormat="1" x14ac:dyDescent="0.25">
      <c r="A16" s="1" t="s">
        <v>48</v>
      </c>
      <c r="B16" s="43">
        <v>15000000</v>
      </c>
      <c r="C16" s="43">
        <v>15000000</v>
      </c>
      <c r="D16" s="43">
        <v>15000000</v>
      </c>
      <c r="E16" s="43">
        <v>15000000</v>
      </c>
      <c r="F16" s="43">
        <v>15000000</v>
      </c>
      <c r="G16" s="43">
        <v>15000000</v>
      </c>
      <c r="H16" s="2"/>
      <c r="I16" s="2"/>
      <c r="J16" s="2"/>
      <c r="K16" s="2"/>
    </row>
    <row r="17" spans="1:11" s="1" customFormat="1" x14ac:dyDescent="0.25">
      <c r="A17" s="37" t="s">
        <v>4175</v>
      </c>
      <c r="B17" s="41" t="s">
        <v>4104</v>
      </c>
      <c r="C17" s="41" t="s">
        <v>4148</v>
      </c>
      <c r="D17" s="41" t="s">
        <v>4148</v>
      </c>
      <c r="E17" s="41" t="s">
        <v>4148</v>
      </c>
      <c r="F17" s="41" t="s">
        <v>4148</v>
      </c>
      <c r="G17" s="41" t="s">
        <v>4148</v>
      </c>
      <c r="H17" s="8"/>
      <c r="I17" s="8"/>
      <c r="J17" s="8"/>
      <c r="K17" s="8"/>
    </row>
    <row r="18" spans="1:11" s="1" customFormat="1" x14ac:dyDescent="0.25">
      <c r="A18" s="2" t="s">
        <v>4077</v>
      </c>
      <c r="B18" s="44"/>
      <c r="C18" s="44"/>
      <c r="D18" s="44"/>
      <c r="E18" s="44"/>
      <c r="F18" s="44"/>
      <c r="G18" s="44"/>
      <c r="H18" s="8"/>
      <c r="I18" s="8"/>
      <c r="J18" s="8"/>
      <c r="K18" s="8"/>
    </row>
    <row r="19" spans="1:11" s="49" customFormat="1" x14ac:dyDescent="0.25">
      <c r="A19" s="20" t="s">
        <v>4078</v>
      </c>
      <c r="B19" s="48"/>
      <c r="C19" s="48"/>
      <c r="D19" s="48"/>
      <c r="E19" s="48"/>
      <c r="F19" s="48"/>
      <c r="G19" s="48"/>
      <c r="H19" s="48"/>
      <c r="I19" s="48"/>
      <c r="J19" s="48"/>
      <c r="K19" s="48"/>
    </row>
    <row r="20" spans="1:11" s="58" customFormat="1" x14ac:dyDescent="0.25">
      <c r="A20" s="58" t="s">
        <v>3566</v>
      </c>
      <c r="B20" s="59"/>
      <c r="C20" s="59"/>
      <c r="D20" s="59"/>
      <c r="E20" s="59"/>
      <c r="F20" s="59"/>
      <c r="G20" s="59"/>
      <c r="H20" s="59"/>
      <c r="I20" s="59"/>
      <c r="J20" s="59"/>
      <c r="K20" s="59"/>
    </row>
    <row r="21" spans="1:11" s="1" customFormat="1" x14ac:dyDescent="0.25">
      <c r="A21" s="1" t="s">
        <v>49</v>
      </c>
      <c r="B21" s="43">
        <v>100000000000</v>
      </c>
      <c r="C21" s="43">
        <v>100000000000</v>
      </c>
      <c r="D21" s="43">
        <v>100000000000</v>
      </c>
      <c r="E21" s="43">
        <v>100000000000</v>
      </c>
      <c r="F21" s="43">
        <v>100000000000</v>
      </c>
      <c r="G21" s="43">
        <v>100000000000</v>
      </c>
      <c r="H21" s="2"/>
      <c r="I21" s="2"/>
      <c r="J21" s="2"/>
      <c r="K21" s="2"/>
    </row>
    <row r="22" spans="1:11" s="57" customFormat="1" x14ac:dyDescent="0.25">
      <c r="A22" s="58" t="s">
        <v>3567</v>
      </c>
      <c r="B22" s="59"/>
      <c r="C22" s="59"/>
      <c r="D22" s="59"/>
      <c r="E22" s="59"/>
      <c r="F22" s="59"/>
      <c r="G22" s="59"/>
      <c r="H22" s="59"/>
      <c r="I22" s="59"/>
      <c r="J22" s="59"/>
      <c r="K22" s="60"/>
    </row>
    <row r="23" spans="1:11" s="1" customFormat="1" x14ac:dyDescent="0.25">
      <c r="A23" s="38" t="s">
        <v>50</v>
      </c>
      <c r="B23" s="3" t="str">
        <f>VLOOKUP(B24,Master!$J$1:$K$206,2,FALSE)</f>
        <v>002</v>
      </c>
      <c r="C23" s="3" t="str">
        <f>VLOOKUP(C24,Master!$J$1:$K$206,2,FALSE)</f>
        <v>022</v>
      </c>
      <c r="D23" s="3">
        <v>999</v>
      </c>
      <c r="E23" s="3">
        <v>999</v>
      </c>
      <c r="F23" s="3">
        <v>999</v>
      </c>
      <c r="G23" s="3">
        <v>999</v>
      </c>
      <c r="H23" s="3"/>
      <c r="I23" s="3"/>
      <c r="J23" s="3"/>
      <c r="K23" s="3"/>
    </row>
    <row r="24" spans="1:11" s="1" customFormat="1" x14ac:dyDescent="0.25">
      <c r="A24" s="36" t="s">
        <v>4220</v>
      </c>
      <c r="B24" s="3" t="s">
        <v>340</v>
      </c>
      <c r="C24" s="3" t="s">
        <v>347</v>
      </c>
      <c r="D24" s="3" t="s">
        <v>342</v>
      </c>
      <c r="E24" s="3" t="s">
        <v>342</v>
      </c>
      <c r="F24" s="3" t="s">
        <v>342</v>
      </c>
      <c r="G24" s="3" t="s">
        <v>342</v>
      </c>
      <c r="H24" s="3"/>
      <c r="I24" s="3"/>
      <c r="J24" s="3"/>
      <c r="K24" s="3"/>
    </row>
    <row r="25" spans="1:11" s="1" customFormat="1" x14ac:dyDescent="0.25">
      <c r="A25" s="36" t="s">
        <v>4221</v>
      </c>
      <c r="B25" s="1" t="s">
        <v>4246</v>
      </c>
      <c r="C25" s="1" t="s">
        <v>4244</v>
      </c>
      <c r="D25" s="1" t="s">
        <v>4249</v>
      </c>
      <c r="E25" s="1" t="s">
        <v>4249</v>
      </c>
      <c r="F25" s="1" t="s">
        <v>4249</v>
      </c>
      <c r="G25" s="1" t="s">
        <v>4249</v>
      </c>
    </row>
    <row r="26" spans="1:11" s="1" customFormat="1" x14ac:dyDescent="0.25">
      <c r="A26" s="36" t="s">
        <v>4222</v>
      </c>
      <c r="B26" s="1" t="s">
        <v>4241</v>
      </c>
      <c r="C26" s="1" t="s">
        <v>4242</v>
      </c>
      <c r="D26" s="1" t="s">
        <v>4235</v>
      </c>
      <c r="E26" s="1" t="s">
        <v>4235</v>
      </c>
      <c r="F26" s="1" t="s">
        <v>4235</v>
      </c>
      <c r="G26" s="1" t="s">
        <v>4235</v>
      </c>
    </row>
    <row r="27" spans="1:11" s="1" customFormat="1" x14ac:dyDescent="0.25">
      <c r="A27" s="36" t="s">
        <v>4223</v>
      </c>
      <c r="B27" s="8" t="s">
        <v>4247</v>
      </c>
      <c r="C27" s="8" t="s">
        <v>4245</v>
      </c>
      <c r="D27" s="8" t="s">
        <v>4248</v>
      </c>
      <c r="E27" s="8" t="s">
        <v>4248</v>
      </c>
      <c r="F27" s="8" t="s">
        <v>4248</v>
      </c>
      <c r="G27" s="8" t="s">
        <v>4248</v>
      </c>
      <c r="H27" s="8"/>
      <c r="I27" s="8"/>
      <c r="J27" s="8"/>
      <c r="K27" s="8"/>
    </row>
    <row r="28" spans="1:11" s="1" customFormat="1" x14ac:dyDescent="0.25">
      <c r="A28" s="1" t="s">
        <v>52</v>
      </c>
      <c r="B28" s="1" t="s">
        <v>6</v>
      </c>
      <c r="C28" s="1" t="s">
        <v>5</v>
      </c>
      <c r="D28" s="1" t="s">
        <v>5</v>
      </c>
      <c r="E28" s="1" t="s">
        <v>5</v>
      </c>
      <c r="F28" s="1" t="s">
        <v>5</v>
      </c>
      <c r="G28" s="1" t="s">
        <v>5</v>
      </c>
    </row>
    <row r="29" spans="1:11" s="1" customFormat="1" x14ac:dyDescent="0.25">
      <c r="A29" s="1" t="s">
        <v>53</v>
      </c>
      <c r="B29" s="1" t="s">
        <v>6</v>
      </c>
      <c r="C29" s="1" t="s">
        <v>6</v>
      </c>
      <c r="D29" s="1" t="s">
        <v>6</v>
      </c>
      <c r="E29" s="1" t="s">
        <v>6</v>
      </c>
      <c r="F29" s="1" t="s">
        <v>6</v>
      </c>
      <c r="G29" s="1" t="s">
        <v>6</v>
      </c>
    </row>
    <row r="30" spans="1:11" s="1" customFormat="1" x14ac:dyDescent="0.25">
      <c r="A30" s="36" t="s">
        <v>4224</v>
      </c>
      <c r="B30" s="16">
        <v>100000</v>
      </c>
      <c r="C30" s="16">
        <v>100000</v>
      </c>
      <c r="D30" s="16">
        <v>100000</v>
      </c>
      <c r="E30" s="16">
        <v>100000</v>
      </c>
      <c r="F30" s="16">
        <v>100000</v>
      </c>
      <c r="G30" s="16">
        <v>100000</v>
      </c>
    </row>
    <row r="31" spans="1:11" s="1" customFormat="1" x14ac:dyDescent="0.25">
      <c r="A31" s="36" t="s">
        <v>4232</v>
      </c>
      <c r="B31" s="1" t="s">
        <v>4233</v>
      </c>
      <c r="C31" s="1" t="s">
        <v>4233</v>
      </c>
      <c r="D31" s="1" t="s">
        <v>4233</v>
      </c>
      <c r="E31" s="1" t="s">
        <v>4233</v>
      </c>
      <c r="F31" s="1" t="s">
        <v>4233</v>
      </c>
      <c r="G31" s="1" t="s">
        <v>4233</v>
      </c>
    </row>
    <row r="32" spans="1:11" s="1" customFormat="1" x14ac:dyDescent="0.25">
      <c r="A32" s="36" t="s">
        <v>4225</v>
      </c>
      <c r="B32" s="1" t="s">
        <v>4226</v>
      </c>
      <c r="C32" s="1" t="s">
        <v>4226</v>
      </c>
      <c r="D32" s="1" t="s">
        <v>4226</v>
      </c>
      <c r="E32" s="1" t="s">
        <v>4226</v>
      </c>
      <c r="F32" s="1" t="s">
        <v>4226</v>
      </c>
      <c r="G32" s="1" t="s">
        <v>4226</v>
      </c>
    </row>
    <row r="33" spans="1:7" s="1" customFormat="1" x14ac:dyDescent="0.25">
      <c r="A33" s="36" t="s">
        <v>4227</v>
      </c>
      <c r="B33" s="1" t="s">
        <v>4243</v>
      </c>
      <c r="C33" s="1" t="s">
        <v>4243</v>
      </c>
      <c r="D33" s="1" t="s">
        <v>4243</v>
      </c>
      <c r="E33" s="1" t="s">
        <v>4243</v>
      </c>
      <c r="F33" s="1" t="s">
        <v>4243</v>
      </c>
      <c r="G33" s="1" t="s">
        <v>4243</v>
      </c>
    </row>
    <row r="34" spans="1:7" s="1" customFormat="1" x14ac:dyDescent="0.25">
      <c r="A34" s="36" t="s">
        <v>4228</v>
      </c>
      <c r="B34" s="1" t="s">
        <v>4218</v>
      </c>
      <c r="C34" s="1" t="s">
        <v>4218</v>
      </c>
      <c r="D34" s="1" t="s">
        <v>4218</v>
      </c>
      <c r="E34" s="1" t="s">
        <v>4218</v>
      </c>
      <c r="F34" s="1" t="s">
        <v>4218</v>
      </c>
      <c r="G34" s="1" t="s">
        <v>4218</v>
      </c>
    </row>
    <row r="35" spans="1:7" s="1" customFormat="1" x14ac:dyDescent="0.25">
      <c r="A35" s="36" t="s">
        <v>4229</v>
      </c>
      <c r="B35" s="1" t="s">
        <v>4243</v>
      </c>
      <c r="C35" s="1" t="s">
        <v>4243</v>
      </c>
      <c r="D35" s="1" t="s">
        <v>4243</v>
      </c>
      <c r="E35" s="1" t="s">
        <v>4243</v>
      </c>
      <c r="F35" s="1" t="s">
        <v>4243</v>
      </c>
      <c r="G35" s="1" t="s">
        <v>4243</v>
      </c>
    </row>
    <row r="36" spans="1:7" s="1" customFormat="1" x14ac:dyDescent="0.25">
      <c r="A36" s="36" t="s">
        <v>4230</v>
      </c>
      <c r="B36" s="1" t="s">
        <v>4231</v>
      </c>
      <c r="C36" s="1" t="s">
        <v>4231</v>
      </c>
      <c r="D36" s="1" t="s">
        <v>4231</v>
      </c>
      <c r="E36" s="1" t="s">
        <v>4231</v>
      </c>
      <c r="F36" s="1" t="s">
        <v>4231</v>
      </c>
      <c r="G36" s="1" t="s">
        <v>4231</v>
      </c>
    </row>
  </sheetData>
  <dataValidations count="13">
    <dataValidation type="list" allowBlank="1" showInputMessage="1" showErrorMessage="1" sqref="H28:K30">
      <formula1>"Yes, No"</formula1>
    </dataValidation>
    <dataValidation type="list" allowBlank="1" showInputMessage="1" showErrorMessage="1" sqref="H14:K14">
      <formula1>"Business, Online Shop, Salary, Stock Trading"</formula1>
    </dataValidation>
    <dataValidation type="whole" errorStyle="information" allowBlank="1" showInputMessage="1" showErrorMessage="1" sqref="B13:G13">
      <formula1>0</formula1>
      <formula2>9.99999999999999E+25</formula2>
    </dataValidation>
    <dataValidation type="whole" errorStyle="information" allowBlank="1" showInputMessage="1" showErrorMessage="1" sqref="B16:G16">
      <formula1>0</formula1>
      <formula2>999999999999999000000</formula2>
    </dataValidation>
    <dataValidation type="whole" errorStyle="information" allowBlank="1" showInputMessage="1" showErrorMessage="1" sqref="B21:G21">
      <formula1>0</formula1>
      <formula2>9.99999999999999E+26</formula2>
    </dataValidation>
    <dataValidation type="whole" errorStyle="information" allowBlank="1" showInputMessage="1" showErrorMessage="1" sqref="B30:G30">
      <formula1>0</formula1>
      <formula2>9.99999999999999E+22</formula2>
    </dataValidation>
    <dataValidation type="list" errorStyle="information" allowBlank="1" showInputMessage="1" showErrorMessage="1" sqref="B24:G24">
      <formula1>ListBank</formula1>
    </dataValidation>
    <dataValidation type="whole" errorStyle="information" allowBlank="1" showInputMessage="1" showErrorMessage="1" sqref="B12:G12">
      <formula1>0</formula1>
      <formula2>9.99999999999999E+25</formula2>
    </dataValidation>
    <dataValidation type="list" errorStyle="information" allowBlank="1" showInputMessage="1" showErrorMessage="1" sqref="B14:G14">
      <formula1>"Business, Online Shop, Salary, Stock Trading"</formula1>
    </dataValidation>
    <dataValidation type="list" errorStyle="information" showInputMessage="1" showErrorMessage="1" sqref="B19:G19">
      <formula1>"Yes,No"</formula1>
    </dataValidation>
    <dataValidation type="whole" errorStyle="information" allowBlank="1" showInputMessage="1" showErrorMessage="1" sqref="B15:G15">
      <formula1>0</formula1>
      <formula2>999999999999999000000</formula2>
    </dataValidation>
    <dataValidation errorStyle="information" allowBlank="1" showInputMessage="1" showErrorMessage="1" sqref="B18:G18 B25:G27"/>
    <dataValidation type="list" errorStyle="information" allowBlank="1" showInputMessage="1" showErrorMessage="1" sqref="B28:G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6"/>
  <sheetViews>
    <sheetView workbookViewId="0">
      <selection activeCell="B3" sqref="B3:G3"/>
    </sheetView>
  </sheetViews>
  <sheetFormatPr defaultRowHeight="15" x14ac:dyDescent="0.25"/>
  <cols>
    <col min="1" max="1" width="16.140625" bestFit="1" customWidth="1" collapsed="1"/>
    <col min="2" max="7" width="19.85546875" bestFit="1" customWidth="1" collapsed="1"/>
  </cols>
  <sheetData>
    <row r="1" spans="1:7" s="1" customFormat="1" x14ac:dyDescent="0.25">
      <c r="A1" s="1" t="s">
        <v>12</v>
      </c>
      <c r="B1" t="s">
        <v>3283</v>
      </c>
      <c r="C1" t="s">
        <v>3283</v>
      </c>
      <c r="D1" s="1" t="s">
        <v>3283</v>
      </c>
      <c r="E1" s="1" t="s">
        <v>3283</v>
      </c>
      <c r="F1" s="1" t="s">
        <v>3283</v>
      </c>
      <c r="G1" s="1" t="s">
        <v>3283</v>
      </c>
    </row>
    <row r="2" spans="1:7" s="1" customFormat="1" x14ac:dyDescent="0.25">
      <c r="A2" s="1" t="s">
        <v>4144</v>
      </c>
      <c r="B2" s="1" t="s">
        <v>4234</v>
      </c>
      <c r="C2" t="s">
        <v>4234</v>
      </c>
      <c r="D2" s="1" t="s">
        <v>4234</v>
      </c>
      <c r="E2" s="1" t="s">
        <v>4234</v>
      </c>
      <c r="F2" s="1" t="s">
        <v>4234</v>
      </c>
      <c r="G2" s="1" t="s">
        <v>4234</v>
      </c>
    </row>
    <row r="3" spans="1:7" s="1" customFormat="1" x14ac:dyDescent="0.25">
      <c r="A3" s="1" t="s">
        <v>4145</v>
      </c>
    </row>
    <row r="4" spans="1:7" s="1" customFormat="1" x14ac:dyDescent="0.25">
      <c r="A4" s="1" t="s">
        <v>4156</v>
      </c>
      <c r="B4" s="1">
        <f t="shared" ref="B4:G4" si="0">IF(B12="Yes",COUNTIFS($A$13:$A$16,"*$*",B13:B16,""),0)</f>
        <v>0</v>
      </c>
      <c r="C4" s="1">
        <f t="shared" si="0"/>
        <v>0</v>
      </c>
      <c r="D4" s="1">
        <f t="shared" si="0"/>
        <v>0</v>
      </c>
      <c r="E4" s="1">
        <f t="shared" si="0"/>
        <v>0</v>
      </c>
      <c r="F4" s="1">
        <f t="shared" si="0"/>
        <v>0</v>
      </c>
      <c r="G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3558</v>
      </c>
      <c r="B10" s="1" t="str">
        <f>'1.CustomerDetail'!B$12</f>
        <v>0002APP20221206316</v>
      </c>
      <c r="C10" s="1">
        <f>'1.CustomerDetail'!C$12</f>
        <v>0</v>
      </c>
      <c r="D10" s="1">
        <f>'1.CustomerDetail'!D$12</f>
        <v>0</v>
      </c>
      <c r="E10" s="1">
        <f>'1.CustomerDetail'!E$12</f>
        <v>0</v>
      </c>
      <c r="F10" s="1">
        <f>'1.CustomerDetail'!F$12</f>
        <v>0</v>
      </c>
      <c r="G10" s="1">
        <f>'1.CustomerDetail'!G$12</f>
        <v>0</v>
      </c>
    </row>
    <row r="11" spans="1:7" s="61" customFormat="1" x14ac:dyDescent="0.25">
      <c r="B11" s="54"/>
      <c r="C11" s="54"/>
      <c r="D11" s="54"/>
      <c r="E11" s="54"/>
      <c r="F11" s="54"/>
      <c r="G11" s="54"/>
    </row>
    <row r="12" spans="1:7" s="2" customFormat="1" x14ac:dyDescent="0.25">
      <c r="A12" s="2" t="s">
        <v>4216</v>
      </c>
      <c r="B12" s="2" t="s">
        <v>6</v>
      </c>
      <c r="C12" s="2" t="s">
        <v>6</v>
      </c>
      <c r="D12" s="2" t="s">
        <v>6</v>
      </c>
      <c r="E12" s="2" t="s">
        <v>6</v>
      </c>
      <c r="F12" s="2" t="s">
        <v>6</v>
      </c>
      <c r="G12" s="2" t="s">
        <v>6</v>
      </c>
    </row>
    <row r="13" spans="1:7" s="1" customFormat="1" x14ac:dyDescent="0.25">
      <c r="A13" s="36" t="s">
        <v>4176</v>
      </c>
      <c r="B13" s="1" t="s">
        <v>4217</v>
      </c>
      <c r="C13" s="1" t="s">
        <v>4217</v>
      </c>
      <c r="D13" s="1" t="s">
        <v>4217</v>
      </c>
      <c r="E13" s="1" t="s">
        <v>4217</v>
      </c>
      <c r="F13" s="1" t="s">
        <v>4217</v>
      </c>
      <c r="G13" s="1" t="s">
        <v>4217</v>
      </c>
    </row>
    <row r="14" spans="1:7" s="1" customFormat="1" x14ac:dyDescent="0.25">
      <c r="A14" s="1" t="s">
        <v>54</v>
      </c>
      <c r="B14" s="1" t="s">
        <v>4240</v>
      </c>
      <c r="C14" s="1" t="s">
        <v>4240</v>
      </c>
      <c r="D14" s="1" t="s">
        <v>4240</v>
      </c>
      <c r="E14" s="1" t="s">
        <v>4240</v>
      </c>
      <c r="F14" s="1" t="s">
        <v>4240</v>
      </c>
      <c r="G14" s="1" t="s">
        <v>4240</v>
      </c>
    </row>
    <row r="15" spans="1:7" s="1" customFormat="1" x14ac:dyDescent="0.25">
      <c r="A15" s="36" t="s">
        <v>4177</v>
      </c>
      <c r="B15" s="43" t="s">
        <v>4238</v>
      </c>
      <c r="C15" s="43" t="s">
        <v>4238</v>
      </c>
      <c r="D15" s="43" t="s">
        <v>4238</v>
      </c>
      <c r="E15" s="43" t="s">
        <v>4238</v>
      </c>
      <c r="F15" s="43" t="s">
        <v>4238</v>
      </c>
      <c r="G15" s="43" t="s">
        <v>4238</v>
      </c>
    </row>
    <row r="16" spans="1:7" s="1" customFormat="1" x14ac:dyDescent="0.25">
      <c r="A16" s="36" t="s">
        <v>4178</v>
      </c>
      <c r="B16" s="2" t="s">
        <v>4239</v>
      </c>
      <c r="C16" s="2" t="s">
        <v>4239</v>
      </c>
      <c r="D16" s="2" t="s">
        <v>4239</v>
      </c>
      <c r="E16" s="2" t="s">
        <v>4239</v>
      </c>
      <c r="F16" s="2" t="s">
        <v>4239</v>
      </c>
      <c r="G16" s="2" t="s">
        <v>4239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43"/>
  <sheetViews>
    <sheetView tabSelected="1" topLeftCell="A28" workbookViewId="0">
      <selection activeCell="B43" sqref="B43"/>
    </sheetView>
  </sheetViews>
  <sheetFormatPr defaultRowHeight="15" x14ac:dyDescent="0.25"/>
  <cols>
    <col min="1" max="1" width="35" bestFit="1" customWidth="1" collapsed="1"/>
    <col min="2" max="7" width="19.85546875" style="11" bestFit="1" customWidth="1" collapsed="1"/>
  </cols>
  <sheetData>
    <row r="1" spans="1:7" s="1" customFormat="1" x14ac:dyDescent="0.25">
      <c r="A1" s="1" t="s">
        <v>12</v>
      </c>
      <c r="B1" s="1" t="s">
        <v>3283</v>
      </c>
      <c r="C1" s="1" t="s">
        <v>3283</v>
      </c>
    </row>
    <row r="2" spans="1:7" s="1" customFormat="1" x14ac:dyDescent="0.25">
      <c r="A2" s="1" t="s">
        <v>4144</v>
      </c>
      <c r="B2" s="1" t="s">
        <v>4234</v>
      </c>
      <c r="C2" s="1" t="s">
        <v>4234</v>
      </c>
    </row>
    <row r="3" spans="1:7" s="1" customFormat="1" x14ac:dyDescent="0.25">
      <c r="A3" s="1" t="s">
        <v>4145</v>
      </c>
      <c r="B3" s="1" t="str">
        <f>'1.CustomerDetail'!B$12</f>
        <v>0002APP20221206316</v>
      </c>
      <c r="C3" s="1">
        <f>'1.CustomerDetail'!C$12</f>
        <v>0</v>
      </c>
    </row>
    <row r="4" spans="1:7" s="1" customFormat="1" x14ac:dyDescent="0.25">
      <c r="A4" s="1" t="s">
        <v>4156</v>
      </c>
      <c r="B4" s="1">
        <f t="shared" ref="B4:C4" si="0">COUNTIFS($A$12:$A$42,"*$*",B12:B42,"")</f>
        <v>0</v>
      </c>
      <c r="C4" s="1">
        <f t="shared" si="0"/>
        <v>0</v>
      </c>
    </row>
    <row r="5" spans="1:7" s="1" customFormat="1" x14ac:dyDescent="0.25"/>
    <row r="6" spans="1:7" s="1" customFormat="1" x14ac:dyDescent="0.25"/>
    <row r="7" spans="1:7" s="1" customFormat="1" x14ac:dyDescent="0.25"/>
    <row r="8" spans="1:7" s="1" customFormat="1" x14ac:dyDescent="0.25"/>
    <row r="9" spans="1:7" s="1" customFormat="1" x14ac:dyDescent="0.25"/>
    <row r="10" spans="1:7" s="1" customFormat="1" x14ac:dyDescent="0.25">
      <c r="A10" s="1" t="s">
        <v>3558</v>
      </c>
      <c r="B10" s="1" t="str">
        <f>'1.CustomerDetail'!B$12</f>
        <v>0002APP20221206316</v>
      </c>
      <c r="C10" s="1">
        <f>'1.CustomerDetail'!C$12</f>
        <v>0</v>
      </c>
    </row>
    <row r="11" spans="1:7" s="57" customFormat="1" x14ac:dyDescent="0.25">
      <c r="A11" s="58" t="s">
        <v>3568</v>
      </c>
      <c r="B11" s="59"/>
      <c r="C11" s="59"/>
      <c r="D11" s="59"/>
      <c r="E11" s="60"/>
    </row>
    <row r="12" spans="1:7" s="1" customFormat="1" x14ac:dyDescent="0.25">
      <c r="A12" s="38" t="s">
        <v>4179</v>
      </c>
      <c r="B12" s="13" t="str">
        <f>VLOOKUP('7.OtherAttribute'!B13,Master!$M:$N,2,FALSE)</f>
        <v>01</v>
      </c>
      <c r="C12" s="13" t="str">
        <f>VLOOKUP('7.OtherAttribute'!C13,Master!$M:$N,2,FALSE)</f>
        <v>01</v>
      </c>
      <c r="D12" s="13"/>
      <c r="E12" s="13"/>
      <c r="F12" s="13"/>
      <c r="G12" s="13"/>
    </row>
    <row r="13" spans="1:7" s="1" customFormat="1" x14ac:dyDescent="0.25">
      <c r="A13" s="37" t="s">
        <v>4180</v>
      </c>
      <c r="B13" s="13" t="s">
        <v>683</v>
      </c>
      <c r="C13" s="13" t="s">
        <v>683</v>
      </c>
      <c r="D13" s="13"/>
      <c r="E13" s="13"/>
      <c r="F13" s="13"/>
      <c r="G13" s="13"/>
    </row>
    <row r="14" spans="1:7" s="1" customFormat="1" x14ac:dyDescent="0.25">
      <c r="A14" s="38" t="s">
        <v>4181</v>
      </c>
      <c r="B14" s="14" t="str">
        <f>VLOOKUP(B15,Master!$P:$Q,2,FALSE)</f>
        <v>4</v>
      </c>
      <c r="C14" s="14" t="str">
        <f>VLOOKUP(C15,Master!$P:$Q,2,FALSE)</f>
        <v>4</v>
      </c>
      <c r="D14" s="14"/>
      <c r="E14" s="14"/>
      <c r="F14" s="14"/>
      <c r="G14" s="14"/>
    </row>
    <row r="15" spans="1:7" s="1" customFormat="1" x14ac:dyDescent="0.25">
      <c r="A15" s="37" t="s">
        <v>4182</v>
      </c>
      <c r="B15" s="14" t="s">
        <v>1234</v>
      </c>
      <c r="C15" s="14" t="s">
        <v>1234</v>
      </c>
      <c r="D15" s="14"/>
      <c r="E15" s="14"/>
      <c r="F15" s="14"/>
      <c r="G15" s="14"/>
    </row>
    <row r="16" spans="1:7" s="1" customFormat="1" x14ac:dyDescent="0.25">
      <c r="A16" s="38" t="s">
        <v>4183</v>
      </c>
      <c r="B16" s="14" t="str">
        <f>VLOOKUP(B17,Master!$S:$T,2,FALSE)</f>
        <v>e2954</v>
      </c>
      <c r="C16" s="14" t="str">
        <f>VLOOKUP(C17,Master!$S:$T,2,FALSE)</f>
        <v>e2954</v>
      </c>
      <c r="D16" s="14"/>
      <c r="E16" s="14"/>
      <c r="F16" s="14"/>
      <c r="G16" s="14"/>
    </row>
    <row r="17" spans="1:7" s="1" customFormat="1" ht="90" x14ac:dyDescent="0.25">
      <c r="A17" s="37" t="s">
        <v>4185</v>
      </c>
      <c r="B17" s="14" t="s">
        <v>4106</v>
      </c>
      <c r="C17" s="14" t="s">
        <v>4106</v>
      </c>
      <c r="D17" s="14"/>
      <c r="E17" s="14"/>
      <c r="F17" s="14"/>
      <c r="G17" s="14"/>
    </row>
    <row r="18" spans="1:7" s="1" customFormat="1" x14ac:dyDescent="0.25">
      <c r="A18" s="38" t="s">
        <v>4186</v>
      </c>
      <c r="B18" s="14" t="str">
        <f>VLOOKUP(B19,Master!$V:$W,2,FALSE)</f>
        <v>e3826</v>
      </c>
      <c r="C18" s="14" t="str">
        <f>VLOOKUP(C19,Master!$V:$W,2,FALSE)</f>
        <v>e3826</v>
      </c>
      <c r="D18" s="14"/>
      <c r="E18" s="14"/>
      <c r="F18" s="14"/>
      <c r="G18" s="14"/>
    </row>
    <row r="19" spans="1:7" s="1" customFormat="1" ht="30" x14ac:dyDescent="0.25">
      <c r="A19" s="37" t="s">
        <v>4184</v>
      </c>
      <c r="B19" s="14" t="s">
        <v>1409</v>
      </c>
      <c r="C19" s="14" t="s">
        <v>1409</v>
      </c>
      <c r="D19" s="14"/>
      <c r="E19" s="14"/>
      <c r="F19" s="14"/>
      <c r="G19" s="14"/>
    </row>
    <row r="20" spans="1:7" s="57" customFormat="1" x14ac:dyDescent="0.25">
      <c r="A20" s="58" t="s">
        <v>3569</v>
      </c>
      <c r="B20" s="59"/>
      <c r="C20" s="59"/>
      <c r="D20" s="59"/>
      <c r="E20" s="59"/>
      <c r="F20" s="59"/>
      <c r="G20" s="59"/>
    </row>
    <row r="21" spans="1:7" s="1" customFormat="1" x14ac:dyDescent="0.25">
      <c r="A21" s="2" t="s">
        <v>1594</v>
      </c>
      <c r="B21" s="14" t="s">
        <v>4062</v>
      </c>
      <c r="C21" s="14" t="s">
        <v>4062</v>
      </c>
      <c r="D21" s="14"/>
      <c r="E21" s="14"/>
      <c r="F21" s="14"/>
      <c r="G21" s="14"/>
    </row>
    <row r="22" spans="1:7" s="1" customFormat="1" x14ac:dyDescent="0.25">
      <c r="A22" s="38" t="s">
        <v>4187</v>
      </c>
      <c r="B22" s="15" t="str">
        <f>VLOOKUP(B23,Master!$Y:$Z,2,FALSE)</f>
        <v>9000</v>
      </c>
      <c r="C22" s="15" t="str">
        <f>VLOOKUP(C23,Master!$Y:$Z,2,FALSE)</f>
        <v>9000</v>
      </c>
      <c r="D22" s="15"/>
      <c r="E22" s="15"/>
      <c r="F22" s="15"/>
      <c r="G22" s="15"/>
    </row>
    <row r="23" spans="1:7" s="1" customFormat="1" x14ac:dyDescent="0.25">
      <c r="A23" s="37" t="s">
        <v>4188</v>
      </c>
      <c r="B23" s="14" t="s">
        <v>2732</v>
      </c>
      <c r="C23" s="14" t="s">
        <v>2732</v>
      </c>
      <c r="D23" s="14"/>
      <c r="E23" s="14"/>
      <c r="F23" s="14"/>
      <c r="G23" s="14"/>
    </row>
    <row r="24" spans="1:7" s="1" customFormat="1" x14ac:dyDescent="0.25">
      <c r="A24" s="2" t="s">
        <v>1595</v>
      </c>
      <c r="B24" s="14" t="s">
        <v>4062</v>
      </c>
      <c r="C24" s="14" t="s">
        <v>4062</v>
      </c>
      <c r="D24" s="14"/>
      <c r="E24" s="14"/>
      <c r="F24" s="14"/>
      <c r="G24" s="14"/>
    </row>
    <row r="25" spans="1:7" s="1" customFormat="1" x14ac:dyDescent="0.25">
      <c r="A25" s="2" t="s">
        <v>1596</v>
      </c>
      <c r="B25" s="14" t="s">
        <v>4062</v>
      </c>
      <c r="C25" s="14" t="s">
        <v>4062</v>
      </c>
      <c r="D25" s="14"/>
      <c r="E25" s="14"/>
      <c r="F25" s="14"/>
      <c r="G25" s="14"/>
    </row>
    <row r="26" spans="1:7" s="1" customFormat="1" x14ac:dyDescent="0.25">
      <c r="A26" s="38" t="s">
        <v>4189</v>
      </c>
      <c r="B26" s="15" t="str">
        <f>VLOOKUP(B27,Master!$AB:$AC,2,FALSE)</f>
        <v>9900</v>
      </c>
      <c r="C26" s="15" t="str">
        <f>VLOOKUP(C27,Master!$AB:$AC,2,FALSE)</f>
        <v>9900</v>
      </c>
      <c r="D26" s="15"/>
      <c r="E26" s="15"/>
      <c r="F26" s="15"/>
      <c r="G26" s="15"/>
    </row>
    <row r="27" spans="1:7" s="1" customFormat="1" ht="30" x14ac:dyDescent="0.25">
      <c r="A27" s="37" t="s">
        <v>4190</v>
      </c>
      <c r="B27" s="14" t="s">
        <v>2963</v>
      </c>
      <c r="C27" s="14" t="s">
        <v>2963</v>
      </c>
      <c r="D27" s="14"/>
      <c r="E27" s="14"/>
      <c r="F27" s="14"/>
      <c r="G27" s="14"/>
    </row>
    <row r="28" spans="1:7" s="1" customFormat="1" x14ac:dyDescent="0.25">
      <c r="A28" s="38" t="s">
        <v>4191</v>
      </c>
      <c r="B28" s="15" t="str">
        <f>VLOOKUP(B29,Master!$AE:$AF,2,FALSE)</f>
        <v>00502</v>
      </c>
      <c r="C28" s="15" t="str">
        <f>VLOOKUP(C29,Master!$AE:$AF,2,FALSE)</f>
        <v>00502</v>
      </c>
      <c r="D28" s="15"/>
      <c r="E28" s="15"/>
      <c r="F28" s="15"/>
      <c r="G28" s="15"/>
    </row>
    <row r="29" spans="1:7" s="1" customFormat="1" ht="75" x14ac:dyDescent="0.25">
      <c r="A29" s="37" t="s">
        <v>4193</v>
      </c>
      <c r="B29" s="14" t="s">
        <v>1995</v>
      </c>
      <c r="C29" s="14" t="s">
        <v>1995</v>
      </c>
      <c r="D29" s="14"/>
      <c r="E29" s="14"/>
      <c r="F29" s="14"/>
      <c r="G29" s="14"/>
    </row>
    <row r="30" spans="1:7" s="1" customFormat="1" x14ac:dyDescent="0.25">
      <c r="A30" s="40" t="s">
        <v>4192</v>
      </c>
      <c r="B30" s="15" t="str">
        <f>VLOOKUP(B31,Master!$AH:$AI,2,FALSE)</f>
        <v>00055</v>
      </c>
      <c r="C30" s="15" t="str">
        <f>VLOOKUP(C31,Master!$AH:$AI,2,FALSE)</f>
        <v>00055</v>
      </c>
      <c r="D30" s="15"/>
      <c r="E30" s="15"/>
      <c r="F30" s="15"/>
      <c r="G30" s="15"/>
    </row>
    <row r="31" spans="1:7" s="1" customFormat="1" ht="30" x14ac:dyDescent="0.25">
      <c r="A31" s="39" t="s">
        <v>4194</v>
      </c>
      <c r="B31" s="15" t="s">
        <v>2965</v>
      </c>
      <c r="C31" s="15" t="s">
        <v>2965</v>
      </c>
      <c r="D31" s="15"/>
      <c r="E31" s="15"/>
      <c r="F31" s="15"/>
      <c r="G31" s="15"/>
    </row>
    <row r="32" spans="1:7" s="1" customFormat="1" ht="30" x14ac:dyDescent="0.25">
      <c r="A32" s="38" t="s">
        <v>4195</v>
      </c>
      <c r="B32" s="15" t="str">
        <f>VLOOKUP(B33,Master!$AK:$AL,2,FALSE)</f>
        <v>PAYMENT_TYPEX_AUTOPAYMENT</v>
      </c>
      <c r="C32" s="15" t="str">
        <f>VLOOKUP(C33,Master!$AK:$AL,2,FALSE)</f>
        <v>PAYMENT_TYPEX_AUTOPAYMENT</v>
      </c>
      <c r="D32" s="15"/>
      <c r="E32" s="15"/>
      <c r="F32" s="15"/>
      <c r="G32" s="15"/>
    </row>
    <row r="33" spans="1:7" s="1" customFormat="1" x14ac:dyDescent="0.25">
      <c r="A33" s="37" t="s">
        <v>4197</v>
      </c>
      <c r="B33" s="15" t="s">
        <v>2975</v>
      </c>
      <c r="C33" s="15" t="s">
        <v>2975</v>
      </c>
      <c r="D33" s="15"/>
      <c r="E33" s="15"/>
      <c r="F33" s="15"/>
      <c r="G33" s="15"/>
    </row>
    <row r="34" spans="1:7" s="1" customFormat="1" x14ac:dyDescent="0.25">
      <c r="A34" s="37" t="s">
        <v>4196</v>
      </c>
      <c r="B34" s="14" t="s">
        <v>4062</v>
      </c>
      <c r="C34" s="14" t="s">
        <v>4062</v>
      </c>
      <c r="D34" s="14"/>
      <c r="E34" s="14"/>
      <c r="F34" s="14"/>
      <c r="G34" s="14"/>
    </row>
    <row r="35" spans="1:7" s="1" customFormat="1" x14ac:dyDescent="0.25">
      <c r="A35" s="38" t="s">
        <v>4198</v>
      </c>
      <c r="B35" s="15" t="e">
        <f>VLOOKUP(B36,Master!$AN:$AO,2,FALSE)</f>
        <v>#N/A</v>
      </c>
      <c r="C35" s="15" t="e">
        <f>VLOOKUP(C36,Master!$AN:$AO,2,FALSE)</f>
        <v>#N/A</v>
      </c>
      <c r="D35" s="15"/>
      <c r="E35" s="15"/>
      <c r="F35" s="15"/>
      <c r="G35" s="15"/>
    </row>
    <row r="36" spans="1:7" s="1" customFormat="1" x14ac:dyDescent="0.25">
      <c r="A36" s="2" t="s">
        <v>1598</v>
      </c>
      <c r="B36" s="15"/>
      <c r="C36" s="15"/>
      <c r="D36" s="15"/>
      <c r="E36" s="15"/>
      <c r="F36" s="15"/>
      <c r="G36" s="15"/>
    </row>
    <row r="37" spans="1:7" s="1" customFormat="1" x14ac:dyDescent="0.25">
      <c r="A37" s="37" t="s">
        <v>4199</v>
      </c>
      <c r="B37" s="45" t="s">
        <v>4104</v>
      </c>
      <c r="C37" s="45" t="s">
        <v>4104</v>
      </c>
      <c r="D37" s="45"/>
      <c r="E37" s="45"/>
      <c r="F37" s="45"/>
      <c r="G37" s="45"/>
    </row>
    <row r="38" spans="1:7" s="1" customFormat="1" x14ac:dyDescent="0.25">
      <c r="A38" s="38" t="s">
        <v>4200</v>
      </c>
      <c r="B38" s="15" t="str">
        <f>VLOOKUP(B39,Master!$AQ$1:$AR$2,2,FALSE)</f>
        <v>BISNIS_SENDIRI</v>
      </c>
      <c r="C38" s="15" t="str">
        <f>VLOOKUP(C39,Master!$AQ$1:$AR$2,2,FALSE)</f>
        <v>BISNIS_SENDIRI</v>
      </c>
      <c r="D38" s="15"/>
      <c r="E38" s="15"/>
      <c r="F38" s="15"/>
      <c r="G38" s="15"/>
    </row>
    <row r="39" spans="1:7" s="1" customFormat="1" x14ac:dyDescent="0.25">
      <c r="A39" s="37" t="s">
        <v>4201</v>
      </c>
      <c r="B39" s="46" t="s">
        <v>2985</v>
      </c>
      <c r="C39" s="46" t="s">
        <v>2985</v>
      </c>
      <c r="D39" s="46"/>
      <c r="E39" s="46"/>
      <c r="F39" s="46"/>
      <c r="G39" s="46"/>
    </row>
    <row r="40" spans="1:7" s="1" customFormat="1" x14ac:dyDescent="0.25">
      <c r="A40" s="37" t="s">
        <v>4202</v>
      </c>
      <c r="B40" s="45" t="s">
        <v>4104</v>
      </c>
      <c r="C40" s="45" t="s">
        <v>4104</v>
      </c>
      <c r="D40" s="45"/>
      <c r="E40" s="45"/>
      <c r="F40" s="45"/>
      <c r="G40" s="45"/>
    </row>
    <row r="41" spans="1:7" s="1" customFormat="1" x14ac:dyDescent="0.25">
      <c r="A41" s="38" t="s">
        <v>4203</v>
      </c>
      <c r="B41" s="15" t="str">
        <f>VLOOKUP(B42,Master!$AT:$AU,2,FALSE)</f>
        <v>OWNED</v>
      </c>
      <c r="C41" s="15" t="str">
        <f>VLOOKUP(C42,Master!$AT:$AU,2,FALSE)</f>
        <v>OWNED</v>
      </c>
      <c r="D41" s="15"/>
      <c r="E41" s="15"/>
      <c r="F41" s="15"/>
      <c r="G41" s="15"/>
    </row>
    <row r="42" spans="1:7" s="1" customFormat="1" x14ac:dyDescent="0.25">
      <c r="A42" s="2" t="s">
        <v>1599</v>
      </c>
      <c r="B42" s="15" t="s">
        <v>26</v>
      </c>
      <c r="C42" s="15" t="s">
        <v>26</v>
      </c>
      <c r="D42" s="15"/>
      <c r="E42" s="15"/>
      <c r="F42" s="15"/>
      <c r="G42" s="15"/>
    </row>
    <row r="43" spans="1:7" x14ac:dyDescent="0.25">
      <c r="A43" t="s">
        <v>4253</v>
      </c>
      <c r="B43" s="11" t="s">
        <v>4253</v>
      </c>
    </row>
  </sheetData>
  <dataValidations count="14">
    <dataValidation type="list" errorStyle="information" allowBlank="1" showInputMessage="1" showErrorMessage="1" sqref="B13:G13">
      <formula1>ListDebtGroup</formula1>
    </dataValidation>
    <dataValidation type="list" errorStyle="information" allowBlank="1" showInputMessage="1" showErrorMessage="1" sqref="B15:G15">
      <formula1>ListDebtorBusinessScale</formula1>
    </dataValidation>
    <dataValidation type="list" errorStyle="information" allowBlank="1" showInputMessage="1" showErrorMessage="1" sqref="B17:G17">
      <formula1>ListCounterpart</formula1>
    </dataValidation>
    <dataValidation type="list" errorStyle="information" allowBlank="1" showInputMessage="1" showErrorMessage="1" sqref="B19:G19">
      <formula1>ListSusFinBus</formula1>
    </dataValidation>
    <dataValidation type="list" errorStyle="information" allowBlank="1" showInputMessage="1" showErrorMessage="1" sqref="B23:G23">
      <formula1>ListDebtGroupSLIK</formula1>
    </dataValidation>
    <dataValidation type="list" errorStyle="information" allowBlank="1" showInputMessage="1" showErrorMessage="1" sqref="B27:G27">
      <formula1>ListAfWiMult</formula1>
    </dataValidation>
    <dataValidation type="list" errorStyle="information" allowBlank="1" showInputMessage="1" showErrorMessage="1" sqref="B29:G29">
      <formula1>ListDeptAML</formula1>
    </dataValidation>
    <dataValidation type="list" errorStyle="information" allowBlank="1" showInputMessage="1" showErrorMessage="1" sqref="B31:G31">
      <formula1>ListCSPUSL</formula1>
    </dataValidation>
    <dataValidation type="list" errorStyle="information" allowBlank="1" showInputMessage="1" showErrorMessage="1" sqref="B33:G33">
      <formula1>ListPaymentTypeAML</formula1>
    </dataValidation>
    <dataValidation type="list" errorStyle="information" allowBlank="1" showInputMessage="1" showErrorMessage="1" sqref="B36:G36">
      <formula1>ListAuthorityAML</formula1>
    </dataValidation>
    <dataValidation type="list" errorStyle="information" allowBlank="1" showInputMessage="1" showErrorMessage="1" sqref="B39:G39">
      <formula1>ListBusinessSource</formula1>
    </dataValidation>
    <dataValidation type="list" errorStyle="information" allowBlank="1" showInputMessage="1" showErrorMessage="1" sqref="B42:G42">
      <formula1>ListBuilding</formula1>
    </dataValidation>
    <dataValidation type="list" errorStyle="information" allowBlank="1" showInputMessage="1" showErrorMessage="1" sqref="B24:G25 B21:G21 B34:G34">
      <formula1>"YES, NO"</formula1>
    </dataValidation>
    <dataValidation errorStyle="information" allowBlank="1" showInputMessage="1" showErrorMessage="1" sqref="B37:G37 B40:G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1"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4118</v>
      </c>
      <c r="BI1" s="21" t="s">
        <v>4133</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4119</v>
      </c>
      <c r="BI2" s="9" t="s">
        <v>4134</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4120</v>
      </c>
      <c r="BI3" s="9" t="s">
        <v>4135</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4121</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4122</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4123</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4124</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4125</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4126</v>
      </c>
    </row>
    <row r="10" spans="1:61" ht="30"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4127</v>
      </c>
    </row>
    <row r="11" spans="1:61" ht="30"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4128</v>
      </c>
    </row>
    <row r="12" spans="1:61" ht="30"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4129</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4130</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4131</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4132</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r="77" spans="1:54" ht="30"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r="78" spans="1:54" ht="30"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r="90" spans="1:54" ht="30"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r="91" spans="1:54" ht="30"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r="103" spans="1:106" ht="30"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r="104" spans="1:106" ht="30"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r="109" spans="1:106" ht="30"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r="115" spans="10:54" ht="30"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r="116" spans="10:54" ht="30"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r="138" spans="10:54" ht="30"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r="152" spans="10:54" ht="30"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r="153" spans="10:54" ht="30"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2023-02-20T04:00:41Z</dcterms:modified>
</cp:coreProperties>
</file>