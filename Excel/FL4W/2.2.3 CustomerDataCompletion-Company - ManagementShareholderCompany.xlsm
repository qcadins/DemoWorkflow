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6" firstSheet="5"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1" r="B12"/>
  <c i="4" r="C9" s="1"/>
  <c i="1" r="G12"/>
  <c i="1" r="F12"/>
  <c i="1" r="E12"/>
  <c i="1" r="D12"/>
  <c i="1" r="C12"/>
  <c i="7" l="1" r="G37"/>
  <c i="7" r="F37"/>
  <c i="7" r="E37"/>
  <c i="7" r="G35"/>
  <c i="7" r="F35"/>
  <c i="7" r="E35"/>
  <c i="7" r="G33"/>
  <c i="7" r="F33"/>
  <c i="7" r="E33"/>
  <c i="7" r="G30"/>
  <c i="7" r="F30"/>
  <c i="7" r="E30"/>
  <c i="7" r="G27"/>
  <c i="7" r="F27"/>
  <c i="7" r="E27"/>
  <c i="7" r="G22"/>
  <c i="7" r="F22"/>
  <c i="7" r="E22"/>
  <c i="7" r="G18"/>
  <c i="7" r="F18"/>
  <c i="7" r="E18"/>
  <c i="7" r="G16"/>
  <c i="7" r="F16"/>
  <c i="7" r="E16"/>
  <c i="7" r="G14"/>
  <c i="7" r="G4" s="1"/>
  <c i="7" r="F14"/>
  <c i="7" r="E14"/>
  <c i="7" r="G12"/>
  <c i="7" r="F12"/>
  <c i="7" r="E12"/>
  <c i="7" r="G10"/>
  <c i="7" r="F10"/>
  <c i="7" r="E10"/>
  <c i="7" r="F4"/>
  <c i="7" r="E4"/>
  <c i="7" r="G3"/>
  <c i="7" r="F3"/>
  <c i="7" r="E3"/>
  <c i="7" r="D37"/>
  <c i="7" r="D35"/>
  <c i="7" r="D33"/>
  <c i="7" r="D30"/>
  <c i="7" r="D27"/>
  <c i="7" r="D22"/>
  <c i="7" r="D18"/>
  <c i="7" r="D16"/>
  <c i="7" r="D4" s="1"/>
  <c i="7" r="D14"/>
  <c i="7" r="D12"/>
  <c i="7" r="D10"/>
  <c i="7" r="D3"/>
  <c i="7" r="C37"/>
  <c i="7" r="C35"/>
  <c i="7" r="C33"/>
  <c i="7" r="C30"/>
  <c i="7" r="C27"/>
  <c i="7" r="C22"/>
  <c i="7" r="C18"/>
  <c i="7" r="C16"/>
  <c i="7" r="C14"/>
  <c i="7" r="C12"/>
  <c i="7" r="C10"/>
  <c i="7" r="C4"/>
  <c i="7" r="C3"/>
  <c i="7" r="B3"/>
  <c i="7" r="B37"/>
  <c i="7" r="B35"/>
  <c i="7" r="B33"/>
  <c i="7" r="B30"/>
  <c i="7" r="B27"/>
  <c i="7" r="B22"/>
  <c i="7" r="B18"/>
  <c i="7" r="B16"/>
  <c i="7" r="B14"/>
  <c i="7" r="B12"/>
  <c i="7" r="B10"/>
  <c i="7" r="B4"/>
  <c i="6" r="G10"/>
  <c i="6" r="G4"/>
  <c i="6" r="G3"/>
  <c i="6" r="F10"/>
  <c i="6" r="E10"/>
  <c i="6" r="D10"/>
  <c i="6" r="C10"/>
  <c i="6" r="F4"/>
  <c i="6" r="E4"/>
  <c i="6" r="D4"/>
  <c i="6" r="C4"/>
  <c i="6" r="F3"/>
  <c i="6" r="E3"/>
  <c i="6" r="D3"/>
  <c i="6" r="C3"/>
  <c i="6" r="B3"/>
  <c i="6" r="B10"/>
  <c i="6" r="B4"/>
  <c i="5" r="G10"/>
  <c i="5" r="F10"/>
  <c i="5" r="E10"/>
  <c i="5" r="G4"/>
  <c i="5" r="F4"/>
  <c i="5" r="E4"/>
  <c i="5" r="G3"/>
  <c i="5" r="F3"/>
  <c i="5" r="E3"/>
  <c i="5" r="D10"/>
  <c i="5" r="D4"/>
  <c i="5" r="D3"/>
  <c i="5" r="C10"/>
  <c i="5" r="C4"/>
  <c i="5" r="C3"/>
  <c i="5" r="B3"/>
  <c i="5" r="B10"/>
  <c i="5" r="B4"/>
  <c i="4" r="G66"/>
  <c i="4" r="F66"/>
  <c i="4" r="E66"/>
  <c i="4" r="G10"/>
  <c i="4" r="F10"/>
  <c i="4" r="E10"/>
  <c i="4" r="F4" s="1"/>
  <c i="4" r="G9"/>
  <c i="4" r="F9"/>
  <c i="4" r="E9"/>
  <c i="4" r="G4"/>
  <c i="4" r="G3"/>
  <c i="4" r="F3"/>
  <c i="4" r="E3"/>
  <c i="4" r="D66"/>
  <c i="4" r="D10"/>
  <c i="4" r="D4" s="1"/>
  <c i="4" r="D9"/>
  <c i="4" r="D3"/>
  <c i="4" r="C66"/>
  <c i="4" r="C4"/>
  <c i="4" r="C3"/>
  <c i="4" r="B3"/>
  <c i="4" r="B9"/>
  <c i="3" r="G3"/>
  <c i="3" r="F3"/>
  <c i="3" r="E3"/>
  <c i="3" r="D3"/>
  <c i="3" r="C3"/>
  <c i="3" r="B3"/>
  <c i="3" r="G10"/>
  <c i="3" r="G4"/>
  <c i="3" r="F10"/>
  <c i="3" r="F4"/>
  <c i="3" r="E10"/>
  <c i="3" r="E4"/>
  <c i="3" r="C10"/>
  <c i="3" r="C4"/>
  <c i="3" r="B10"/>
  <c i="3" r="B4"/>
  <c i="2" r="G10"/>
  <c i="2" r="F10"/>
  <c i="2" r="E10"/>
  <c i="2" r="D10"/>
  <c i="2" r="G4"/>
  <c i="2" r="F4"/>
  <c i="2" r="E4"/>
  <c i="2" r="D4"/>
  <c i="2" r="C4"/>
  <c i="2" r="G3"/>
  <c i="2" r="F3"/>
  <c i="2" r="E3"/>
  <c i="2" r="D3"/>
  <c i="2" r="C3"/>
  <c i="2" r="B3"/>
  <c i="2" r="G9"/>
  <c i="2" r="F9"/>
  <c i="2" r="E9"/>
  <c i="2" r="D9"/>
  <c i="2" r="C9"/>
  <c i="2" r="B9"/>
  <c i="2" r="B10"/>
  <c i="2" r="B4"/>
  <c i="1" r="G4"/>
  <c i="1" r="G20"/>
  <c i="1" r="F20"/>
  <c i="1" r="E20"/>
  <c i="1" r="F4"/>
  <c i="1" r="E4"/>
  <c i="1" r="B20"/>
  <c i="1" r="B4"/>
  <c i="1" r="C20"/>
  <c i="1" r="C4"/>
  <c i="4" l="1" r="E4"/>
  <c i="3" r="D4"/>
  <c i="1" r="D20"/>
  <c i="1" r="D4"/>
  <c i="3" l="1" r="D10"/>
  <c i="2" l="1" r="C10"/>
  <c i="4" l="1" r="B4"/>
  <c i="4" l="1" r="B66"/>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<sst xmlns="http://schemas.openxmlformats.org/spreadsheetml/2006/main" count="4157" uniqueCount="3505">
  <si>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</si>
  <si>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</si>
  <si>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</si>
  <si>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</si>
  <si>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</si>
  <si>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</si>
  <si>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</si>
  <si>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</si>
  <si>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</si>
  <si>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</si>
  <si>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</si>
  <si>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</si>
  <si>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</si>
  <si>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</si>
  <si>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</si>
  <si>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</si>
  <si>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</si>
  <si>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</si>
  <si>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</si>
  <si>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</si>
  <si>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</si>
  <si>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</si>
  <si>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</si>
  <si>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</si>
  <si>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</si>
  <si>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</si>
  <si>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</si>
  <si>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</si>
  <si>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</si>
  <si>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</si>
  <si>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</si>
  <si>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</si>
  <si>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</si>
  <si>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</si>
  <si>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</si>
  <si>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</si>
  <si>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</si>
  <si>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</si>
  <si>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</si>
  <si>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</si>
  <si>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</si>
  <si>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</si>
  <si>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</si>
  <si>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</si>
  <si>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</si>
  <si>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</si>
  <si>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</si>
  <si>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</si>
  <si>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</si>
  <si>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</si>
  <si>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</si>
  <si>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</si>
  <si>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</si>
  <si>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</si>
  <si>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</si>
  <si>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</si>
  <si>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</si>
  <si>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</si>
  <si>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</si>
  <si>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</si>
  <si>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</si>
  <si>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</si>
  <si>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</si>
  <si>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</si>
  <si>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</si>
  <si>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</si>
  <si>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</si>
  <si>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</si>
  <si>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</si>
  <si>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</si>
  <si>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</si>
  <si>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</si>
  <si>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</si>
  <si>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</si>
  <si>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</si>
  <si>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</si>
  <si>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</si>
  <si>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</si>
  <si>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</si>
  <si>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</si>
  <si>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</si>
  <si>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</si>
  <si>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</si>
  <si>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</si>
  <si>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</si>
  <si>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</si>
  <si>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</si>
  <si>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</si>
  <si>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</si>
  <si>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</si>
  <si>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</si>
  <si>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</si>
  <si>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</si>
  <si>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</si>
  <si>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</si>
  <si>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</si>
  <si>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</si>
  <si>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</si>
  <si>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</si>
  <si>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</si>
  <si>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</si>
  <si>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</si>
  <si>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</si>
  <si>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</si>
  <si>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</si>
  <si>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</si>
  <si>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</si>
  <si>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</si>
  <si>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</si>
  <si>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</si>
  <si>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</si>
  <si>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</si>
  <si>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</si>
  <si>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</si>
  <si>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</si>
  <si>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</si>
  <si>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</si>
  <si>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</si>
  <si>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</si>
  <si>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</si>
  <si>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</si>
  <si>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</si>
  <si>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</si>
  <si>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</si>
  <si>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</si>
  <si>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</si>
  <si>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</si>
  <si>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</si>
  <si>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</si>
  <si>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</si>
  <si>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</si>
  <si>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</si>
  <si>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</si>
  <si>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</si>
  <si>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</si>
  <si>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</si>
  <si>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</si>
  <si>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</si>
  <si>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</si>
  <si>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</si>
  <si>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</si>
  <si>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</si>
  <si>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</si>
  <si>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</si>
  <si>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</si>
  <si>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</si>
  <si>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</si>
  <si>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</si>
  <si>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</si>
  <si>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</si>
  <si>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</si>
  <si>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</si>
  <si>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</si>
  <si>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</si>
  <si>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</si>
  <si>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</si>
  <si>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</si>
  <si>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</si>
  <si>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</si>
  <si>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</si>
  <si>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</si>
  <si>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</si>
  <si>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</si>
  <si>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</si>
  <si>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</si>
  <si>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</si>
  <si>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</si>
  <si>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</si>
  <si>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</si>
  <si>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</si>
  <si>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</si>
  <si>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</si>
  <si>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</si>
  <si>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</si>
  <si>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</si>
  <si>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</si>
  <si>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</si>
  <si>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</si>
  <si>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</si>
  <si>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</si>
  <si>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</si>
  <si>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</si>
  <si>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</si>
  <si>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</si>
  <si>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</si>
  <si>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</si>
  <si>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</si>
  <si>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</si>
  <si>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</si>
  <si>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</si>
  <si>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</si>
  <si>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</si>
  <si>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</si>
  <si>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</si>
  <si>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</si>
  <si>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</si>
  <si>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</si>
  <si>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</si>
  <si>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</si>
  <si>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</si>
  <si>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</si>
  <si>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</si>
  <si>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</si>
  <si>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</si>
  <si>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</si>
  <si>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</si>
  <si>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</si>
  <si>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</si>
  <si>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</si>
  <si>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</si>
  <si>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</si>
  <si>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</si>
  <si>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</si>
  <si>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</si>
  <si>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</si>
  <si>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</si>
  <si>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</si>
  <si>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</si>
  <si>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</si>
  <si>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</si>
  <si>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</si>
  <si>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</si>
  <si>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</si>
  <si>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</si>
  <si>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</si>
  <si>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</si>
  <si>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</si>
  <si>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</si>
  <si>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</si>
  <si>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</si>
  <si>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</si>
  <si>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</si>
  <si>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</si>
  <si>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</si>
  <si>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</si>
  <si>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</si>
  <si>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</si>
  <si>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</si>
  <si>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</si>
  <si>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</si>
  <si>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</si>
  <si>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</si>
  <si>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</si>
  <si>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</si>
  <si>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</si>
  <si>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</si>
  <si>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</si>
  <si>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</si>
  <si>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</si>
  <si>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</si>
  <si>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</si>
  <si>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</si>
  <si>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</si>
  <si>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</si>
  <si>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</si>
  <si>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</si>
  <si>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</si>
  <si>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</si>
  <si>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</si>
  <si>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</si>
  <si>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</si>
  <si>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</si>
  <si>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</si>
  <si>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</si>
  <si>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</si>
  <si>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</si>
  <si>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</si>
  <si>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</si>
  <si>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</si>
  <si>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</si>
  <si>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</si>
  <si>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</si>
  <si>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</si>
  <si>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</si>
  <si>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</si>
  <si>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</si>
  <si>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</si>
  <si>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</si>
  <si>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</si>
  <si>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</si>
  <si>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</si>
  <si>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</si>
  <si>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</si>
  <si>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</si>
  <si>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</si>
  <si>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</si>
  <si>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</si>
  <si>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</si>
  <si>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</si>
  <si>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</si>
  <si>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</si>
  <si>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</si>
  <si>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</si>
  <si>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</si>
  <si>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</si>
  <si>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</si>
  <si>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</si>
  <si>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</si>
  <si>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</si>
  <si>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</si>
  <si>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</si>
  <si>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</si>
  <si>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</si>
  <si>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</si>
  <si>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</si>
  <si>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</si>
  <si>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</si>
  <si>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</si>
  <si>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</si>
  <si>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</si>
  <si>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</si>
  <si>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</si>
  <si>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</si>
  <si>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</si>
  <si>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</si>
  <si>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</si>
  <si>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</si>
  <si>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</si>
  <si>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</si>
  <si>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</si>
  <si>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</si>
  <si>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</si>
  <si>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</si>
  <si>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</si>
  <si>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</si>
  <si>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</si>
  <si>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</si>
  <si>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</si>
  <si>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</si>
  <si>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</si>
  <si>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</si>
  <si>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</si>
  <si>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</si>
  <si>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</si>
  <si>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</si>
  <si>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</si>
  <si>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</si>
  <si>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</si>
  <si>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</si>
  <si>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</si>
  <si>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</si>
  <si>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</si>
  <si>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</si>
  <si>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</si>
  <si>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</si>
  <si>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</si>
  <si>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</si>
  <si>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</si>
  <si>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</si>
  <si>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</si>
  <si>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</si>
  <si>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</si>
  <si>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</si>
  <si>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</si>
  <si>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</si>
  <si>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</si>
  <si>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</si>
  <si>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</si>
  <si>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</si>
  <si>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</si>
  <si>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</si>
  <si>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</si>
  <si>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</si>
  <si>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</si>
  <si>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</si>
  <si>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</si>
  <si>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</si>
  <si>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</si>
  <si>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</si>
  <si>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</si>
  <si>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</si>
  <si>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</si>
  <si>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</si>
  <si>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</si>
  <si>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</si>
  <si>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</si>
  <si>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</si>
  <si>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</si>
  <si>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</si>
  <si>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</si>
  <si>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</si>
  <si>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</si>
  <si>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</si>
  <si>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</si>
  <si>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</si>
  <si>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</si>
  <si>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</si>
  <si>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</si>
  <si>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</si>
  <si>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</si>
  <si>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</si>
  <si>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</si>
  <si>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</si>
  <si>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</si>
  <si>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</si>
  <si>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</si>
  <si>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</si>
  <si>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</si>
  <si>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</si>
  <si>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</si>
  <si>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</si>
  <si>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</si>
  <si>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</si>
  <si>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</si>
  <si>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</si>
  <si>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</si>
  <si>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</si>
  <si>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</si>
  <si>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</si>
  <si>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</si>
  <si>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</si>
  <si>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</si>
  <si>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</si>
  <si>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</si>
  <si>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</si>
  <si>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</si>
  <si>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</si>
  <si>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</si>
  <si>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</si>
  <si>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</si>
  <si>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</si>
  <si>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</si>
  <si>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</si>
  <si>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</si>
  <si>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</si>
  <si>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</si>
  <si>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</si>
  <si>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</si>
  <si>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</si>
  <si>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</si>
  <si>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</si>
  <si>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</si>
  <si>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</si>
  <si>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</si>
  <si>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</si>
  <si>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</si>
  <si>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</si>
  <si>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</si>
  <si>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</si>
  <si>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</si>
  <si>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</si>
  <si>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</si>
  <si>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</si>
  <si>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</si>
  <si>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</si>
  <si>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</si>
  <si>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</si>
  <si>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</si>
  <si>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</si>
  <si>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</si>
  <si>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</si>
  <si>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</si>
  <si>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</si>
  <si>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</si>
  <si>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</si>
  <si>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</si>
  <si>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</si>
  <si>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</si>
  <si>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</si>
  <si>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</si>
  <si>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</si>
  <si>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</si>
  <si>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</si>
  <si>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</si>
  <si>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</si>
  <si>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</si>
  <si>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</si>
  <si>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</si>
  <si>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</si>
  <si>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</si>
  <si>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</si>
  <si>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</si>
  <si>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</si>
  <si>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</si>
  <si>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</si>
  <si>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</si>
  <si>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</si>
  <si>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</si>
  <si>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</si>
  <si>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</si>
  <si>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</si>
  <si>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</si>
  <si>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</si>
  <si>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</si>
  <si>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</si>
  <si>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</si>
  <si>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</si>
  <si>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</si>
  <si>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</si>
  <si>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</si>
  <si>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</si>
  <si>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</si>
  <si>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</si>
  <si>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</si>
  <si>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</si>
  <si>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</si>
  <si>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</si>
  <si>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</si>
  <si>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</si>
  <si>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</si>
  <si>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</si>
  <si>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</si>
  <si>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</si>
  <si>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</si>
  <si>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</si>
  <si>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</si>
  <si>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</si>
  <si>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</si>
  <si>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</si>
  <si>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</si>
  <si>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</si>
  <si>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</si>
  <si>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</si>
  <si>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</si>
  <si>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</si>
  <si>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</si>
  <si>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</si>
  <si>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</si>
  <si>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</si>
  <si>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</si>
  <si>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</si>
  <si>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</si>
  <si>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</si>
  <si>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</si>
  <si>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</si>
  <si>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</si>
  <si>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</si>
  <si>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</si>
  <si>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</si>
  <si>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</si>
  <si>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</si>
  <si>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</si>
  <si>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</si>
  <si>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</si>
  <si>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</si>
  <si>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</si>
  <si>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</si>
  <si>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</si>
  <si>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</si>
  <si>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</si>
  <si>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</si>
  <si>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</si>
  <si>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</si>
  <si>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</si>
  <si>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</si>
  <si>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</si>
  <si>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</si>
  <si>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</si>
  <si>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</si>
  <si>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</si>
  <si>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</si>
  <si>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</si>
  <si>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</si>
  <si>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</si>
  <si>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</si>
  <si>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</si>
  <si>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</si>
  <si>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</si>
  <si>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</si>
  <si>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</si>
  <si>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</si>
  <si>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</si>
  <si>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</si>
  <si>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</si>
  <si>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</si>
  <si>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</si>
  <si>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</si>
  <si>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</si>
  <si>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</si>
  <si>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</si>
  <si>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</si>
  <si>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</si>
  <si>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</si>
  <si>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</si>
  <si>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</si>
  <si>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</si>
  <si>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</si>
  <si>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</si>
  <si>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</si>
  <si>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</si>
  <si>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</si>
  <si>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</si>
  <si>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</si>
  <si>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</si>
  <si>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</si>
  <si>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</si>
  <si>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</si>
  <si>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</si>
  <si>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</si>
  <si>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</si>
  <si>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</si>
  <si>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</si>
  <si>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</si>
  <si>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</si>
  <si>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</si>
  <si>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</si>
  <si>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</si>
  <si>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</si>
  <si>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</si>
  <si>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</si>
  <si>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</si>
  <si>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</si>
  <si>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</si>
  <si>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</si>
  <si>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</si>
  <si>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</si>
  <si>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</si>
  <si>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</si>
  <si>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</si>
  <si>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</si>
  <si>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</si>
  <si>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</si>
  <si>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</si>
  <si>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</si>
  <si>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</si>
  <si>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</si>
  <si>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</si>
  <si>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</si>
  <si>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</si>
  <si>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</si>
  <si>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</si>
  <si>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</si>
  <si>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</si>
  <si>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</si>
  <si>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</si>
  <si>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</si>
  <si>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</si>
  <si>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</si>
  <si>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</si>
  <si>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</si>
  <si>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</si>
  <si>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</si>
  <si>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</si>
  <si>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</si>
  <si>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</si>
  <si>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</si>
  <si>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</si>
  <si>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</si>
  <si>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</si>
  <si>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</si>
  <si>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</si>
  <si>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</si>
  <si>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</si>
  <si>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</si>
  <si>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</si>
  <si>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</si>
  <si>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</si>
  <si>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</si>
  <si>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</si>
  <si>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</si>
  <si>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</si>
  <si>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</si>
  <si>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</si>
  <si>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</si>
  <si>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</si>
  <si>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</si>
  <si>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</si>
  <si>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</si>
  <si>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</si>
  <si>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</si>
  <si>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</si>
  <si>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</si>
  <si>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</si>
  <si>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</si>
  <si>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</si>
  <si>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</si>
  <si>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</si>
  <si>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</si>
  <si>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</si>
  <si>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</si>
  <si>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</si>
  <si>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</si>
  <si>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</si>
  <si>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</si>
  <si>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</si>
  <si>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</si>
  <si>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</si>
  <si>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</si>
  <si>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</si>
  <si>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</si>
  <si>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</si>
  <si>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</si>
  <si>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</si>
  <si>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</si>
  <si>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</si>
  <si>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</si>
  <si>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</si>
  <si>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</si>
  <si>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</si>
  <si>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</si>
  <si>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</si>
  <si>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</si>
  <si>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</si>
  <si>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</si>
  <si>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</si>
  <si>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</si>
  <si>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</si>
  <si>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</si>
  <si>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</si>
  <si>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</si>
  <si>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</si>
  <si>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</si>
  <si>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</si>
  <si>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</si>
  <si>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</si>
  <si>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</si>
  <si>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</si>
  <si>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</si>
  <si>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</si>
  <si>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</si>
  <si>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</si>
  <si>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</si>
  <si>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</si>
  <si>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</si>
  <si>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</si>
  <si>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</si>
  <si>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</si>
  <si>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</si>
  <si>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</si>
  <si>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</si>
  <si>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</si>
  <si>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</si>
  <si>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</si>
  <si>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</si>
  <si>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</si>
  <si>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</si>
  <si>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</si>
  <si>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</si>
  <si>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</si>
  <si>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</si>
  <si>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</si>
  <si>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</si>
  <si>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</si>
  <si>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</si>
  <si>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</si>
  <si>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</si>
  <si>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</si>
  <si>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</si>
  <si>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</si>
  <si>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</si>
  <si>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</si>
  <si>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</si>
  <si>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</si>
  <si>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</si>
  <si>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</si>
  <si>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</si>
  <si>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</si>
  <si>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</si>
  <si>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</si>
  <si>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</si>
  <si>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</si>
  <si>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</si>
  <si>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</si>
  <si>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</si>
  <si>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</si>
  <si>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</si>
  <si>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</si>
  <si>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</si>
  <si>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</si>
  <si>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</si>
  <si>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</si>
  <si>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</si>
  <si>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</si>
  <si>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</si>
  <si>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</si>
  <si>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</si>
  <si>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</si>
  <si>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</si>
  <si>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</si>
  <si>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</si>
  <si>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</si>
  <si>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</si>
  <si>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</si>
  <si>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</si>
  <si>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</si>
  <si>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</si>
  <si>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</si>
  <si>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</si>
  <si>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</si>
  <si>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</si>
  <si>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</si>
  <si>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</si>
  <si>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</si>
  <si>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</si>
  <si>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</si>
  <si>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</si>
  <si>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</si>
  <si>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</si>
  <si>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</si>
  <si>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</si>
  <si>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</si>
  <si>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</si>
  <si>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</si>
  <si>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</si>
  <si>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</si>
  <si>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</si>
  <si>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</si>
  <si>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</si>
  <si>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</si>
  <si>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</si>
  <si>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</si>
  <si>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</si>
  <si>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</si>
  <si>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</si>
  <si>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</si>
  <si>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</si>
  <si>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</si>
  <si>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</si>
  <si>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</si>
  <si>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</si>
  <si>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</si>
  <si>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</si>
  <si>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</si>
  <si>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</si>
  <si>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</si>
  <si>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</si>
  <si>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</si>
  <si>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</si>
  <si>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</si>
  <si>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</si>
  <si>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</si>
  <si>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</si>
  <si>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</si>
  <si>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</si>
  <si>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</si>
  <si>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</si>
  <si>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</si>
  <si>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</si>
  <si>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</si>
  <si>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</si>
  <si>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</si>
  <si>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</si>
  <si>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</si>
  <si>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</si>
  <si>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</si>
  <si>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</si>
  <si>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</si>
  <si>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</si>
  <si>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</si>
  <si>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</si>
  <si>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</si>
  <si>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</si>
  <si>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</si>
  <si>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</si>
  <si>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</si>
  <si>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</si>
  <si>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</si>
  <si>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</si>
  <si>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</si>
  <si>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</si>
  <si>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</si>
  <si>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</si>
  <si>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</si>
  <si>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</si>
  <si>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</si>
  <si>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</si>
  <si>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</si>
  <si>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</si>
  <si>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</si>
  <si>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</si>
  <si>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</si>
  <si>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</si>
  <si>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</si>
  <si>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</si>
  <si>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</si>
  <si>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</si>
  <si>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</si>
  <si>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</si>
  <si>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</si>
  <si>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</si>
  <si>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</si>
  <si>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</si>
  <si>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</si>
  <si>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</si>
  <si>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</si>
  <si>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</si>
  <si>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</si>
  <si>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</si>
  <si>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</si>
  <si>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</si>
  <si>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</si>
  <si>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</si>
  <si>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</si>
  <si>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</si>
  <si>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</si>
  <si>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</si>
  <si>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</si>
  <si>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</si>
  <si>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</si>
  <si>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</si>
  <si>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</si>
  <si>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</si>
  <si>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</si>
  <si>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</si>
  <si>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</si>
  <si>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</si>
  <si>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</si>
  <si>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</si>
  <si>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</si>
  <si>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</si>
  <si>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</si>
  <si>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</si>
  <si>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</si>
  <si>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</si>
  <si>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</si>
  <si>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</si>
  <si>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</si>
  <si>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</si>
  <si>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</si>
  <si>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</si>
  <si>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</si>
  <si>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</si>
  <si>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</si>
  <si>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</si>
  <si>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</si>
  <si>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</si>
  <si>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</si>
  <si>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</si>
  <si>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</si>
  <si>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</si>
  <si>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</si>
  <si>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</si>
  <si>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</si>
  <si>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</si>
  <si>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</si>
  <si>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</si>
  <si>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</si>
  <si>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</si>
  <si>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</si>
  <si>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</si>
  <si>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</si>
  <si>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</si>
  <si>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</si>
  <si>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</si>
  <si>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</si>
  <si>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</si>
  <si>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</si>
  <si>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</si>
  <si>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</si>
  <si>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</si>
  <si>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</si>
  <si>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</si>
  <si>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</si>
  <si>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</si>
  <si>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</si>
  <si>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</si>
  <si>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</si>
  <si>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</si>
  <si>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</si>
  <si>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</si>
  <si>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</si>
  <si>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</si>
  <si>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</si>
  <si>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</si>
  <si>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</si>
  <si>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</si>
  <si>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</si>
  <si>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</si>
  <si>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</si>
  <si>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</si>
  <si>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</si>
  <si>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</si>
  <si>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</si>
  <si>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</si>
  <si>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</si>
  <si>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</si>
  <si>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</si>
  <si>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</si>
  <si>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</si>
  <si>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</si>
  <si>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</si>
  <si>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</si>
  <si>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</si>
  <si>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</si>
  <si>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</si>
  <si>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</si>
  <si>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</si>
  <si>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</si>
  <si>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</si>
  <si>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</si>
  <si>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</si>
  <si>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</si>
  <si>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</si>
  <si>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</si>
  <si>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</si>
  <si>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</si>
  <si>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</si>
  <si>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</si>
  <si>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</si>
  <si>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</si>
  <si>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</si>
  <si>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</si>
  <si>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</si>
  <si>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</si>
  <si>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</si>
  <si>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</si>
  <si>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</si>
  <si>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</si>
  <si>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</si>
  <si>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</si>
  <si>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</si>
  <si>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</si>
  <si>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</si>
  <si>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</si>
  <si>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</si>
  <si>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</si>
  <si>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</si>
  <si>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</si>
  <si>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</si>
  <si>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</si>
  <si>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</si>
  <si>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</si>
  <si>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</si>
  <si>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</si>
  <si>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</si>
  <si>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</si>
  <si>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</si>
  <si>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</si>
  <si>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</si>
  <si>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</si>
  <si>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</si>
  <si>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</si>
  <si>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</si>
  <si>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</si>
  <si>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</si>
  <si>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</si>
  <si>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</si>
  <si>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</si>
  <si>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</si>
  <si>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</si>
  <si>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</si>
  <si>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</si>
  <si>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</si>
  <si>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</si>
  <si>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</si>
  <si>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</si>
  <si>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</si>
  <si>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</si>
  <si>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</si>
  <si>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</si>
  <si>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</si>
  <si>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</si>
  <si>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</si>
  <si>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</si>
  <si>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</si>
  <si>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</si>
  <si>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</si>
  <si>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</si>
  <si>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</si>
  <si>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</si>
  <si>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</si>
  <si>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</si>
  <si>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</si>
  <si>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</si>
  <si>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</si>
  <si>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</si>
  <si>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</si>
  <si>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</si>
  <si>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</si>
  <si>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</si>
  <si>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</si>
  <si>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</si>
  <si>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</si>
  <si>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</si>
  <si>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</si>
  <si>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</si>
  <si>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</si>
  <si>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</si>
  <si>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</si>
  <si>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</si>
  <si>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</si>
  <si>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</si>
  <si>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</si>
  <si>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</si>
  <si>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</si>
  <si>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</si>
  <si>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</si>
  <si>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</si>
  <si>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</si>
  <si>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</si>
  <si>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</si>
  <si>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</si>
  <si>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</si>
  <si>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</si>
  <si>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</si>
  <si>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</si>
  <si>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</si>
  <si>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</si>
  <si>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</si>
  <si>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</si>
  <si>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</si>
  <si>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</si>
  <si>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</si>
  <si>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</si>
  <si>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</si>
  <si>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</si>
  <si>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</si>
  <si>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</si>
  <si>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</si>
  <si>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</si>
  <si>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</si>
  <si>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</si>
  <si>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</si>
  <si>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</si>
  <si>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</si>
  <si>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</si>
  <si>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</si>
  <si>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</si>
  <si>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</si>
  <si>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</si>
  <si>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</si>
  <si>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</si>
  <si>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</si>
  <si>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</si>
  <si>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</si>
  <si>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</si>
  <si>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</si>
  <si>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</si>
  <si>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</si>
  <si>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</si>
  <si>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</si>
  <si>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</si>
  <si>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</si>
  <si>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</si>
  <si>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</si>
  <si>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</si>
  <si>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</si>
  <si>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</si>
  <si>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</si>
  <si>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</si>
  <si>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</si>
  <si>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</si>
  <si>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</si>
  <si>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</si>
  <si>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</si>
  <si>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</si>
  <si>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</si>
  <si>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</si>
  <si>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</si>
  <si>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</si>
  <si>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</si>
  <si>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</si>
  <si>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</si>
  <si>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</si>
  <si>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</si>
  <si>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</si>
  <si>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</si>
  <si>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</si>
  <si>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</si>
  <si>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</si>
  <si>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</si>
  <si>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</si>
  <si>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</si>
  <si>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</si>
  <si>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</si>
  <si>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</si>
  <si>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</si>
  <si>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</si>
  <si>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</si>
  <si>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</si>
  <si>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</si>
  <si>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</si>
  <si>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</si>
  <si>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</si>
  <si>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</si>
  <si>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</si>
  <si>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</si>
  <si>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</si>
  <si>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</si>
  <si>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</si>
  <si>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</si>
  <si>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</si>
  <si>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</si>
  <si>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</si>
  <si>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</si>
  <si>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</si>
  <si>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</si>
  <si>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</si>
  <si>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</si>
  <si>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</si>
  <si>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</si>
  <si>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</si>
  <si>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</si>
  <si>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</si>
  <si>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</si>
  <si>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</si>
  <si>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</si>
  <si>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</si>
  <si>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</si>
  <si>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</si>
  <si>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</si>
  <si>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</si>
  <si>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</si>
  <si>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</si>
  <si>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</si>
  <si>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</si>
  <si>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</si>
  <si>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</si>
  <si>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</si>
  <si>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</si>
  <si>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</si>
  <si>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</si>
  <si>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</si>
  <si>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</si>
  <si>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</si>
  <si>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</si>
  <si>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</si>
  <si>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</si>
  <si>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</si>
  <si>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</si>
  <si>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</si>
  <si>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</si>
  <si>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</si>
  <si>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</si>
  <si>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</si>
  <si>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</si>
  <si>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</si>
  <si>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</si>
  <si>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</si>
  <si>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</si>
  <si>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</si>
  <si>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</si>
  <si>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</si>
  <si>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</si>
  <si>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</si>
  <si>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</si>
  <si>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</si>
  <si>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</si>
  <si>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</si>
  <si>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</si>
  <si>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</si>
  <si>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</si>
  <si>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</si>
  <si>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</si>
  <si>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</si>
  <si>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</si>
  <si>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</si>
  <si>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</si>
  <si>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</si>
  <si>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</si>
  <si>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</si>
  <si>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</si>
  <si>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</si>
  <si>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</si>
  <si>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</si>
  <si>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</si>
  <si>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</si>
  <si>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</si>
  <si>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</si>
  <si>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</si>
  <si>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</si>
  <si>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</si>
  <si>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</si>
  <si>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</si>
  <si>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</si>
  <si>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</si>
  <si>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</si>
  <si>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</si>
  <si>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</si>
  <si>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</si>
  <si>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</si>
  <si>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</si>
  <si>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</si>
  <si>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</si>
  <si>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</si>
  <si>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</si>
  <si>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</si>
  <si>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</si>
  <si>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</si>
  <si>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</si>
  <si>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</si>
  <si>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</si>
  <si>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</si>
  <si>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</si>
  <si>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</si>
  <si>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</si>
  <si>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</si>
  <si>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</si>
  <si>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</si>
  <si>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</si>
  <si>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</si>
  <si>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</si>
  <si>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</si>
  <si>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</si>
  <si>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</si>
  <si>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</si>
  <si>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</si>
  <si>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</si>
  <si>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</si>
  <si>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</si>
  <si>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</si>
  <si>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</si>
  <si>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</si>
  <si>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</si>
  <si>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</si>
  <si>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</si>
  <si>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</si>
  <si>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</si>
  <si>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</si>
  <si>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</si>
  <si>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</si>
  <si>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</si>
  <si>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</si>
  <si>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</si>
  <si>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</si>
  <si>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</si>
  <si>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</si>
  <si>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</si>
  <si>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</si>
  <si>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</si>
  <si>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</si>
  <si>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</si>
  <si>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</si>
  <si>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</si>
  <si>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</si>
  <si>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</si>
  <si>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</si>
  <si>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</si>
  <si>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</si>
  <si>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</si>
  <si>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</si>
  <si>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</si>
  <si>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</si>
  <si>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</si>
  <si>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</si>
  <si>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</si>
  <si>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</si>
  <si>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</si>
  <si>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</si>
  <si>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</si>
  <si>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</si>
  <si>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</si>
  <si>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</si>
  <si>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</si>
  <si>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</si>
  <si>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</si>
  <si>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</si>
  <si>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</si>
  <si>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</si>
  <si>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</si>
  <si>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</si>
  <si>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</si>
  <si>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</si>
  <si>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</si>
  <si>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</si>
  <si>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</si>
  <si>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</si>
  <si>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</si>
  <si>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</si>
  <si>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</si>
  <si>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</si>
  <si>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</si>
  <si>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</si>
  <si>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</si>
  <si>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</si>
  <si>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</si>
  <si>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</si>
  <si>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</si>
  <si>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</si>
  <si>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</si>
  <si>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</si>
  <si>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</si>
  <si>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</si>
  <si>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</si>
  <si>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</si>
  <si>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</si>
  <si>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</si>
  <si>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</si>
  <si>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</si>
  <si>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</si>
  <si>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</si>
  <si>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</si>
  <si>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</si>
  <si>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</si>
  <si>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</si>
  <si>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</si>
  <si>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</si>
  <si>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</si>
  <si>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</si>
  <si>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</si>
  <si>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</si>
  <si>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</si>
  <si>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</si>
  <si>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</si>
  <si>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</si>
  <si>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</si>
  <si>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</si>
  <si>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</si>
  <si>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</si>
  <si>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</si>
  <si>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</si>
  <si>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</si>
  <si>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</si>
  <si>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</si>
  <si>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</si>
  <si>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</si>
  <si>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</si>
  <si>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</si>
  <si>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</si>
  <si>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</si>
  <si>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</si>
  <si>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</si>
  <si>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</si>
  <si>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</si>
  <si>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</si>
  <si>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</si>
  <si>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</si>
  <si>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</si>
  <si>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</si>
  <si>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</si>
  <si>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</si>
  <si>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</si>
  <si>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</si>
  <si>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</si>
  <si>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</si>
  <si>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</si>
  <si>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</si>
  <si>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</si>
  <si>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</si>
  <si>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</si>
  <si>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</si>
  <si>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</si>
  <si>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</si>
  <si>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</si>
  <si>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</si>
  <si>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</si>
  <si>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</si>
  <si>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</si>
  <si>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</si>
  <si>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</si>
  <si>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</si>
  <si>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</si>
  <si>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</si>
  <si>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</si>
  <si>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</si>
  <si>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</si>
  <si>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</si>
  <si>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</si>
  <si>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</si>
  <si>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</si>
  <si>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</si>
  <si>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</si>
  <si>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</si>
  <si>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</si>
  <si>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</si>
  <si>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</si>
  <si>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</si>
  <si>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</si>
  <si>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</si>
  <si>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</si>
  <si>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</si>
  <si>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</si>
  <si>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</si>
  <si>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</si>
  <si>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</si>
  <si>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</si>
  <si>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</si>
  <si>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</si>
  <si>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</si>
  <si>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</si>
  <si>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</si>
  <si>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</si>
  <si>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</si>
  <si>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</si>
  <si>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</si>
  <si>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</si>
  <si>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</si>
  <si>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</si>
  <si>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</si>
  <si>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</si>
  <si>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</si>
  <si>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</si>
  <si>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</si>
  <si>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</si>
  <si>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</si>
  <si>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</si>
  <si>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</si>
  <si>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</si>
  <si>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</si>
  <si>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</si>
  <si>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</si>
  <si>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</si>
  <si>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</si>
  <si>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</si>
  <si>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</si>
  <si>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</si>
  <si>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</si>
  <si>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</si>
  <si>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</si>
  <si>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</si>
  <si>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</si>
  <si>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</si>
  <si>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</si>
  <si>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</si>
  <si>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</si>
  <si>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</si>
  <si>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</si>
  <si>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</si>
  <si>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</si>
  <si>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</si>
  <si>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</si>
  <si>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</si>
  <si>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</si>
  <si>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</si>
  <si>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</si>
  <si>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</si>
  <si>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</si>
  <si>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</si>
  <si>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</si>
  <si>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</si>
  <si>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</si>
  <si>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</si>
  <si>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</si>
  <si>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</si>
  <si>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</si>
  <si>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</si>
  <si>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</si>
  <si>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</si>
  <si>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</si>
  <si>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</si>
  <si>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</si>
  <si>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</si>
  <si>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</si>
  <si>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</si>
  <si>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</si>
  <si>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</si>
  <si>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</si>
  <si>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</si>
  <si>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</si>
  <si>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</si>
  <si>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</si>
  <si>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</si>
  <si>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</si>
  <si>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</si>
  <si>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</si>
  <si>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</si>
  <si>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</si>
  <si>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</si>
  <si>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</si>
  <si>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</si>
  <si>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</si>
  <si>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</si>
  <si>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</si>
  <si>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</si>
  <si>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</si>
  <si>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</si>
  <si>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</si>
  <si>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</si>
  <si>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</si>
  <si>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</si>
  <si>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</si>
  <si>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</si>
  <si>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</si>
  <si>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</si>
  <si>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</si>
  <si>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</si>
  <si>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</si>
  <si>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</si>
  <si>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</si>
  <si>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</si>
  <si>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</si>
  <si>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</si>
  <si>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</si>
  <si>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</si>
  <si>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</si>
  <si>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</si>
  <si>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</si>
  <si>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</si>
  <si>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</si>
  <si>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</si>
  <si>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</si>
  <si>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</si>
  <si>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</si>
  <si>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</si>
  <si>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</si>
  <si>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</si>
  <si>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</si>
  <si>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</si>
  <si>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</si>
  <si>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</si>
  <si>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</si>
  <si>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</si>
  <si>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</si>
  <si>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</si>
  <si>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</si>
  <si>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</si>
  <si>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</si>
  <si>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</si>
  <si>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</si>
  <si>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</si>
  <si>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</si>
  <si>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</si>
  <si>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</si>
  <si>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</si>
  <si>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</si>
  <si>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</si>
  <si>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</si>
  <si>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</si>
  <si>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</si>
  <si>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</si>
  <si>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</si>
  <si>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</si>
  <si>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</si>
  <si>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</si>
  <si>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</si>
  <si>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</si>
  <si>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</si>
  <si>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</si>
  <si>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</si>
  <si>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</si>
  <si>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</si>
  <si>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</si>
  <si>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</si>
  <si>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</si>
  <si>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</si>
  <si>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</si>
  <si>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</si>
  <si>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</si>
  <si>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</si>
  <si>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</si>
  <si>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</si>
  <si>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</si>
  <si>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</si>
  <si>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</si>
  <si>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</si>
  <si>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</si>
  <si>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</si>
  <si>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</si>
  <si>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</si>
  <si>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</si>
  <si>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</si>
  <si>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</si>
  <si>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</si>
  <si>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</si>
  <si>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</si>
  <si>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</si>
  <si>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</si>
  <si>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</si>
  <si>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</si>
  <si>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</si>
  <si>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</si>
  <si>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</si>
  <si>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</si>
  <si>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</si>
  <si>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</si>
  <si>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</si>
  <si>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</si>
  <si>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</si>
  <si>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</si>
  <si>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</si>
  <si>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</si>
  <si>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</si>
  <si>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</si>
  <si>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</si>
  <si>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</si>
  <si>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</si>
  <si>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</si>
  <si>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</si>
  <si>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</si>
  <si>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</si>
  <si>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</si>
  <si>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</si>
  <si>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</si>
  <si>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</si>
  <si>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</si>
  <si>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</si>
  <si>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</si>
  <si>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</si>
  <si>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</si>
  <si>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</si>
  <si>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</si>
  <si>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</si>
  <si>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</si>
  <si>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</si>
  <si>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</si>
  <si>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</si>
  <si>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</si>
  <si>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</si>
  <si>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</si>
  <si>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</si>
  <si>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</si>
  <si>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</si>
  <si>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</si>
  <si>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</si>
  <si>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</si>
  <si>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</si>
  <si>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</si>
  <si>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</si>
  <si>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</si>
  <si>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</si>
  <si>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</si>
  <si>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</si>
  <si>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</si>
  <si>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</si>
  <si>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</si>
  <si>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</si>
  <si>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</si>
  <si>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</si>
  <si>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</si>
  <si>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</si>
  <si>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</si>
  <si>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</si>
  <si>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</si>
  <si>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</si>
  <si>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</si>
  <si>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</si>
  <si>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</si>
  <si>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</si>
  <si>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</si>
  <si>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</si>
  <si>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</si>
  <si>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</si>
  <si>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</si>
  <si>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</si>
  <si>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</si>
  <si>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</si>
  <si>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</si>
  <si>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</si>
  <si>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</si>
  <si>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</si>
  <si>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</si>
  <si>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</si>
  <si>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</si>
  <si>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</si>
  <si>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</si>
  <si>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</si>
  <si>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</si>
  <si>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</si>
  <si>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</si>
  <si>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</si>
  <si>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</si>
  <si>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</si>
  <si>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</si>
  <si>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</si>
  <si>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</si>
  <si>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</si>
  <si>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</si>
  <si>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</si>
  <si>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</si>
  <si>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</si>
  <si>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</si>
  <si>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</si>
  <si>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</si>
  <si>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</si>
  <si>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</si>
  <si>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</si>
  <si>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</si>
  <si>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</si>
  <si>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</si>
  <si>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</si>
  <si>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</si>
  <si>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</si>
  <si>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</si>
  <si>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</si>
  <si>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</si>
  <si>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</si>
  <si>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</si>
  <si>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</si>
  <si>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</si>
  <si>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</si>
  <si>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</si>
  <si>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</si>
  <si>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</si>
  <si>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</si>
  <si>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</si>
  <si>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</si>
  <si>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</si>
  <si>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</si>
  <si>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</si>
  <si>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</si>
  <si>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</si>
  <si>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</si>
  <si>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</si>
  <si>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</si>
  <si>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</si>
  <si>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</si>
  <si>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</si>
  <si>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</si>
  <si>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</si>
  <si>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</si>
  <si>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</si>
  <si>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</si>
  <si>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</si>
  <si>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</si>
  <si>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</si>
  <si>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</si>
  <si>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</si>
  <si>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</si>
  <si>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</si>
  <si>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</si>
  <si>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</si>
  <si>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</si>
  <si>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</si>
  <si>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</si>
  <si>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</si>
  <si>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</si>
  <si>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</si>
  <si>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</si>
  <si>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</si>
  <si>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</si>
  <si>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</si>
  <si>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</si>
  <si>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</si>
  <si>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</si>
  <si>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</si>
  <si>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</si>
  <si>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</si>
  <si>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</si>
  <si>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</si>
  <si>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</si>
  <si>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</si>
  <si>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</si>
  <si>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</si>
  <si>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</si>
  <si>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</si>
  <si>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</si>
  <si>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</si>
  <si>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</si>
  <si>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</si>
  <si>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</si>
  <si>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</si>
  <si>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</si>
  <si>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</si>
  <si>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</si>
  <si>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</si>
  <si>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</si>
  <si>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</si>
  <si>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</si>
  <si>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</si>
  <si>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</si>
  <si>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</si>
  <si>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</si>
  <si>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</si>
  <si>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</si>
  <si>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</si>
  <si>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</si>
  <si>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</si>
  <si>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</si>
  <si>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</si>
  <si>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</si>
  <si>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</si>
  <si>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</si>
  <si>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</si>
  <si>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</si>
  <si>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</si>
  <si>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</si>
  <si>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</si>
  <si>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</si>
  <si>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</si>
  <si>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</si>
  <si>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</si>
  <si>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</si>
  <si>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</si>
  <si>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</si>
  <si>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</si>
  <si>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</si>
  <si>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</si>
  <si>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</si>
  <si>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</si>
  <si>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</si>
  <si>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</si>
  <si>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</si>
  <si>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</si>
  <si>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</si>
  <si>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</si>
  <si>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</si>
  <si>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</si>
  <si>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</si>
  <si>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</si>
  <si>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</si>
  <si>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</si>
  <si>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</si>
  <si>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</si>
  <si>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</si>
  <si>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</si>
  <si>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</si>
  <si>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</si>
  <si>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</si>
  <si>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</si>
  <si>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</si>
  <si>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</si>
  <si>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</si>
  <si>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</si>
  <si>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</si>
  <si>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</si>
  <si>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</si>
  <si>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</si>
  <si>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</si>
  <si>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</si>
  <si>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</si>
  <si>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</si>
  <si>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</si>
  <si>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</si>
  <si>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</si>
  <si>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</si>
  <si>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</si>
  <si>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</si>
  <si>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</si>
  <si>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</si>
  <si>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</si>
  <si>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</si>
  <si>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</si>
  <si>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</si>
  <si>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</si>
  <si>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</si>
  <si>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</si>
  <si>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</si>
  <si>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</si>
  <si>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</si>
  <si>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</si>
  <si>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</si>
  <si>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</si>
  <si>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</si>
  <si>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</si>
  <si>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</si>
  <si>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</si>
  <si>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</si>
  <si>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</si>
  <si>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</si>
  <si>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</si>
  <si>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</si>
  <si>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</si>
  <si>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</si>
  <si>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</si>
  <si>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</si>
  <si>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</si>
  <si>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</si>
  <si>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</si>
  <si>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</si>
  <si>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</si>
  <si>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</si>
  <si>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</si>
  <si>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</si>
  <si>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</si>
  <si>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</si>
  <si>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</si>
  <si>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</si>
  <si>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</si>
  <si>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</si>
  <si>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</si>
  <si>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</si>
  <si>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</si>
  <si>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</si>
  <si>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</si>
  <si>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</si>
  <si>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</si>
  <si>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</si>
  <si>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</si>
  <si>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</si>
  <si>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</si>
  <si>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</si>
  <si>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</si>
  <si>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</si>
  <si>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</si>
  <si>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</si>
  <si>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</si>
  <si>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</si>
  <si>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</si>
  <si>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</si>
  <si>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</si>
  <si>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</si>
  <si>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</si>
  <si>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</si>
  <si>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</si>
  <si>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</si>
  <si>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</si>
  <si>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</si>
  <si>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</si>
  <si>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</si>
  <si>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</si>
  <si>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</si>
  <si>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</si>
  <si>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</si>
  <si>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</si>
  <si>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</si>
  <si>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</si>
  <si>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</si>
  <si>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</si>
  <si>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</si>
  <si>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</si>
  <si>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</si>
  <si>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</si>
  <si>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</si>
  <si>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</si>
  <si>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</si>
  <si>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</si>
  <si>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</si>
  <si>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</si>
  <si>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</si>
  <si>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</si>
  <si>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</si>
  <si>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</si>
  <si>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</si>
  <si>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</si>
  <si>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</si>
  <si>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</si>
  <si>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</si>
  <si>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</si>
  <si>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</si>
  <si>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</si>
  <si>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</si>
  <si>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</si>
  <si>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</si>
  <si>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</si>
  <si>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</si>
  <si>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</si>
  <si>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</si>
  <si>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</si>
  <si>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</si>
  <si>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</si>
  <si>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</si>
  <si>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</si>
  <si>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</si>
  <si>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</si>
  <si>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</si>
  <si>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</si>
  <si>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</si>
  <si>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</si>
  <si>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</si>
  <si>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</si>
  <si>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</si>
  <si>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</si>
  <si>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</si>
  <si>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</si>
  <si>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</si>
  <si>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</si>
  <si>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</si>
  <si>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</si>
  <si>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</si>
  <si>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</si>
  <si>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</si>
  <si>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</si>
  <si>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</si>
  <si>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</si>
  <si>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</si>
  <si>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</si>
  <si>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</si>
  <si>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</si>
  <si>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</si>
  <si>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</si>
  <si>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</si>
  <si>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</si>
  <si>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</si>
  <si>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</si>
  <si>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</si>
  <si>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</si>
  <si>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</si>
  <si>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</si>
  <si>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</si>
  <si>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</si>
  <si>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</si>
  <si>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</si>
  <si>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</si>
  <si>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</si>
  <si>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</si>
  <si>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</si>
  <si>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</si>
  <si>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</si>
  <si>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</si>
  <si>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</si>
  <si>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</si>
  <si>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</si>
  <si>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</si>
  <si>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</si>
  <si>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</si>
  <si>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</si>
  <si>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</si>
  <si>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</si>
  <si>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</si>
  <si>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</si>
  <si>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</si>
  <si>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</si>
  <si>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</si>
  <si>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</si>
  <si>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</si>
  <si>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</si>
  <si>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</si>
  <si>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</si>
  <si>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</si>
  <si>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</si>
  <si>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</si>
  <si>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</si>
  <si>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</si>
  <si>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</si>
  <si>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</si>
  <si>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</si>
  <si>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</si>
  <si>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</si>
  <si>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</si>
  <si>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</si>
  <si>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</si>
  <si>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</si>
  <si>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</si>
  <si>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</si>
  <si>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</si>
  <si>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</si>
  <si>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</si>
  <si>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</si>
  <si>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</si>
  <si>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</si>
  <si>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</si>
  <si>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</si>
  <si>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</si>
  <si>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</si>
  <si>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</si>
  <si>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</si>
  <si>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</si>
  <si>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</si>
  <si>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</si>
  <si>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</si>
  <si>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</si>
  <si>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</si>
  <si>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</si>
  <si>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</si>
  <si>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</si>
  <si>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</si>
  <si>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</si>
  <si>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</si>
  <si>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</si>
  <si>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</si>
  <si>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</si>
  <si>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</si>
  <si>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</si>
  <si>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</si>
  <si>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</si>
  <si>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</si>
  <si>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</si>
  <si>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</si>
  <si>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</si>
  <si>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</si>
  <si>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</si>
  <si>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</si>
  <si>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</si>
  <si>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</si>
  <si>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</si>
  <si>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</si>
  <si>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</si>
  <si>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</si>
  <si>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</si>
  <si>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</si>
  <si>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</si>
  <si>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</si>
  <si>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</si>
  <si>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</si>
  <si>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</si>
  <si>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</si>
  <si>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</si>
  <si>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</si>
  <si>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</si>
  <si>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</si>
  <si>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</si>
  <si>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</si>
  <si>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</si>
  <si>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</si>
  <si>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</si>
  <si>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</si>
  <si>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</si>
  <si>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</si>
  <si>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</si>
  <si>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</si>
  <si>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</si>
  <si>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</si>
  <si>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</si>
  <si>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</si>
  <si>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</si>
  <si>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</si>
  <si>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</si>
  <si>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</si>
  <si>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</si>
  <si>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</si>
  <si>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</si>
  <si>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</si>
  <si>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</si>
  <si>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</si>
  <si>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</si>
  <si>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</si>
  <si>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</si>
  <si>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</si>
  <si>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</si>
  <si>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</si>
  <si>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</si>
  <si>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</si>
  <si>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</si>
  <si>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</si>
  <si>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</si>
  <si>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</si>
  <si>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</si>
  <si>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</si>
  <si>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</si>
  <si>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</si>
  <si>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</si>
  <si>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</si>
  <si>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</si>
  <si>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</si>
  <si>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</si>
  <si>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</si>
  <si>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</si>
  <si>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</si>
  <si>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</si>
  <si>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</si>
  <si>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</si>
  <si>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</si>
  <si>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</si>
  <si>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</si>
  <si>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</si>
  <si>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</si>
  <si>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</si>
  <si>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</si>
  <si>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</si>
  <si>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</si>
  <si>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</si>
  <si>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</si>
  <si>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</si>
  <si>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</si>
  <si>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</si>
  <si>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</si>
  <si>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</si>
  <si>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</si>
  <si>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</si>
  <si>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</si>
  <si>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</si>
  <si>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</si>
  <si>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</si>
  <si>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</si>
  <si>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</si>
  <si>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</si>
  <si>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</si>
  <si>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</si>
  <si>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</si>
  <si>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</si>
  <si>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</si>
  <si>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</si>
  <si>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</si>
  <si>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</si>
  <si>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</si>
  <si>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</si>
  <si>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</si>
  <si>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</si>
  <si>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</si>
  <si>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</si>
  <si>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</si>
  <si>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</si>
  <si>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</si>
  <si>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</si>
  <si>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</si>
  <si>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</si>
  <si>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</si>
  <si>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</si>
  <si>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</si>
  <si>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</si>
  <si>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</si>
  <si>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</si>
  <si>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</si>
  <si>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</si>
  <si>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</si>
  <si>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</si>
  <si>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</si>
  <si>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</si>
  <si>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</si>
  <si>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</si>
  <si>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</si>
  <si>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</si>
  <si>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</si>
  <si>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</si>
  <si>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</si>
  <si>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</si>
  <si>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</si>
  <si>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</si>
  <si>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</si>
  <si>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</si>
  <si>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</si>
  <si>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</si>
  <si>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</si>
  <si>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</si>
  <si>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</si>
  <si>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</si>
  <si>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</si>
  <si>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</si>
  <si>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</si>
  <si>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</si>
  <si>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</si>
  <si>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</si>
  <si>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</si>
  <si>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</si>
  <si>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</si>
  <si>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</si>
  <si>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</si>
  <si>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</si>
  <si>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</si>
  <si>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</si>
  <si>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</si>
  <si>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</si>
  <si>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</si>
  <si>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</si>
  <si>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</si>
  <si>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</si>
  <si>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</si>
  <si>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</si>
  <si>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</si>
  <si>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</si>
  <si>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</si>
  <si>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</si>
  <si>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</si>
  <si>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</si>
  <si>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</si>
  <si>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</si>
  <si>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</si>
  <si>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</si>
  <si>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</si>
  <si>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</si>
  <si>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</si>
  <si>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</si>
  <si>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</si>
  <si>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</si>
  <si>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</si>
  <si>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</si>
  <si>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</si>
  <si>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</si>
  <si>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</si>
  <si>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</si>
  <si>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</si>
  <si>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</si>
  <si>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</si>
  <si>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</si>
  <si>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</si>
  <si>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</si>
  <si>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</si>
  <si>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</si>
  <si>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</si>
  <si>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</si>
  <si>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</si>
  <si>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</si>
  <si>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</si>
  <si>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</si>
  <si>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</si>
  <si>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</si>
  <si>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</si>
  <si>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</si>
  <si>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</si>
  <si>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</si>
  <si>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</si>
  <si>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</si>
  <si>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</si>
  <si>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</si>
  <si>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</si>
  <si>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</si>
  <si>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</si>
  <si>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</si>
  <si>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</si>
  <si>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</si>
  <si>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</si>
  <si>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</si>
  <si>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</si>
  <si>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</si>
  <si>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</si>
  <si>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</si>
  <si>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</si>
  <si>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</si>
  <si>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</si>
  <si>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</si>
  <si>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</si>
  <si>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</si>
  <si>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</si>
  <si>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</si>
  <si>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</si>
  <si>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</si>
  <si>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</si>
  <si>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</si>
  <si>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</si>
  <si>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</si>
  <si>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</si>
  <si>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</si>
  <si>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</si>
  <si>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</si>
  <si>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</si>
  <si>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</si>
  <si>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</si>
  <si>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</si>
  <si>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</si>
  <si>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</si>
  <si>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</si>
  <si>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</si>
  <si>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</si>
  <si>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</si>
  <si>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</si>
  <si>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</si>
  <si>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</si>
  <si>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</si>
  <si>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</si>
  <si>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</si>
  <si>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</si>
  <si>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</si>
  <si>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</si>
  <si>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</si>
  <si>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</si>
  <si>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</si>
  <si>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</si>
  <si>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</si>
  <si>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</si>
  <si>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</si>
  <si>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</si>
  <si>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</si>
  <si>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</si>
  <si>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</si>
  <si>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</si>
  <si>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</si>
  <si>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</si>
  <si>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</si>
  <si>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</si>
  <si>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</si>
  <si>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</si>
  <si>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</si>
  <si>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</si>
  <si>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</si>
  <si>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</si>
  <si>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</si>
  <si>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</si>
  <si>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</si>
  <si>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</si>
  <si>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</si>
  <si>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</si>
  <si>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</si>
  <si>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</si>
  <si>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</si>
  <si>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</si>
  <si>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</si>
  <si>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</si>
  <si>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</si>
  <si>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</si>
  <si>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</si>
  <si>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</si>
  <si>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</si>
  <si>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</si>
  <si>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</si>
  <si>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</si>
  <si>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</si>
  <si>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</si>
  <si>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</si>
  <si>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</si>
  <si>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</si>
  <si>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</si>
  <si>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</si>
  <si>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</si>
  <si>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</si>
  <si>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</si>
  <si>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</si>
  <si>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</si>
  <si>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</si>
  <si>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</si>
  <si>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</si>
  <si>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</si>
  <si>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</si>
  <si>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</si>
  <si>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</si>
  <si>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</si>
  <si>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</si>
  <si>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</si>
  <si>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</si>
  <si>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</si>
  <si>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</si>
  <si>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</si>
  <si>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</si>
  <si>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</si>
  <si>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</si>
  <si>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</si>
  <si>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</si>
  <si>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</si>
  <si>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</si>
  <si>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</si>
  <si>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</si>
  <si>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</si>
  <si>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</si>
  <si>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</si>
  <si>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</si>
  <si>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</si>
  <si>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</si>
  <si>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</si>
  <si>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</si>
  <si>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</si>
  <si>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</si>
  <si>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</si>
  <si>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</si>
  <si>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</si>
  <si>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</si>
  <si>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</si>
  <si>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</si>
  <si>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</si>
  <si>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</si>
  <si>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</si>
  <si>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</si>
  <si>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</si>
  <si>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</si>
  <si>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</si>
  <si>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</si>
  <si>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</si>
  <si>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</si>
  <si>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</si>
  <si>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</si>
  <si>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</si>
  <si>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</si>
  <si>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</si>
  <si>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</si>
  <si>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</si>
  <si>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</si>
  <si>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</si>
  <si>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</si>
  <si>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</si>
  <si>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</si>
  <si>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</si>
  <si>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</si>
  <si>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</si>
  <si>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</si>
  <si>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</si>
  <si>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</si>
  <si>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</si>
  <si>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</si>
  <si>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</si>
  <si>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</si>
  <si>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</si>
  <si>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</si>
  <si>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</si>
  <si>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</si>
  <si>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</si>
  <si>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</si>
  <si>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</si>
  <si>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</si>
  <si>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</si>
  <si>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</si>
  <si>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</si>
  <si>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</si>
  <si>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</si>
  <si>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</si>
  <si>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</si>
  <si>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</si>
  <si>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</si>
  <si>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</si>
  <si>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</si>
  <si>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</si>
  <si>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</si>
  <si>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</si>
  <si>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</si>
  <si>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</si>
  <si>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</si>
  <si>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</si>
  <si>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</si>
  <si>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</si>
  <si>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</si>
  <si>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</si>
  <si>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</si>
  <si>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</si>
  <si>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</si>
  <si>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</si>
  <si>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</si>
  <si>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</si>
  <si>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</si>
  <si>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</si>
  <si>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</si>
  <si>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</si>
  <si>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</si>
  <si>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</si>
  <si>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</si>
  <si>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</si>
  <si>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</si>
  <si>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</si>
  <si>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</si>
  <si>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</si>
  <si>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</si>
  <si>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</si>
  <si>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</si>
  <si>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</si>
  <si>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</si>
  <si>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</si>
  <si>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</si>
  <si>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</si>
  <si>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</si>
  <si>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</si>
  <si>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</si>
  <si>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</si>
  <si>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</si>
  <si>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</si>
  <si>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</si>
  <si>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</si>
  <si>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</si>
  <si>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</si>
  <si>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</si>
  <si>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</si>
  <si>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</si>
  <si>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</si>
  <si>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</si>
  <si>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</si>
  <si>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</si>
  <si>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</si>
  <si>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</si>
  <si>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</si>
  <si>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</si>
  <si>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</si>
  <si>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</si>
  <si>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</si>
  <si>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</si>
  <si>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</si>
  <si>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</si>
  <si>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</si>
  <si>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</si>
  <si>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</si>
  <si>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</si>
  <si>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</si>
  <si>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</si>
  <si>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</si>
  <si>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</si>
  <si>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</si>
  <si>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</si>
  <si>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</si>
  <si>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</si>
  <si>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</si>
  <si>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</si>
  <si>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</si>
  <si>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</si>
  <si>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</si>
  <si>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</si>
  <si>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</si>
  <si>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</si>
  <si>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</si>
  <si>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</si>
  <si>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</si>
  <si>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</si>
  <si>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</si>
  <si>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</si>
  <si>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</si>
  <si>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</si>
  <si>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</si>
  <si>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</si>
  <si>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</si>
  <si>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</si>
  <si>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</si>
  <si>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</si>
  <si>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</si>
  <si>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</si>
  <si>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</si>
  <si>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</si>
  <si>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</si>
  <si>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</si>
  <si>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</si>
  <si>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</si>
  <si>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</si>
  <si>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</si>
  <si>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</si>
  <si>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</si>
  <si>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</si>
  <si>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</si>
  <si>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</si>
  <si>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</si>
  <si>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</si>
  <si>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</si>
  <si>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</si>
  <si>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</si>
  <si>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</si>
  <si>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</si>
  <si>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</si>
  <si>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</si>
  <si>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</si>
  <si>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</si>
  <si>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</si>
  <si>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</si>
  <si>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</si>
  <si>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</si>
  <si>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</si>
  <si>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</si>
  <si>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</si>
  <si>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</si>
  <si>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</si>
  <si>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</si>
  <si>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</si>
  <si>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</si>
  <si>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</si>
  <si>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</si>
  <si>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</si>
  <si>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</si>
  <si>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</si>
  <si>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</si>
  <si>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</si>
  <si>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</si>
  <si>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</si>
  <si>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</si>
  <si>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</si>
  <si>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</si>
  <si>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</si>
  <si>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</si>
  <si>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</si>
  <si>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</si>
  <si>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</si>
  <si>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</si>
  <si>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</si>
  <si>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</si>
  <si>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</si>
  <si>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</si>
  <si>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</si>
  <si>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</si>
  <si>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</si>
  <si>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</si>
  <si>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</si>
  <si>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</si>
  <si>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</si>
  <si>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</si>
  <si>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</si>
  <si>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</si>
  <si>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</si>
  <si>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</si>
  <si>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</si>
  <si>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</si>
  <si>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</si>
  <si>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</si>
  <si>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</si>
  <si>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</si>
  <si>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</si>
  <si>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</si>
  <si>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</si>
  <si>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</si>
  <si>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</si>
  <si>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</si>
  <si>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</si>
  <si>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</si>
  <si>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</si>
  <si>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</si>
  <si>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</si>
  <si>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</si>
  <si>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</si>
  <si>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</si>
  <si>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</si>
  <si>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</si>
  <si>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</si>
  <si>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</si>
  <si>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</si>
  <si>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</si>
  <si>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</si>
  <si>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</si>
  <si>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</si>
  <si>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</si>
  <si>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</si>
  <si>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</si>
  <si>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</si>
  <si>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</si>
  <si>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</si>
  <si>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</si>
  <si>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</si>
  <si>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</si>
  <si>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</si>
  <si>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</si>
  <si>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</si>
  <si>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</si>
  <si>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</si>
  <si>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</si>
  <si>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</si>
  <si>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</si>
  <si>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</si>
  <si>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</si>
  <si>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</si>
  <si>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</si>
  <si>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</si>
  <si>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</si>
  <si>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</si>
  <si>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</si>
  <si>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</si>
  <si>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</si>
  <si>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</si>
  <si>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</si>
  <si>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</si>
  <si>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</si>
  <si>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</si>
  <si>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</si>
  <si>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</si>
  <si>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</si>
  <si>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</si>
  <si>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</si>
  <si>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</si>
  <si>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</si>
  <si>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</si>
  <si>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</si>
  <si>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</si>
  <si>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</si>
  <si>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</si>
  <si>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</si>
  <si>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</si>
  <si>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</si>
  <si>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</si>
  <si>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</si>
  <si>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</si>
  <si>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</si>
  <si>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</si>
  <si>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</si>
  <si>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</si>
  <si>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</si>
  <si>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</si>
  <si>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</si>
  <si>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</si>
  <si>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</si>
  <si>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</si>
  <si>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</si>
  <si>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</si>
  <si>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</si>
  <si>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</si>
  <si>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</si>
  <si>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</si>
  <si>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</si>
  <si>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</si>
  <si>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</si>
  <si>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</si>
  <si>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</si>
  <si>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</si>
  <si>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</si>
  <si>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</si>
  <si>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</si>
  <si>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</si>
  <si>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</si>
  <si>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</si>
  <si>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</si>
  <si>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</si>
  <si>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</si>
  <si>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</si>
  <si>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</si>
  <si>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</si>
  <si>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</si>
  <si>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</si>
  <si>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</si>
  <si>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</si>
  <si>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</si>
  <si>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</si>
  <si>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</si>
  <si>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</si>
  <si>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</si>
  <si>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</si>
  <si>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</si>
  <si>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</si>
  <si>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</si>
  <si>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</si>
  <si>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</si>
  <si>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</si>
  <si>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</si>
  <si>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</si>
  <si>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</si>
  <si>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</si>
  <si>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</si>
  <si>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</si>
  <si>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</si>
  <si>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</si>
  <si>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</si>
  <si>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</si>
  <si>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</si>
  <si>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</si>
  <si>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</si>
  <si>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</si>
  <si>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</si>
  <si>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</si>
  <si>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</si>
  <si>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</si>
  <si>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</si>
  <si>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</si>
  <si>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</si>
  <si>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</si>
  <si>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</si>
  <si>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</si>
  <si>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</si>
  <si>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</si>
  <si>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</si>
  <si>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</si>
  <si>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</si>
  <si>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</si>
  <si>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</si>
  <si>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</si>
  <si>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</si>
  <si>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</si>
  <si>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</si>
  <si>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</si>
  <si>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</si>
  <si>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</si>
  <si>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</si>
  <si>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</si>
  <si>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</si>
  <si>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</si>
  <si>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</si>
  <si>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</si>
  <si>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</si>
  <si>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</si>
  <si>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</si>
  <si>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</si>
  <si>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</si>
  <si>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</si>
  <si>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</si>
  <si>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</si>
  <si>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</si>
  <si>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</si>
  <si>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</si>
  <si>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</si>
  <si>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</si>
  <si>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</si>
  <si>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</si>
  <si>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</si>
  <si>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</si>
  <si>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</si>
  <si>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</si>
  <si>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</si>
  <si>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</si>
  <si>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</si>
  <si>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</si>
  <si>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</si>
  <si>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</si>
  <si>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</si>
  <si>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</si>
  <si>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</si>
  <si>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</si>
  <si>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</si>
  <si>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</si>
  <si>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</si>
  <si>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</si>
  <si>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</si>
  <si>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</si>
  <si>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</si>
  <si>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</si>
  <si>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</si>
  <si>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</si>
  <si>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</si>
  <si>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</si>
  <si>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</si>
  <si>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</si>
  <si>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</si>
  <si>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</si>
  <si>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</si>
  <si>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</si>
  <si>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</si>
  <si>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</si>
  <si>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</si>
  <si>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</si>
  <si>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</si>
  <si>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</si>
  <si>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</si>
  <si>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</si>
  <si>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</si>
  <si>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</si>
  <si>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</si>
  <si>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</si>
  <si>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</si>
  <si>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</si>
  <si>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</si>
  <si>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</si>
  <si>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</si>
  <si>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</si>
  <si>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</si>
  <si>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</si>
  <si>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</si>
  <si>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</si>
  <si>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</si>
  <si>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</si>
  <si>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</si>
  <si>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</si>
  <si>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</si>
  <si>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</si>
  <si>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</si>
  <si>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</si>
  <si>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</si>
  <si>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</si>
  <si>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</si>
  <si>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</si>
  <si>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</si>
  <si>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</si>
  <si>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</si>
  <si>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</si>
  <si>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</si>
  <si>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</si>
  <si>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</si>
  <si>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</si>
  <si>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</si>
  <si>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</si>
  <si>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</si>
  <si>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</si>
  <si>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</si>
  <si>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</si>
  <si>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</si>
  <si>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</si>
  <si>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</si>
  <si>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</si>
  <si>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</si>
  <si>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</si>
  <si>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</si>
  <si>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</si>
  <si>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</si>
  <si>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</si>
  <si>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</si>
  <si>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</si>
  <si>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</si>
  <si>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</si>
  <si>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</si>
  <si>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</si>
  <si>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</si>
  <si>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</si>
  <si>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</si>
  <si>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</si>
  <si>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</si>
  <si>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</si>
  <si>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</si>
  <si>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</si>
  <si>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</si>
  <si>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</si>
  <si>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</si>
  <si>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</si>
  <si>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</si>
  <si>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</si>
  <si>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</si>
  <si>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</si>
  <si>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</si>
  <si>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</si>
  <si>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</si>
  <si>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</si>
  <si>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</si>
  <si>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</si>
  <si>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</si>
  <si>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</si>
  <si>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</si>
  <si>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</si>
  <si>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</si>
  <si>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</si>
  <si>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</si>
  <si>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</si>
  <si>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</si>
  <si>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</si>
  <si>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</si>
  <si>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</si>
  <si>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</si>
  <si>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</si>
  <si>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</si>
  <si>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</si>
  <si>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</si>
  <si>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</si>
  <si>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</si>
  <si>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</si>
  <si>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</si>
  <si>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</si>
  <si>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</si>
  <si>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</si>
  <si>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</si>
  <si>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</si>
  <si>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</si>
  <si>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</si>
  <si>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</si>
  <si>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</si>
  <si>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</si>
  <si>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</si>
  <si>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</si>
  <si>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</si>
  <si>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</si>
  <si>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</si>
  <si>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</si>
  <si>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</si>
  <si>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</si>
  <si>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</si>
  <si>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</si>
  <si>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</si>
  <si>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</si>
  <si>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</si>
  <si>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</si>
  <si>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</si>
  <si>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</si>
  <si>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</si>
  <si>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</si>
  <si>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</si>
  <si>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</si>
  <si>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</si>
  <si>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</si>
  <si>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</si>
  <si>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</si>
  <si>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</si>
  <si>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</si>
  <si>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</si>
  <si>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</si>
  <si>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</si>
  <si>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</si>
  <si>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</si>
  <si>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</si>
  <si>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</si>
  <si>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</si>
  <si>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</si>
  <si>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</si>
  <si>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</si>
  <si>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</si>
  <si>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</si>
  <si>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</si>
  <si>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</si>
  <si>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</si>
  <si>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</si>
  <si>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</si>
  <si>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</si>
  <si>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</si>
  <si>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</si>
  <si>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</si>
  <si>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</si>
  <si>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</si>
  <si>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</si>
  <si>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</si>
  <si>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</si>
  <si>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</si>
  <si>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</si>
  <si>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</si>
  <si>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</si>
  <si>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</si>
  <si>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</si>
  <si>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</si>
  <si>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</si>
  <si>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</si>
  <si>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</si>
  <si>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</si>
  <si>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</si>
  <si>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</si>
  <si>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</si>
  <si>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</si>
  <si>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</si>
  <si>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</si>
  <si>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</si>
  <si>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</si>
  <si>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</si>
  <si>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</si>
  <si>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</si>
  <si>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</si>
  <si>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</si>
  <si>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</si>
  <si>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</si>
  <si>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</si>
  <si>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</si>
  <si>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</si>
  <si>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</si>
  <si>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</si>
  <si>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</si>
  <si>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</si>
  <si>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</si>
  <si>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</si>
  <si>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</si>
  <si>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</si>
  <si>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</si>
  <si>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</si>
  <si>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</si>
  <si>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</si>
  <si>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</si>
  <si>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</si>
  <si>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</si>
  <si>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</si>
  <si>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</si>
  <si>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</si>
  <si>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</si>
  <si>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</si>
  <si>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</si>
  <si>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</si>
  <si>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</si>
  <si>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</si>
  <si>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</si>
  <si>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</si>
  <si>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</si>
  <si>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</si>
  <si>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</si>
  <si>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</si>
  <si>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</si>
  <si>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</si>
  <si>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</si>
  <si>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</si>
  <si>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</si>
  <si>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</si>
  <si>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</si>
  <si>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</si>
  <si>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</si>
  <si>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</si>
  <si>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</si>
  <si>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</si>
  <si>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</si>
  <si>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</si>
  <si>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</si>
  <si>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</si>
  <si>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</si>
  <si>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</si>
  <si>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</si>
  <si>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</si>
  <si>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</si>
  <si>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</si>
  <si>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</si>
  <si>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</si>
  <si>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</si>
  <si>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</si>
  <si>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</si>
  <si>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</si>
  <si>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</si>
  <si>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</si>
  <si>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</si>
  <si>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</si>
  <si>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</si>
  <si>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</si>
  <si>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</si>
  <si>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</si>
  <si>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</si>
  <si>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</si>
  <si>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</si>
  <si>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</si>
  <si>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</si>
  <si>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</si>
  <si>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</si>
  <si>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</si>
  <si>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</si>
  <si>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</si>
  <si>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</si>
  <si>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</si>
  <si>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</si>
  <si>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</si>
  <si>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</si>
  <si>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</si>
  <si>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</si>
  <si>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</si>
  <si>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</si>
  <si>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</si>
  <si>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</si>
  <si>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</si>
  <si>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</si>
  <si>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</si>
  <si>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</si>
  <si>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</si>
  <si>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</si>
  <si>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</si>
  <si>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</si>
  <si>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</si>
  <si>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</si>
  <si>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</si>
  <si>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</si>
  <si>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</si>
  <si>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</si>
  <si>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</si>
  <si>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</si>
  <si>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</si>
  <si>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</si>
  <si>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</si>
  <si>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</si>
  <si>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</si>
  <si>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</si>
  <si>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</si>
  <si>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</si>
  <si>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</si>
  <si>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</si>
  <si>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</si>
  <si>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</si>
  <si>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</si>
  <si>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</si>
  <si>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</si>
  <si>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</si>
  <si>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</si>
  <si>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</si>
  <si>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</si>
  <si>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</si>
  <si>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</si>
  <si>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</si>
  <si>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</si>
  <si>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</si>
  <si>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</si>
  <si>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</si>
  <si>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</si>
  <si>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</si>
  <si>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</si>
  <si>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</si>
  <si>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</si>
  <si>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</si>
  <si>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</si>
  <si>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</si>
  <si>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</si>
  <si>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</si>
  <si>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</si>
  <si>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</si>
  <si>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</si>
  <si>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</si>
  <si>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</si>
  <si>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</si>
  <si>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</si>
  <si>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</si>
  <si>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</si>
  <si>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</si>
  <si>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</si>
  <si>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</si>
  <si>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</si>
  <si>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</si>
  <si>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</si>
  <si>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</si>
  <si>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</si>
  <si>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</si>
  <si>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</si>
  <si>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</si>
  <si>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</si>
  <si>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</si>
  <si>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</si>
  <si>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</si>
  <si>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</si>
  <si>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</si>
  <si>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</si>
  <si>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</si>
  <si>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</si>
  <si>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</si>
  <si>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</si>
  <si>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</si>
  <si>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</si>
  <si>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</si>
  <si>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</si>
  <si>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</si>
  <si>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</si>
  <si>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</si>
  <si>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</si>
  <si>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</si>
  <si>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</si>
  <si>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</si>
  <si>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</si>
  <si>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</si>
  <si>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</si>
  <si>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</si>
  <si>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</si>
  <si>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</si>
  <si>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</si>
  <si>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</si>
  <si>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</si>
  <si>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</si>
  <si>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</si>
  <si>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</si>
  <si>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</si>
  <si>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</si>
  <si>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</si>
  <si>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</si>
  <si>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</si>
  <si>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</si>
  <si>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</si>
  <si>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</si>
  <si>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</si>
  <si>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</si>
  <si>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</si>
  <si>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</si>
  <si>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</si>
  <si>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</si>
  <si>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</si>
  <si>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</si>
  <si>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</si>
  <si>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</si>
  <si>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</si>
  <si>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</si>
  <si>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</si>
  <si>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</si>
  <si>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</si>
  <si>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</si>
  <si>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</si>
  <si>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</si>
  <si>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</si>
  <si>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</si>
  <si>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</si>
  <si>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</si>
  <si>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</si>
  <si>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</si>
  <si>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</si>
  <si>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</si>
  <si>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</si>
  <si>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</si>
  <si>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</si>
  <si>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</si>
  <si>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</si>
  <si>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</si>
  <si>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</si>
  <si>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</si>
  <si>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</si>
  <si>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</si>
  <si>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</si>
  <si>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</si>
  <si>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</si>
  <si>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</si>
  <si>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</si>
  <si>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</si>
  <si>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</si>
  <si>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</si>
  <si>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</si>
  <si>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</si>
  <si>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</si>
  <si>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</si>
  <si>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</si>
  <si>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</si>
  <si>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</si>
  <si>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</si>
  <si>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</si>
  <si>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</si>
  <si>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</si>
  <si>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</si>
  <si>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</si>
  <si>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</si>
  <si>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</si>
  <si>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</si>
  <si>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</si>
  <si>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PENDUDUK/RESIDENT.SEKTOR PEMERINTAH.PEMERINTAH PUSAT.KEMENTERIAN PERTAHANAN</t>
  </si>
  <si>
    <t>JL ADA</t>
  </si>
  <si>
    <t>ASTRI</t>
  </si>
  <si>
    <t>AKTA</t>
  </si>
  <si>
    <t>127839481062174812</t>
  </si>
  <si>
    <t>08192901</t>
  </si>
  <si>
    <t>Female</t>
  </si>
  <si>
    <t>06/15/2022</t>
  </si>
  <si>
    <t>ROSA</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</si>
  <si>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</si>
  <si>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</si>
  <si>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</si>
  <si>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</si>
  <si>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</si>
  <si>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</si>
  <si>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</si>
  <si>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</si>
  <si>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</si>
  <si>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</si>
  <si>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</si>
  <si>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</si>
  <si>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</si>
  <si>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</si>
  <si>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</si>
  <si>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</si>
  <si>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</si>
  <si>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</si>
  <si>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</si>
  <si>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</si>
  <si>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</si>
  <si>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</si>
  <si>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</si>
  <si>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</si>
  <si>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</si>
  <si>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</si>
  <si>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</si>
  <si>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</si>
  <si>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</si>
  <si>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</si>
  <si>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</si>
  <si>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</si>
  <si>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</si>
  <si>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</si>
  <si>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</si>
  <si>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</si>
  <si>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</si>
  <si>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</si>
  <si>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</si>
  <si>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</si>
  <si>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</si>
  <si>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</si>
  <si>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</si>
  <si>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</si>
  <si>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</si>
  <si>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</si>
  <si>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</si>
  <si>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</si>
  <si>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</si>
  <si>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</si>
  <si>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</si>
  <si>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</si>
  <si>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</si>
  <si>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</si>
  <si>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</si>
  <si>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</si>
  <si>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</si>
  <si>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</si>
  <si>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</si>
  <si>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</si>
  <si>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</si>
  <si>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</si>
  <si>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</si>
  <si>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</si>
  <si>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</si>
  <si>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</si>
  <si>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1;1</t>
  </si>
  <si>
    <t>;</t>
  </si>
  <si>
    <t>Add Asset</t>
  </si>
  <si>
    <t>Year</t>
  </si>
  <si>
    <t>2021;2022</t>
  </si>
  <si>
    <t>Debit Transaction Account</t>
  </si>
  <si>
    <t>Debit</t>
  </si>
  <si>
    <t>Credit Transaction Account</t>
  </si>
  <si>
    <t>Credit</t>
  </si>
  <si>
    <t>120000;2000000</t>
  </si>
  <si>
    <t>Month</t>
  </si>
  <si>
    <t>January;February</t>
  </si>
  <si>
    <t>-</t>
  </si>
  <si>
    <t>421</t>
  </si>
  <si>
    <t>372</t>
  </si>
  <si>
    <t>JAKARTA</t>
  </si>
  <si>
    <t>02/02/2000</t>
  </si>
  <si>
    <t>Rating Debt</t>
  </si>
  <si>
    <t>12/12/2021</t>
  </si>
  <si>
    <t>FT TIO</t>
  </si>
  <si>
    <t>0002CUST20211204000</t>
  </si>
  <si>
    <t>Motor;Rumah;Mobil</t>
  </si>
  <si>
    <t>Yamaha;JODOH;AVANZA</t>
  </si>
  <si>
    <t>10000000;2000000000;300000000</t>
  </si>
  <si>
    <t>2;1;1</t>
  </si>
  <si>
    <t>;77666;9999</t>
  </si>
  <si>
    <t>;12/13/2021;12/13/2021</t>
  </si>
  <si>
    <t>;08/06/2022;08/06/2022</t>
  </si>
  <si>
    <t>;;</t>
  </si>
  <si>
    <t>NIP;SIUP;NIP</t>
  </si>
  <si>
    <t>LOS-011</t>
  </si>
  <si>
    <t>LOS-012</t>
  </si>
  <si>
    <t>LOS-013</t>
  </si>
  <si>
    <t>LOS-014</t>
  </si>
  <si>
    <t>LOS-015</t>
  </si>
  <si>
    <t>LOS-016</t>
  </si>
  <si>
    <t>mawar</t>
  </si>
  <si>
    <t>128469214</t>
  </si>
  <si>
    <t>NIP;SIUP</t>
  </si>
  <si>
    <t>77666;9999</t>
  </si>
  <si>
    <t>12/13/2021;12/13/2021</t>
  </si>
  <si>
    <t>08/06/2022;08/06/2022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</si>
</sst>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4">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ont="1" borderId="1" fillId="0" fontId="2" numFmtId="0" xfId="0"/>
    <xf applyBorder="1" borderId="4" fillId="0" fontId="0" numFmtId="0" xfId="0"/>
    <xf applyBorder="1" applyNumberFormat="1" borderId="4" fillId="0" fontId="0" numFmtId="3" xfId="0"/>
    <xf applyBorder="1" applyFill="1" applyFont="1" borderId="1" fillId="4" fontId="3" numFmtId="0" xfId="0"/>
  </cellXfs>
  <cellStyles count="3">
    <cellStyle builtinId="3" name="Comma" xfId="2"/>
    <cellStyle builtinId="8" name="Hyperlink" xfId="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H23"/>
  <sheetViews>
    <sheetView workbookViewId="0">
      <selection activeCell="C14" sqref="C14"/>
    </sheetView>
  </sheetViews>
  <sheetFormatPr defaultRowHeight="15" x14ac:dyDescent="0.25"/>
  <cols>
    <col min="1" max="1" bestFit="true" customWidth="true" width="26.42578125" collapsed="true"/>
    <col min="2" max="4" bestFit="true" customWidth="true" width="36.5703125" collapsed="true"/>
    <col min="5" max="6" bestFit="true" customWidth="true" width="23.42578125" collapsed="false"/>
    <col min="7" max="7" bestFit="true" customWidth="true" width="20.7109375" collapsed="false"/>
  </cols>
  <sheetData>
    <row customFormat="1" r="1" s="2" spans="1:7" x14ac:dyDescent="0.25">
      <c r="A1" s="2"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
        <v>3493</v>
      </c>
      <c r="C3" s="2" t="s">
        <v>3494</v>
      </c>
      <c r="D3" s="2" t="s">
        <v>3495</v>
      </c>
      <c r="E3" s="2" t="s">
        <v>3496</v>
      </c>
      <c r="F3" s="2" t="s">
        <v>3497</v>
      </c>
      <c r="G3" s="2" t="s">
        <v>3498</v>
      </c>
    </row>
    <row customFormat="1" r="4" s="2" spans="1:7" x14ac:dyDescent="0.25">
      <c r="A4" s="2" t="s">
        <v>3412</v>
      </c>
      <c r="B4" s="2">
        <f ref="B4:G4" si="0" t="shared">COUNTIFS($A$14:$A$15, "*$*",B14:B15,"")+COUNTIFS($A$18, "*$*",B18,"")+COUNTIFS($A$20:$A$22, "*$*",B20:B22,"")+IF(B18="Yes",COUNTIFS($A$23, "*$*",B23,""),0)</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row customFormat="1" r="11" s="42" spans="1:7" x14ac:dyDescent="0.25">
      <c r="B11" s="41"/>
      <c r="C11" s="41"/>
      <c r="D11" s="41"/>
    </row>
    <row customFormat="1" r="12" s="2" spans="1:7" x14ac:dyDescent="0.25">
      <c r="A12" s="38" t="s">
        <v>3084</v>
      </c>
      <c r="B12" s="2" t="str">
        <f>'[1]1.TabCustomerMainData'!B$13</f>
        <v>0002APP20221206283</v>
      </c>
      <c r="C12" s="2">
        <f>IF(C1="Unexecuted",'[1]1.TabCustomerMainData'!M$13,"APPNO")</f>
        <v>0</v>
      </c>
      <c r="D12" s="2">
        <f>IF(D1="Unexecuted",'[1]1.TabCustomerMainData'!N$13,"APPNO")</f>
        <v>0</v>
      </c>
      <c r="E12" s="2">
        <f>IF(E1="Unexecuted",'[1]1.TabCustomerMainData'!O$13,"APPNO")</f>
        <v>0</v>
      </c>
      <c r="F12" s="2">
        <f>IF(F1="Unexecuted",'[1]1.TabCustomerMainData'!P$13,"APPNO")</f>
        <v>0</v>
      </c>
      <c r="G12" s="2">
        <f>IF(G1="Unexecuted",'[1]1.TabCustomerMainData'!Q$13,"APPNO")</f>
        <v>0</v>
      </c>
    </row>
    <row customFormat="1" r="13" s="2" spans="1:7" x14ac:dyDescent="0.25">
      <c r="A13" s="38" t="s">
        <v>3085</v>
      </c>
      <c r="B13" t="s">
        <v>3370</v>
      </c>
      <c r="C13" t="s">
        <v>3370</v>
      </c>
      <c r="D13" t="s">
        <v>3475</v>
      </c>
      <c r="E13" t="s">
        <v>3475</v>
      </c>
      <c r="F13" t="s">
        <v>3475</v>
      </c>
      <c r="G13" t="s">
        <v>3475</v>
      </c>
    </row>
    <row customFormat="1" r="14" s="2" spans="1:7" x14ac:dyDescent="0.25">
      <c r="A14" s="29" t="s">
        <v>3413</v>
      </c>
      <c r="B14" s="33">
        <v>44353</v>
      </c>
      <c r="C14" s="33">
        <v>44353</v>
      </c>
      <c r="D14" s="33">
        <v>44353</v>
      </c>
      <c r="E14" s="33">
        <v>44353</v>
      </c>
      <c r="F14" s="33">
        <v>44353</v>
      </c>
      <c r="G14" s="33">
        <v>44353</v>
      </c>
    </row>
    <row customFormat="1" r="15" s="2" spans="1:7" x14ac:dyDescent="0.25">
      <c r="A15" s="29" t="s">
        <v>3414</v>
      </c>
      <c r="B15" s="1">
        <v>501</v>
      </c>
      <c r="C15" s="1">
        <v>501</v>
      </c>
      <c r="D15" s="1">
        <v>501</v>
      </c>
      <c r="E15" s="1">
        <v>501</v>
      </c>
      <c r="F15" s="1">
        <v>501</v>
      </c>
      <c r="G15" s="1">
        <v>501</v>
      </c>
    </row>
    <row customFormat="1" r="16" s="2" spans="1:7" x14ac:dyDescent="0.25">
      <c r="A16" s="1" t="s">
        <v>4</v>
      </c>
      <c r="B16" s="1" t="s">
        <v>3483</v>
      </c>
      <c r="C16" s="1" t="s">
        <v>3483</v>
      </c>
      <c r="D16" s="1" t="s">
        <v>3483</v>
      </c>
      <c r="E16" s="1" t="s">
        <v>3483</v>
      </c>
      <c r="F16" s="1" t="s">
        <v>3483</v>
      </c>
      <c r="G16" s="1" t="s">
        <v>3483</v>
      </c>
    </row>
    <row customFormat="1" r="17" s="2" spans="1:7" x14ac:dyDescent="0.25">
      <c r="A17" s="1" t="s">
        <v>0</v>
      </c>
      <c r="B17" s="1" t="s">
        <v>3482</v>
      </c>
      <c r="C17" s="1" t="s">
        <v>3482</v>
      </c>
      <c r="D17" s="1" t="s">
        <v>3482</v>
      </c>
      <c r="E17" s="1" t="s">
        <v>3482</v>
      </c>
      <c r="F17" s="1" t="s">
        <v>3482</v>
      </c>
      <c r="G17" s="1" t="s">
        <v>3482</v>
      </c>
    </row>
    <row customFormat="1" r="18" s="2" spans="1:7" x14ac:dyDescent="0.25">
      <c r="A18" s="1" t="s">
        <v>3458</v>
      </c>
      <c r="B18" s="1" t="s">
        <v>3398</v>
      </c>
      <c r="C18" s="1" t="s">
        <v>3398</v>
      </c>
      <c r="D18" s="1" t="s">
        <v>3398</v>
      </c>
      <c r="E18" s="1" t="s">
        <v>3398</v>
      </c>
      <c r="F18" s="1" t="s">
        <v>3398</v>
      </c>
      <c r="G18" s="1" t="s">
        <v>3398</v>
      </c>
    </row>
    <row customFormat="1" r="19" s="2" spans="1:7" x14ac:dyDescent="0.25">
      <c r="A19" s="1" t="s">
        <v>1</v>
      </c>
      <c r="B19" s="1" t="s">
        <v>3418</v>
      </c>
      <c r="C19" s="1" t="s">
        <v>3418</v>
      </c>
      <c r="D19" s="1" t="s">
        <v>3418</v>
      </c>
      <c r="E19" s="1" t="s">
        <v>3418</v>
      </c>
      <c r="F19" s="1" t="s">
        <v>3418</v>
      </c>
      <c r="G19" s="1" t="s">
        <v>3418</v>
      </c>
    </row>
    <row customFormat="1" r="20" s="2" spans="1:7" x14ac:dyDescent="0.25">
      <c r="A20" s="31" t="s">
        <v>3415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customFormat="1" r="21" s="2" spans="1:7" x14ac:dyDescent="0.25">
      <c r="A21" s="29" t="s">
        <v>3416</v>
      </c>
      <c r="B21" s="1" t="s">
        <v>2825</v>
      </c>
      <c r="C21" s="1" t="s">
        <v>2825</v>
      </c>
      <c r="D21" s="1" t="s">
        <v>2825</v>
      </c>
      <c r="E21" s="1" t="s">
        <v>2825</v>
      </c>
      <c r="F21" s="1" t="s">
        <v>2825</v>
      </c>
      <c r="G21" s="1" t="s">
        <v>2825</v>
      </c>
    </row>
    <row customFormat="1" r="22" s="2" spans="1:7" x14ac:dyDescent="0.25">
      <c r="A22" s="1" t="s">
        <v>3419</v>
      </c>
      <c r="B22" s="1" t="s">
        <v>2</v>
      </c>
      <c r="C22" s="1" t="s">
        <v>2</v>
      </c>
      <c r="D22" s="1" t="s">
        <v>2</v>
      </c>
      <c r="E22" s="1" t="s">
        <v>2</v>
      </c>
      <c r="F22" s="1" t="s">
        <v>2</v>
      </c>
      <c r="G22" s="1" t="s">
        <v>2</v>
      </c>
    </row>
    <row customFormat="1" r="23" s="2" spans="1:7" x14ac:dyDescent="0.25">
      <c r="A23" s="30" t="s">
        <v>3417</v>
      </c>
      <c r="B23" s="1" t="s">
        <v>3105</v>
      </c>
      <c r="C23" s="1" t="s">
        <v>3105</v>
      </c>
      <c r="D23" s="1" t="s">
        <v>3105</v>
      </c>
      <c r="E23" s="1" t="s">
        <v>3105</v>
      </c>
      <c r="F23" s="1" t="s">
        <v>3105</v>
      </c>
      <c r="G23" s="1" t="s">
        <v>3105</v>
      </c>
    </row>
  </sheetData>
  <conditionalFormatting sqref="A23 H23:XFD23">
    <cfRule dxfId="72" priority="6" type="expression">
      <formula>A$18="No"</formula>
    </cfRule>
  </conditionalFormatting>
  <conditionalFormatting sqref="D23">
    <cfRule dxfId="71" priority="4" type="expression">
      <formula>D$18="No"</formula>
    </cfRule>
  </conditionalFormatting>
  <conditionalFormatting sqref="C23">
    <cfRule dxfId="70" priority="3" type="expression">
      <formula>C$18="No"</formula>
    </cfRule>
  </conditionalFormatting>
  <conditionalFormatting sqref="B23">
    <cfRule dxfId="69" priority="2" type="expression">
      <formula>B$18="No"</formula>
    </cfRule>
  </conditionalFormatting>
  <conditionalFormatting sqref="E23:G23">
    <cfRule dxfId="68" priority="1" type="expression">
      <formula>E$18="No"</formula>
    </cfRule>
  </conditionalFormatting>
  <dataValidations count="7">
    <dataValidation allowBlank="1" showErrorMessage="1" showInputMessage="1" sqref="B19:G19" type="list">
      <formula1>"Yes, No"</formula1>
    </dataValidation>
    <dataValidation allowBlank="1" errorStyle="information" showErrorMessage="1" showInputMessage="1" sqref="B15:G15" type="whole">
      <formula1>0</formula1>
      <formula2>9.99999999999999E+27</formula2>
    </dataValidation>
    <dataValidation errorStyle="information" showErrorMessage="1" showInputMessage="1" sqref="B21:G21" type="list">
      <formula1>ListIndustryType</formula1>
    </dataValidation>
    <dataValidation allowBlank="1" errorStyle="information" showErrorMessage="1" showInputMessage="1" sqref="B16:G16"/>
    <dataValidation allowBlank="1" errorStyle="information" showErrorMessage="1" showInputMessage="1" sqref="B18:G18" type="list">
      <formula1>"Yes, No"</formula1>
    </dataValidation>
    <dataValidation errorStyle="information" showErrorMessage="1" showInputMessage="1" sqref="B22:G22" type="list">
      <formula1>"Corporate, Non Corporate"</formula1>
    </dataValidation>
    <dataValidation allowBlank="1" errorStyle="information" showErrorMessage="1" showInputMessage="1" sqref="B23:G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H32"/>
  <sheetViews>
    <sheetView workbookViewId="0">
      <selection activeCell="B9" sqref="B9"/>
    </sheetView>
  </sheetViews>
  <sheetFormatPr defaultRowHeight="15" x14ac:dyDescent="0.25"/>
  <cols>
    <col min="1" max="1" bestFit="true" customWidth="true" width="18.28515625" collapsed="true"/>
    <col min="2" max="3" bestFit="true" customWidth="true" width="24.140625" collapsed="true"/>
    <col min="4" max="4" bestFit="true" customWidth="true" width="19.85546875" collapsed="true"/>
    <col min="5" max="7" bestFit="true" customWidth="true" width="15.0" collapsed="false"/>
  </cols>
  <sheetData>
    <row customFormat="1" r="1" s="2" spans="1:7" x14ac:dyDescent="0.25">
      <c r="A1" s="2"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IF(B13="",COUNTIFS($A$12:$A$32, "*$*",B12:B32,""),0)</f>
        <v>0</v>
      </c>
      <c r="C4" s="2">
        <f ref="C4:G4" si="0" t="shared">IF(C13="",COUNTIFS($A$12:$A$32, "*$*",C12:C32,""),0)</f>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42" spans="1:7" x14ac:dyDescent="0.25">
      <c r="B8" s="41"/>
      <c r="C8" s="41"/>
    </row>
    <row customFormat="1" r="9" s="2" spans="1:7" x14ac:dyDescent="0.25">
      <c r="A9" s="2" t="s">
        <v>3084</v>
      </c>
      <c r="B9" s="2" t="str">
        <f>IF(B1="Unexecuted",'1.CustomerDetail'!B12,"APPNO")</f>
        <v>0002APP20221206283</v>
      </c>
      <c r="C9" s="2">
        <f>IF(C1="Unexecuted",'1.CustomerDetail'!C12,"APPNO")</f>
        <v>0</v>
      </c>
      <c r="D9" s="2">
        <f>IF(D1="Unexecuted",'1.CustomerDetail'!D12,"APPNO")</f>
        <v>0</v>
      </c>
      <c r="E9" s="2">
        <f>IF(E1="Unexecuted",'1.CustomerDetail'!E12,"APPNO")</f>
        <v>0</v>
      </c>
      <c r="F9" s="2">
        <f>IF(F1="Unexecuted",'1.CustomerDetail'!F12,"APPNO")</f>
        <v>0</v>
      </c>
      <c r="G9" s="2">
        <f>IF(G1="Unexecuted",'1.CustomerDetail'!G12,"APPNO")</f>
        <v>0</v>
      </c>
    </row>
    <row customFormat="1" r="10" s="2" spans="1:7" x14ac:dyDescent="0.25">
      <c r="A10" s="2" t="s">
        <v>3459</v>
      </c>
      <c r="B10" s="2" t="str">
        <f>'1.CustomerDetail'!B13</f>
        <v>-</v>
      </c>
      <c r="C10" s="2" t="str">
        <f>'1.CustomerDetail'!C13</f>
        <v>-</v>
      </c>
      <c r="D10" s="2" t="str">
        <f>'1.CustomerDetail'!D13</f>
        <v>-</v>
      </c>
      <c r="E10" s="2" t="str">
        <f>'1.CustomerDetail'!E13</f>
        <v>-</v>
      </c>
      <c r="F10" s="2" t="str">
        <f>'1.CustomerDetail'!F13</f>
        <v>-</v>
      </c>
      <c r="G10" s="2" t="str">
        <f>'1.CustomerDetail'!G13</f>
        <v>-</v>
      </c>
    </row>
    <row customFormat="1" r="11" s="42" spans="1:7" x14ac:dyDescent="0.25">
      <c r="B11" s="41"/>
      <c r="C11" s="41"/>
    </row>
    <row customFormat="1" r="12" s="2" spans="1:7" x14ac:dyDescent="0.25">
      <c r="A12" s="29" t="s">
        <v>3401</v>
      </c>
      <c r="B12" s="2" t="s">
        <v>5</v>
      </c>
      <c r="C12" s="2" t="s">
        <v>5</v>
      </c>
      <c r="D12" s="2" t="s">
        <v>5</v>
      </c>
      <c r="E12" s="2" t="s">
        <v>5</v>
      </c>
      <c r="F12" s="2" t="s">
        <v>5</v>
      </c>
      <c r="G12" s="2" t="s">
        <v>5</v>
      </c>
    </row>
    <row customFormat="1" r="13" s="2" spans="1:7" x14ac:dyDescent="0.25">
      <c r="A13" s="2" t="s">
        <v>6</v>
      </c>
    </row>
    <row customFormat="1" r="14" s="2" spans="1:7" x14ac:dyDescent="0.25">
      <c r="A14" s="29" t="s">
        <v>3402</v>
      </c>
      <c r="B14" s="50" t="s">
        <v>3389</v>
      </c>
      <c r="C14" s="50" t="s">
        <v>3389</v>
      </c>
      <c r="D14" s="50" t="s">
        <v>3389</v>
      </c>
      <c r="E14" s="50" t="s">
        <v>3389</v>
      </c>
      <c r="F14" s="50" t="s">
        <v>3389</v>
      </c>
      <c r="G14" s="50" t="s">
        <v>3389</v>
      </c>
    </row>
    <row customFormat="1" r="15" s="2" spans="1:7" x14ac:dyDescent="0.25">
      <c r="A15" s="29" t="s">
        <v>3403</v>
      </c>
      <c r="B15" s="32">
        <v>12</v>
      </c>
      <c r="C15" s="32">
        <v>12</v>
      </c>
      <c r="D15" s="32">
        <v>12</v>
      </c>
      <c r="E15" s="32">
        <v>12</v>
      </c>
      <c r="F15" s="32">
        <v>12</v>
      </c>
      <c r="G15" s="32">
        <v>12</v>
      </c>
    </row>
    <row customFormat="1" r="16" s="2" spans="1:7" x14ac:dyDescent="0.25">
      <c r="A16" s="29" t="s">
        <v>3404</v>
      </c>
      <c r="B16" s="32">
        <v>12</v>
      </c>
      <c r="C16" s="32">
        <v>12</v>
      </c>
      <c r="D16" s="32">
        <v>12</v>
      </c>
      <c r="E16" s="32">
        <v>12</v>
      </c>
      <c r="F16" s="32">
        <v>12</v>
      </c>
      <c r="G16" s="32">
        <v>12</v>
      </c>
    </row>
    <row customFormat="1" r="17" s="2" spans="1:7" x14ac:dyDescent="0.25">
      <c r="A17" s="29" t="s">
        <v>3405</v>
      </c>
      <c r="B17" s="1">
        <v>40242</v>
      </c>
      <c r="C17" s="1">
        <v>40242</v>
      </c>
      <c r="D17" s="1">
        <v>40242</v>
      </c>
      <c r="E17" s="1">
        <v>40242</v>
      </c>
      <c r="F17" s="1">
        <v>40242</v>
      </c>
      <c r="G17" s="1">
        <v>40242</v>
      </c>
    </row>
    <row customFormat="1" r="18" s="2" spans="1:7" x14ac:dyDescent="0.25">
      <c r="A18" s="29" t="s">
        <v>3406</v>
      </c>
      <c r="B18" s="2" t="s">
        <v>3379</v>
      </c>
      <c r="C18" s="2" t="s">
        <v>3379</v>
      </c>
      <c r="D18" s="2" t="s">
        <v>3379</v>
      </c>
      <c r="E18" s="2" t="s">
        <v>3379</v>
      </c>
      <c r="F18" s="2" t="s">
        <v>3379</v>
      </c>
      <c r="G18" s="2" t="s">
        <v>3379</v>
      </c>
    </row>
    <row customFormat="1" r="19" s="2" spans="1:7" x14ac:dyDescent="0.25">
      <c r="A19" s="29" t="s">
        <v>3407</v>
      </c>
      <c r="B19" s="2" t="s">
        <v>3380</v>
      </c>
      <c r="C19" s="2" t="s">
        <v>3380</v>
      </c>
      <c r="D19" s="2" t="s">
        <v>3380</v>
      </c>
      <c r="E19" s="2" t="s">
        <v>3380</v>
      </c>
      <c r="F19" s="2" t="s">
        <v>3380</v>
      </c>
      <c r="G19" s="2" t="s">
        <v>3380</v>
      </c>
    </row>
    <row customFormat="1" r="20" s="2" spans="1:7" x14ac:dyDescent="0.25">
      <c r="A20" s="29" t="s">
        <v>3408</v>
      </c>
      <c r="B20" s="2" t="s">
        <v>3381</v>
      </c>
      <c r="C20" s="2" t="s">
        <v>3381</v>
      </c>
      <c r="D20" s="2" t="s">
        <v>3381</v>
      </c>
      <c r="E20" s="2" t="s">
        <v>3381</v>
      </c>
      <c r="F20" s="2" t="s">
        <v>3381</v>
      </c>
      <c r="G20" s="2" t="s">
        <v>3381</v>
      </c>
    </row>
    <row customFormat="1" r="21" s="2" spans="1:7" x14ac:dyDescent="0.25">
      <c r="A21" s="29" t="s">
        <v>3409</v>
      </c>
      <c r="B21" s="32">
        <v>1212</v>
      </c>
      <c r="C21" s="32">
        <v>1212</v>
      </c>
      <c r="D21" s="32">
        <v>1212</v>
      </c>
      <c r="E21" s="32">
        <v>1212</v>
      </c>
      <c r="F21" s="32">
        <v>1212</v>
      </c>
      <c r="G21" s="32">
        <v>1212</v>
      </c>
    </row>
    <row customFormat="1" r="22" s="2" spans="1:7" x14ac:dyDescent="0.25">
      <c r="A22" s="29" t="s">
        <v>3410</v>
      </c>
      <c r="B22" s="50">
        <v>1234</v>
      </c>
      <c r="C22" s="50">
        <v>1234</v>
      </c>
      <c r="D22" s="50">
        <v>1234</v>
      </c>
      <c r="E22" s="50">
        <v>1234</v>
      </c>
      <c r="F22" s="50">
        <v>1234</v>
      </c>
      <c r="G22" s="50">
        <v>1234</v>
      </c>
    </row>
    <row customFormat="1" r="23" s="2" spans="1:7" x14ac:dyDescent="0.25">
      <c r="A23" s="1" t="s">
        <v>3090</v>
      </c>
      <c r="B23" s="32" t="s">
        <v>3370</v>
      </c>
      <c r="C23" s="32" t="s">
        <v>3370</v>
      </c>
      <c r="D23" s="32" t="s">
        <v>3370</v>
      </c>
      <c r="E23" s="32" t="s">
        <v>3370</v>
      </c>
      <c r="F23" s="32" t="s">
        <v>3370</v>
      </c>
      <c r="G23" s="32" t="s">
        <v>3370</v>
      </c>
    </row>
    <row customFormat="1" r="24" s="2" spans="1:7" x14ac:dyDescent="0.25">
      <c r="A24" s="2" t="s">
        <v>3091</v>
      </c>
      <c r="B24" s="32"/>
      <c r="C24" s="32"/>
      <c r="D24" s="32"/>
      <c r="E24" s="32"/>
      <c r="F24" s="32"/>
      <c r="G24" s="32"/>
    </row>
    <row customFormat="1" r="25" s="2" spans="1:7" x14ac:dyDescent="0.25">
      <c r="A25" s="2" t="s">
        <v>3092</v>
      </c>
      <c r="B25" s="1"/>
      <c r="C25" s="1"/>
      <c r="D25" s="1"/>
      <c r="E25" s="1"/>
      <c r="F25" s="1"/>
      <c r="G25" s="1"/>
    </row>
    <row customFormat="1" r="26" s="2" spans="1:7" x14ac:dyDescent="0.25">
      <c r="A26" s="2" t="s">
        <v>3093</v>
      </c>
      <c r="B26" s="1"/>
      <c r="C26" s="1"/>
      <c r="D26" s="1"/>
      <c r="E26" s="1"/>
      <c r="F26" s="1"/>
      <c r="G26" s="1"/>
    </row>
    <row customFormat="1" r="27" s="2" spans="1:7" x14ac:dyDescent="0.25">
      <c r="A27" s="2" t="s">
        <v>3094</v>
      </c>
      <c r="B27" s="32"/>
      <c r="C27" s="32"/>
      <c r="D27" s="32"/>
      <c r="E27" s="32"/>
      <c r="F27" s="32"/>
      <c r="G27" s="32"/>
    </row>
    <row customFormat="1" r="28" s="2" spans="1:7" x14ac:dyDescent="0.25">
      <c r="A28" s="2" t="s">
        <v>3095</v>
      </c>
      <c r="B28" s="1"/>
      <c r="C28" s="1"/>
      <c r="D28" s="1"/>
      <c r="E28" s="1"/>
      <c r="F28" s="1"/>
      <c r="G28" s="1"/>
    </row>
    <row customFormat="1" r="29" s="2" spans="1:7" x14ac:dyDescent="0.25">
      <c r="A29" s="2" t="s">
        <v>3096</v>
      </c>
      <c r="B29" s="1"/>
      <c r="C29" s="1"/>
      <c r="D29" s="1"/>
      <c r="E29" s="1"/>
      <c r="F29" s="1"/>
      <c r="G29" s="1"/>
    </row>
    <row customFormat="1" r="30" s="2" spans="1:7" x14ac:dyDescent="0.25">
      <c r="A30" s="2" t="s">
        <v>3097</v>
      </c>
      <c r="B30" s="32" t="s">
        <v>3370</v>
      </c>
      <c r="C30" s="32" t="s">
        <v>3370</v>
      </c>
      <c r="D30" s="32" t="s">
        <v>3370</v>
      </c>
      <c r="E30" s="32" t="s">
        <v>3370</v>
      </c>
      <c r="F30" s="32" t="s">
        <v>3370</v>
      </c>
      <c r="G30" s="32" t="s">
        <v>3370</v>
      </c>
    </row>
    <row customFormat="1" r="31" s="2" spans="1:7" x14ac:dyDescent="0.25">
      <c r="A31" s="2" t="s">
        <v>3098</v>
      </c>
      <c r="B31" s="1"/>
      <c r="C31" s="1"/>
      <c r="D31" s="1"/>
      <c r="E31" s="1"/>
      <c r="F31" s="1"/>
      <c r="G31" s="1"/>
    </row>
    <row customFormat="1" r="32" s="2" spans="1:7" x14ac:dyDescent="0.25">
      <c r="A32" s="29" t="s">
        <v>3411</v>
      </c>
      <c r="B32" s="1" t="s">
        <v>14</v>
      </c>
      <c r="C32" s="1" t="s">
        <v>14</v>
      </c>
      <c r="D32" s="1" t="s">
        <v>14</v>
      </c>
      <c r="E32" s="1" t="s">
        <v>14</v>
      </c>
      <c r="F32" s="1" t="s">
        <v>14</v>
      </c>
      <c r="G32" s="1" t="s">
        <v>14</v>
      </c>
    </row>
  </sheetData>
  <conditionalFormatting sqref="C15:C17 A14:A20 H14:XFD20">
    <cfRule dxfId="67" priority="4" type="expression">
      <formula>AND(A$13&lt;&gt;"",A$13&lt;&gt;"Copy Address From")</formula>
    </cfRule>
  </conditionalFormatting>
  <conditionalFormatting sqref="B15:B17">
    <cfRule dxfId="66" priority="2" type="expression">
      <formula>AND(B$13&lt;&gt;"",B$13&lt;&gt;"Copy Address From")</formula>
    </cfRule>
  </conditionalFormatting>
  <conditionalFormatting sqref="D15:G17">
    <cfRule dxfId="65" priority="1" type="expression">
      <formula>AND(D$13&lt;&gt;"",D$13&lt;&gt;"Copy Address From")</formula>
    </cfRule>
  </conditionalFormatting>
  <dataValidations count="4">
    <dataValidation allowBlank="1" errorStyle="information" showErrorMessage="1" showInputMessage="1" sqref="B15:G17" type="custom">
      <formula1>ISBLANK(B$13)</formula1>
    </dataValidation>
    <dataValidation allowBlank="1" errorStyle="information" showErrorMessage="1" showInputMessage="1" sqref="B12:G12" type="list">
      <formula1>"Business, Company, Legal, Mailing"</formula1>
    </dataValidation>
    <dataValidation allowBlank="1" errorStyle="information" showErrorMessage="1" showInputMessage="1" sqref="B14:G14 B18:G31"/>
    <dataValidation allowBlank="1" errorStyle="information" showErrorMessage="1" showInputMessage="1" sqref="B32:G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H13</xm:sqref>
        </x14:dataValidation>
        <x14:dataValidation allowBlank="1" errorStyle="information" showErrorMessage="1" showInputMessage="1" type="list">
          <x14:formula1>
            <xm:f>Master!$AV$2:$AV20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H41"/>
  <sheetViews>
    <sheetView workbookViewId="0">
      <selection activeCell="B3" sqref="B3:G3"/>
    </sheetView>
  </sheetViews>
  <sheetFormatPr defaultRowHeight="15" x14ac:dyDescent="0.25"/>
  <cols>
    <col min="1" max="1" bestFit="true" customWidth="true" width="19.5703125" collapsed="true"/>
    <col min="2" max="7" customWidth="true" width="24.5703125" collapsed="true"/>
  </cols>
  <sheetData>
    <row customFormat="1" r="1" s="2" spans="1:7" x14ac:dyDescent="0.25">
      <c r="A1" s="2" t="s">
        <v>3</v>
      </c>
      <c r="B1" t="s">
        <v>2794</v>
      </c>
      <c r="C1" t="s">
        <v>2794</v>
      </c>
      <c r="D1" t="s">
        <v>2794</v>
      </c>
      <c r="E1" t="s">
        <v>2794</v>
      </c>
      <c r="F1" t="s">
        <v>2794</v>
      </c>
      <c r="G1" t="s">
        <v>2794</v>
      </c>
    </row>
    <row customFormat="1" r="2" s="2" spans="1:7" x14ac:dyDescent="0.25">
      <c r="A2" s="2" t="s">
        <v>3399</v>
      </c>
      <c r="B2" t="s">
        <v>3475</v>
      </c>
      <c r="C2" t="s">
        <v>3475</v>
      </c>
      <c r="D2" t="s">
        <v>3475</v>
      </c>
      <c r="E2" t="s">
        <v>3475</v>
      </c>
      <c r="F2" t="s">
        <v>3475</v>
      </c>
      <c r="G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 ref="B4:G4" si="0" t="shared">COUNTIFS($A$12:$A$17, "*$*",B12:B17,"")+COUNTIFS($A$19:$A$20, "*$*",B19:B20,"")</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5" spans="1:7" x14ac:dyDescent="0.25">
      <c r="A11" s="43" t="s">
        <v>3086</v>
      </c>
      <c r="B11" s="44"/>
      <c r="C11" s="44"/>
      <c r="D11" s="44"/>
      <c r="E11" s="44"/>
      <c r="F11" s="44"/>
      <c r="G11" s="44"/>
    </row>
    <row customFormat="1" r="12" s="2" spans="1:7" x14ac:dyDescent="0.25">
      <c r="A12" s="29" t="s">
        <v>3420</v>
      </c>
      <c r="B12" s="2" t="s">
        <v>3390</v>
      </c>
      <c r="C12" s="2" t="s">
        <v>3390</v>
      </c>
      <c r="D12" s="2" t="s">
        <v>3390</v>
      </c>
      <c r="E12" s="2" t="s">
        <v>3390</v>
      </c>
      <c r="F12" s="2" t="s">
        <v>3390</v>
      </c>
      <c r="G12" s="2" t="s">
        <v>3390</v>
      </c>
    </row>
    <row customFormat="1" r="13" s="2" spans="1:7" x14ac:dyDescent="0.25">
      <c r="A13" s="29" t="s">
        <v>3421</v>
      </c>
      <c r="B13" s="2" t="s">
        <v>3383</v>
      </c>
      <c r="C13" s="2" t="s">
        <v>3383</v>
      </c>
      <c r="D13" s="2" t="s">
        <v>3383</v>
      </c>
      <c r="E13" s="2" t="s">
        <v>3383</v>
      </c>
      <c r="F13" s="2" t="s">
        <v>3383</v>
      </c>
      <c r="G13" s="2" t="s">
        <v>3383</v>
      </c>
    </row>
    <row customFormat="1" r="14" s="2" spans="1:7" x14ac:dyDescent="0.25">
      <c r="A14" s="2" t="s">
        <v>3422</v>
      </c>
      <c r="B14" s="2" t="s">
        <v>3391</v>
      </c>
      <c r="C14" s="2" t="s">
        <v>3391</v>
      </c>
      <c r="D14" s="2" t="s">
        <v>3391</v>
      </c>
      <c r="E14" s="2" t="s">
        <v>3391</v>
      </c>
      <c r="F14" s="2" t="s">
        <v>3391</v>
      </c>
      <c r="G14" s="2" t="s">
        <v>3391</v>
      </c>
    </row>
    <row customFormat="1" r="15" s="2" spans="1:7" x14ac:dyDescent="0.25">
      <c r="A15" s="2" t="s">
        <v>3423</v>
      </c>
      <c r="B15" s="32" t="s">
        <v>3392</v>
      </c>
      <c r="C15" s="32" t="s">
        <v>3392</v>
      </c>
      <c r="D15" s="32" t="s">
        <v>3392</v>
      </c>
      <c r="E15" s="32" t="s">
        <v>3392</v>
      </c>
      <c r="F15" s="32" t="s">
        <v>3392</v>
      </c>
      <c r="G15" s="32" t="s">
        <v>3392</v>
      </c>
    </row>
    <row customFormat="1" r="16" s="2" spans="1:7" x14ac:dyDescent="0.25">
      <c r="A16" s="2" t="s">
        <v>3425</v>
      </c>
      <c r="B16" s="33" t="s">
        <v>3382</v>
      </c>
      <c r="C16" s="33" t="s">
        <v>3382</v>
      </c>
      <c r="D16" s="33" t="s">
        <v>3382</v>
      </c>
      <c r="E16" s="33" t="s">
        <v>3382</v>
      </c>
      <c r="F16" s="33" t="s">
        <v>3382</v>
      </c>
      <c r="G16" s="33" t="s">
        <v>3382</v>
      </c>
    </row>
    <row customFormat="1" r="17" s="2" spans="1:7" x14ac:dyDescent="0.25">
      <c r="A17" s="29" t="s">
        <v>3424</v>
      </c>
      <c r="B17" s="32" t="s">
        <v>3393</v>
      </c>
      <c r="C17" s="32" t="s">
        <v>3393</v>
      </c>
      <c r="D17" s="32" t="s">
        <v>3393</v>
      </c>
      <c r="E17" s="32" t="s">
        <v>3393</v>
      </c>
      <c r="F17" s="32" t="s">
        <v>3393</v>
      </c>
      <c r="G17" s="32" t="s">
        <v>3393</v>
      </c>
    </row>
    <row customFormat="1" r="18" s="2" spans="1:7" x14ac:dyDescent="0.25">
      <c r="A18" s="2" t="s">
        <v>17</v>
      </c>
      <c r="B18" s="3"/>
      <c r="C18" s="3"/>
      <c r="D18" s="3"/>
      <c r="E18" s="3"/>
      <c r="F18" s="3"/>
      <c r="G18" s="3"/>
    </row>
    <row customFormat="1" r="19" s="2" spans="1:7" x14ac:dyDescent="0.25">
      <c r="A19" s="29" t="s">
        <v>3426</v>
      </c>
      <c r="B19" s="2" t="s">
        <v>3394</v>
      </c>
      <c r="C19" s="2" t="s">
        <v>3394</v>
      </c>
      <c r="D19" s="2" t="s">
        <v>3394</v>
      </c>
      <c r="E19" s="2" t="s">
        <v>3394</v>
      </c>
      <c r="F19" s="2" t="s">
        <v>3394</v>
      </c>
      <c r="G19" s="2" t="s">
        <v>3394</v>
      </c>
    </row>
    <row customFormat="1" r="20" s="2" spans="1:7" x14ac:dyDescent="0.25">
      <c r="A20" s="29" t="s">
        <v>3427</v>
      </c>
      <c r="B20" s="2" t="s">
        <v>3063</v>
      </c>
      <c r="C20" s="2" t="s">
        <v>3063</v>
      </c>
      <c r="D20" s="2" t="s">
        <v>3063</v>
      </c>
      <c r="E20" s="2" t="s">
        <v>3063</v>
      </c>
      <c r="F20" s="2" t="s">
        <v>3063</v>
      </c>
      <c r="G20" s="2" t="s">
        <v>3063</v>
      </c>
    </row>
    <row customFormat="1" r="21" s="2" spans="1:7" x14ac:dyDescent="0.25">
      <c r="A21" s="2" t="s">
        <v>20</v>
      </c>
      <c r="B21" s="2" t="s">
        <v>3478</v>
      </c>
      <c r="C21" s="2" t="s">
        <v>3478</v>
      </c>
      <c r="D21" s="2" t="s">
        <v>3478</v>
      </c>
      <c r="E21" s="2" t="s">
        <v>3478</v>
      </c>
      <c r="F21" s="2" t="s">
        <v>3478</v>
      </c>
      <c r="G21" s="2" t="s">
        <v>3478</v>
      </c>
    </row>
    <row customFormat="1" r="22" s="2" spans="1:7" x14ac:dyDescent="0.25">
      <c r="A22" s="2" t="s">
        <v>21</v>
      </c>
      <c r="B22" s="4" t="s">
        <v>3479</v>
      </c>
      <c r="C22" s="4" t="s">
        <v>3479</v>
      </c>
      <c r="D22" s="4" t="s">
        <v>3479</v>
      </c>
      <c r="E22" s="4" t="s">
        <v>3479</v>
      </c>
      <c r="F22" s="4" t="s">
        <v>3479</v>
      </c>
      <c r="G22" s="4" t="s">
        <v>3479</v>
      </c>
    </row>
    <row customFormat="1" r="23" s="2" spans="1:7" x14ac:dyDescent="0.25">
      <c r="A23" s="5" t="s">
        <v>22</v>
      </c>
    </row>
    <row customFormat="1" r="24" s="2" spans="1:7" x14ac:dyDescent="0.25">
      <c r="A24" s="2" t="s">
        <v>23</v>
      </c>
      <c r="B24" s="1"/>
      <c r="C24" s="1"/>
      <c r="D24" s="1"/>
      <c r="E24" s="1"/>
      <c r="F24" s="1"/>
      <c r="G24" s="1"/>
    </row>
    <row customFormat="1" r="25" s="2" spans="1:7" x14ac:dyDescent="0.25">
      <c r="A25" s="2" t="s">
        <v>24</v>
      </c>
    </row>
    <row customFormat="1" r="26" s="45" spans="1:7" x14ac:dyDescent="0.25">
      <c r="A26" s="43" t="s">
        <v>3087</v>
      </c>
      <c r="B26" s="44"/>
      <c r="C26" s="44"/>
      <c r="D26" s="44"/>
      <c r="E26" s="44"/>
      <c r="F26" s="44"/>
      <c r="G26" s="44"/>
    </row>
    <row customFormat="1" r="27" s="2" spans="1:7" x14ac:dyDescent="0.25">
      <c r="A27" s="2" t="s">
        <v>7</v>
      </c>
      <c r="B27" s="2" t="s">
        <v>3385</v>
      </c>
      <c r="C27" s="2" t="s">
        <v>3385</v>
      </c>
      <c r="D27" s="2" t="s">
        <v>3385</v>
      </c>
      <c r="E27" s="2" t="s">
        <v>3385</v>
      </c>
      <c r="F27" s="2" t="s">
        <v>3385</v>
      </c>
      <c r="G27" s="2" t="s">
        <v>3385</v>
      </c>
    </row>
    <row customFormat="1" r="28" s="2" spans="1:7" x14ac:dyDescent="0.25">
      <c r="A28" s="2" t="s">
        <v>8</v>
      </c>
      <c r="B28" s="32" t="s">
        <v>83</v>
      </c>
      <c r="C28" s="32" t="s">
        <v>83</v>
      </c>
      <c r="D28" s="32" t="s">
        <v>83</v>
      </c>
      <c r="E28" s="32" t="s">
        <v>83</v>
      </c>
      <c r="F28" s="32" t="s">
        <v>83</v>
      </c>
      <c r="G28" s="32" t="s">
        <v>83</v>
      </c>
    </row>
    <row customFormat="1" r="29" s="2" spans="1:7" x14ac:dyDescent="0.25">
      <c r="A29" s="2" t="s">
        <v>9</v>
      </c>
      <c r="B29" s="32" t="s">
        <v>83</v>
      </c>
      <c r="C29" s="32" t="s">
        <v>83</v>
      </c>
      <c r="D29" s="32" t="s">
        <v>83</v>
      </c>
      <c r="E29" s="32" t="s">
        <v>83</v>
      </c>
      <c r="F29" s="32" t="s">
        <v>83</v>
      </c>
      <c r="G29" s="32" t="s">
        <v>83</v>
      </c>
    </row>
    <row customFormat="1" r="30" s="2" spans="1:7" x14ac:dyDescent="0.25">
      <c r="A30" s="2" t="s">
        <v>25</v>
      </c>
      <c r="B30" s="1">
        <v>40266</v>
      </c>
      <c r="C30" s="1">
        <v>40266</v>
      </c>
      <c r="D30" s="1">
        <v>40266</v>
      </c>
      <c r="E30" s="1">
        <v>40266</v>
      </c>
      <c r="F30" s="1">
        <v>40266</v>
      </c>
      <c r="G30" s="1">
        <v>40266</v>
      </c>
    </row>
    <row customFormat="1" r="31" s="2" spans="1:7" x14ac:dyDescent="0.25">
      <c r="A31" s="2" t="s">
        <v>11</v>
      </c>
      <c r="B31" s="2" t="s">
        <v>3386</v>
      </c>
      <c r="C31" s="2" t="s">
        <v>3386</v>
      </c>
      <c r="D31" s="2" t="s">
        <v>3386</v>
      </c>
      <c r="E31" s="2" t="s">
        <v>3386</v>
      </c>
      <c r="F31" s="2" t="s">
        <v>3386</v>
      </c>
      <c r="G31" s="2" t="s">
        <v>3386</v>
      </c>
    </row>
    <row customFormat="1" r="32" s="2" spans="1:7" x14ac:dyDescent="0.25">
      <c r="A32" s="2" t="s">
        <v>10</v>
      </c>
      <c r="B32" s="2" t="s">
        <v>3387</v>
      </c>
      <c r="C32" s="2" t="s">
        <v>3387</v>
      </c>
      <c r="D32" s="2" t="s">
        <v>3387</v>
      </c>
      <c r="E32" s="2" t="s">
        <v>3387</v>
      </c>
      <c r="F32" s="2" t="s">
        <v>3387</v>
      </c>
      <c r="G32" s="2" t="s">
        <v>3387</v>
      </c>
    </row>
    <row customFormat="1" r="33" s="2" spans="1:7" x14ac:dyDescent="0.25">
      <c r="A33" s="2" t="s">
        <v>12</v>
      </c>
      <c r="B33" s="2" t="s">
        <v>3384</v>
      </c>
      <c r="C33" s="2" t="s">
        <v>3384</v>
      </c>
      <c r="D33" s="2" t="s">
        <v>3384</v>
      </c>
      <c r="E33" s="2" t="s">
        <v>3384</v>
      </c>
      <c r="F33" s="2" t="s">
        <v>3384</v>
      </c>
      <c r="G33" s="2" t="s">
        <v>3384</v>
      </c>
    </row>
    <row customFormat="1" r="34" s="2" spans="1:7" x14ac:dyDescent="0.25">
      <c r="A34" s="1" t="s">
        <v>3088</v>
      </c>
      <c r="B34" s="32" t="s">
        <v>1597</v>
      </c>
      <c r="C34" s="32" t="s">
        <v>1597</v>
      </c>
      <c r="D34" s="32" t="s">
        <v>1597</v>
      </c>
      <c r="E34" s="32" t="s">
        <v>1597</v>
      </c>
      <c r="F34" s="32" t="s">
        <v>1597</v>
      </c>
      <c r="G34" s="32" t="s">
        <v>1597</v>
      </c>
    </row>
    <row customFormat="1" r="35" s="2" spans="1:7" x14ac:dyDescent="0.25">
      <c r="A35" s="1" t="s">
        <v>3089</v>
      </c>
      <c r="B35" s="32" t="s">
        <v>519</v>
      </c>
      <c r="C35" s="32" t="s">
        <v>519</v>
      </c>
      <c r="D35" s="32" t="s">
        <v>519</v>
      </c>
      <c r="E35" s="32" t="s">
        <v>519</v>
      </c>
      <c r="F35" s="32" t="s">
        <v>519</v>
      </c>
      <c r="G35" s="32" t="s">
        <v>519</v>
      </c>
    </row>
    <row customFormat="1" r="36" s="2" spans="1:7" x14ac:dyDescent="0.25">
      <c r="A36" s="1" t="s">
        <v>3090</v>
      </c>
      <c r="B36" s="32" t="s">
        <v>3477</v>
      </c>
      <c r="C36" s="32" t="s">
        <v>3477</v>
      </c>
      <c r="D36" s="32" t="s">
        <v>3477</v>
      </c>
      <c r="E36" s="32" t="s">
        <v>3477</v>
      </c>
      <c r="F36" s="32" t="s">
        <v>3477</v>
      </c>
      <c r="G36" s="32" t="s">
        <v>3477</v>
      </c>
    </row>
    <row customFormat="1" r="37" s="2" spans="1:7" x14ac:dyDescent="0.25">
      <c r="A37" s="1" t="s">
        <v>3091</v>
      </c>
      <c r="B37" s="32" t="s">
        <v>1705</v>
      </c>
      <c r="C37" s="32" t="s">
        <v>1705</v>
      </c>
      <c r="D37" s="32" t="s">
        <v>1705</v>
      </c>
      <c r="E37" s="32" t="s">
        <v>1705</v>
      </c>
      <c r="F37" s="32" t="s">
        <v>1705</v>
      </c>
      <c r="G37" s="32" t="s">
        <v>1705</v>
      </c>
    </row>
    <row customFormat="1" r="38" s="2" spans="1:7" x14ac:dyDescent="0.25">
      <c r="A38" s="1" t="s">
        <v>3092</v>
      </c>
      <c r="B38" s="32" t="s">
        <v>528</v>
      </c>
      <c r="C38" s="32" t="s">
        <v>528</v>
      </c>
      <c r="D38" s="32" t="s">
        <v>528</v>
      </c>
      <c r="E38" s="32" t="s">
        <v>528</v>
      </c>
      <c r="F38" s="32" t="s">
        <v>528</v>
      </c>
      <c r="G38" s="32" t="s">
        <v>528</v>
      </c>
    </row>
    <row customFormat="1" r="39" s="2" spans="1:7" x14ac:dyDescent="0.25">
      <c r="A39" s="1" t="s">
        <v>3093</v>
      </c>
      <c r="B39" s="32" t="s">
        <v>537</v>
      </c>
      <c r="C39" s="32" t="s">
        <v>537</v>
      </c>
      <c r="D39" s="32" t="s">
        <v>537</v>
      </c>
      <c r="E39" s="32" t="s">
        <v>537</v>
      </c>
      <c r="F39" s="32" t="s">
        <v>537</v>
      </c>
      <c r="G39" s="32" t="s">
        <v>537</v>
      </c>
    </row>
    <row customFormat="1" r="40" s="2" spans="1:7" x14ac:dyDescent="0.25">
      <c r="A40" s="2" t="s">
        <v>3097</v>
      </c>
      <c r="B40" s="32" t="s">
        <v>519</v>
      </c>
      <c r="C40" s="32" t="s">
        <v>519</v>
      </c>
      <c r="D40" s="32" t="s">
        <v>519</v>
      </c>
      <c r="E40" s="32" t="s">
        <v>519</v>
      </c>
      <c r="F40" s="32" t="s">
        <v>519</v>
      </c>
      <c r="G40" s="32" t="s">
        <v>519</v>
      </c>
    </row>
    <row customFormat="1" r="41" s="2" spans="1:7" x14ac:dyDescent="0.25">
      <c r="A41" s="2" t="s">
        <v>3098</v>
      </c>
      <c r="B41" s="32" t="s">
        <v>3476</v>
      </c>
      <c r="C41" s="32" t="s">
        <v>3476</v>
      </c>
      <c r="D41" s="32" t="s">
        <v>3476</v>
      </c>
      <c r="E41" s="32" t="s">
        <v>3476</v>
      </c>
      <c r="F41" s="32" t="s">
        <v>3476</v>
      </c>
      <c r="G41" s="32" t="s">
        <v>3476</v>
      </c>
    </row>
  </sheetData>
  <conditionalFormatting sqref="A16 H16:XFD16">
    <cfRule dxfId="64" priority="7" type="expression">
      <formula>OR(A$14="AKTA",A$14="E-KTP",A$14="NPWP")</formula>
    </cfRule>
  </conditionalFormatting>
  <conditionalFormatting sqref="D16">
    <cfRule dxfId="63" priority="6" type="expression">
      <formula>OR(D$14="AKTA",D$14="E-KTP",D$14="NPWP")</formula>
    </cfRule>
  </conditionalFormatting>
  <conditionalFormatting sqref="B16">
    <cfRule dxfId="62" priority="5" type="expression">
      <formula>OR(B$14="AKTA",B$14="E-KTP",B$14="NPWP")</formula>
    </cfRule>
  </conditionalFormatting>
  <conditionalFormatting sqref="C16">
    <cfRule dxfId="61" priority="4" type="expression">
      <formula>OR(C$14="AKTA",C$14="E-KTP",C$14="NPWP")</formula>
    </cfRule>
  </conditionalFormatting>
  <conditionalFormatting sqref="E16">
    <cfRule dxfId="60" priority="3" type="expression">
      <formula>OR(E$14="AKTA",E$14="E-KTP",E$14="NPWP")</formula>
    </cfRule>
  </conditionalFormatting>
  <conditionalFormatting sqref="F16">
    <cfRule dxfId="59" priority="2" type="expression">
      <formula>OR(F$14="AKTA",F$14="E-KTP",F$14="NPWP")</formula>
    </cfRule>
  </conditionalFormatting>
  <conditionalFormatting sqref="G16">
    <cfRule dxfId="58" priority="1" type="expression">
      <formula>OR(G$14="AKTA",G$14="E-KTP",G$14="NPWP")</formula>
    </cfRule>
  </conditionalFormatting>
  <dataValidations count="6">
    <dataValidation allowBlank="1" showErrorMessage="1" showInputMessage="1" sqref="B23:G23" type="list">
      <formula1>"Brother, Father, Mother, Other, Sister, Spouse"</formula1>
    </dataValidation>
    <dataValidation errorStyle="information" showErrorMessage="1" showInputMessage="1" sqref="B20:G20" type="list">
      <formula1>ListJobPosition</formula1>
    </dataValidation>
    <dataValidation allowBlank="1" errorStyle="information" showErrorMessage="1" showInputMessage="1" sqref="B14:G14" type="list">
      <formula1>"AKTA, CAT CAT, CAT IS A CAT, DESCRIPTION FOR AAA, DESCRIPTION FOR ASA, DESCRIPTION FOR KTP, E-KTP, KITAS, NPWP, SIM, KARTU TANDA MAHASISWA"</formula1>
    </dataValidation>
    <dataValidation allowBlank="1" errorStyle="information" showErrorMessage="1" showInputMessage="1" sqref="B15:G15"/>
    <dataValidation allowBlank="1" errorStyle="information" showErrorMessage="1" showInputMessage="1" sqref="B16:G16" type="custom">
      <formula1>AND(B$14&lt;&gt;"E-KTP",B$14&lt;&gt;"AKTA",B$14&lt;&gt;"NPWP")</formula1>
    </dataValidation>
    <dataValidation errorStyle="information" showErrorMessage="1" showInputMessage="1" sqref="B19:G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H79"/>
  <sheetViews>
    <sheetView topLeftCell="A61" workbookViewId="0">
      <selection activeCell="C71" sqref="C71"/>
    </sheetView>
  </sheetViews>
  <sheetFormatPr defaultRowHeight="15" x14ac:dyDescent="0.25"/>
  <cols>
    <col min="1" max="1" bestFit="true" customWidth="true" width="49.85546875" collapsed="true"/>
    <col min="2" max="7" bestFit="true" customWidth="true" width="19.85546875" collapsed="true"/>
  </cols>
  <sheetData>
    <row customFormat="1" r="1" s="2" spans="1:7" x14ac:dyDescent="0.25">
      <c r="A1" s="2" t="s">
        <v>3</v>
      </c>
      <c r="B1" s="2" t="s">
        <v>2794</v>
      </c>
      <c r="C1" s="2" t="s">
        <v>2794</v>
      </c>
      <c r="D1" s="2" t="s">
        <v>2794</v>
      </c>
      <c r="E1" s="2" t="s">
        <v>2794</v>
      </c>
      <c r="F1" s="2" t="s">
        <v>2794</v>
      </c>
      <c r="G1" s="2"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COUNTIFS($A$12,"*$*",B12,"")+COUNTIFS($A$35,"*$*",B35,"")+IF(B10&lt;&gt;A10,COUNTIFS($A$53:$A$54,"*$*",B53:B54,"")+COUNTIFS($A$61:$A$62,"*$*",B61:B62,""),0)</f>
        <v>0</v>
      </c>
      <c r="C4" s="2">
        <f>COUNTIFS($A$12,"*$*",C12,"")+COUNTIFS($A$35,"*$*",C35,"")+IF(C10&lt;&gt;B10,COUNTIFS($A$53:$A$54,"*$*",C53:C54,"")+COUNTIFS($A$61:$A$62,"*$*",C61:C62,""),0)</f>
        <v>0</v>
      </c>
      <c r="D4" s="2">
        <f>COUNTIFS($A$12,"*$*",D12,"")+COUNTIFS($A$35,"*$*",D35,"")+IF(D10&lt;&gt;C10,COUNTIFS($A$53:$A$54,"*$*",D53:D54,"")+COUNTIFS($A$61:$A$62,"*$*",D61:D62,""),0)</f>
        <v>0</v>
      </c>
      <c r="E4" s="2">
        <f ref="E4:G4" si="0" t="shared">COUNTIFS($A$12,"*$*",E12,"")+COUNTIFS($A$35,"*$*",E35,"")+IF(E10&lt;&gt;D10,COUNTIFS($A$53:$A$54,"*$*",E53:E54,"")+COUNTIFS($A$61:$A$62,"*$*",E61:E62,""),0)</f>
        <v>0</v>
      </c>
      <c r="F4" s="2">
        <f si="0" t="shared"/>
        <v>0</v>
      </c>
      <c r="G4" s="2">
        <f si="0" t="shared"/>
        <v>0</v>
      </c>
    </row>
    <row customFormat="1" r="5" s="2" spans="1:7" x14ac:dyDescent="0.25"/>
    <row customFormat="1" r="6" s="2" spans="1:7" x14ac:dyDescent="0.25"/>
    <row customFormat="1" r="7" s="2" spans="1:7" x14ac:dyDescent="0.25"/>
    <row customFormat="1" r="8" s="49" spans="1:7" x14ac:dyDescent="0.25"/>
    <row customFormat="1" r="9" s="2" spans="1:7" x14ac:dyDescent="0.25">
      <c r="A9" s="2" t="s">
        <v>3084</v>
      </c>
      <c r="B9" s="2" t="str">
        <f>'1.CustomerDetail'!B12</f>
        <v>0002APP20221206283</v>
      </c>
      <c r="C9" s="2" t="str">
        <f>'1.CustomerDetail'!B12</f>
        <v>0002APP20221206283</v>
      </c>
      <c r="D9" s="2">
        <f>'1.CustomerDetail'!D12</f>
        <v>0</v>
      </c>
      <c r="E9" s="2">
        <f>'1.CustomerDetail'!E12</f>
        <v>0</v>
      </c>
      <c r="F9" s="2">
        <f>'1.CustomerDetail'!F12</f>
        <v>0</v>
      </c>
      <c r="G9" s="2">
        <f>'1.CustomerDetail'!G12</f>
        <v>0</v>
      </c>
    </row>
    <row customFormat="1" r="10" s="2" spans="1:7" x14ac:dyDescent="0.25">
      <c r="A10" s="2" t="s">
        <v>3459</v>
      </c>
      <c r="B10" s="2" t="str">
        <f>'1.CustomerDetail'!B13</f>
        <v>-</v>
      </c>
      <c r="C10" s="2" t="str">
        <f>'1.CustomerDetail'!B13</f>
        <v>-</v>
      </c>
      <c r="D10" s="2" t="str">
        <f>'1.CustomerDetail'!F13</f>
        <v>-</v>
      </c>
      <c r="E10" s="2" t="str">
        <f>'1.CustomerDetail'!G13</f>
        <v>-</v>
      </c>
      <c r="F10" s="2">
        <f>'1.CustomerDetail'!H13</f>
        <v>0</v>
      </c>
      <c r="G10" s="2">
        <f>'1.CustomerDetail'!I13</f>
        <v>0</v>
      </c>
    </row>
    <row customFormat="1" r="11" s="53" spans="1:7" x14ac:dyDescent="0.25">
      <c r="A11" s="53" t="s">
        <v>3100</v>
      </c>
    </row>
    <row customFormat="1" r="12" s="2" spans="1:7" x14ac:dyDescent="0.25">
      <c r="A12" s="30" t="s">
        <v>3428</v>
      </c>
      <c r="B12" s="34">
        <v>0</v>
      </c>
      <c r="C12" s="34">
        <v>0</v>
      </c>
      <c r="D12" s="34">
        <v>0</v>
      </c>
      <c r="E12" s="34">
        <v>0</v>
      </c>
      <c r="F12" s="34">
        <v>0</v>
      </c>
      <c r="G12" s="34">
        <v>0</v>
      </c>
    </row>
    <row customFormat="1" r="13" s="2" spans="1:7" x14ac:dyDescent="0.25">
      <c r="A13" s="1" t="s">
        <v>3099</v>
      </c>
      <c r="B13" s="35">
        <v>0</v>
      </c>
      <c r="C13" s="35">
        <v>0</v>
      </c>
      <c r="D13" s="35">
        <v>0</v>
      </c>
      <c r="E13" s="35">
        <v>0</v>
      </c>
      <c r="F13" s="35">
        <v>0</v>
      </c>
      <c r="G13" s="35">
        <v>0</v>
      </c>
    </row>
    <row customFormat="1" r="14" s="2" spans="1:7" x14ac:dyDescent="0.25">
      <c r="A14" s="1" t="s">
        <v>26</v>
      </c>
      <c r="B14" s="36">
        <v>1</v>
      </c>
      <c r="C14" s="36">
        <v>1</v>
      </c>
      <c r="D14" s="36">
        <v>1</v>
      </c>
      <c r="E14" s="36">
        <v>1</v>
      </c>
      <c r="F14" s="36">
        <v>1</v>
      </c>
      <c r="G14" s="36">
        <v>1</v>
      </c>
    </row>
    <row customFormat="1" r="15" s="2" spans="1:7" x14ac:dyDescent="0.25">
      <c r="A15" s="1" t="s">
        <v>27</v>
      </c>
      <c r="B15" s="36">
        <v>1</v>
      </c>
      <c r="C15" s="36">
        <v>1</v>
      </c>
      <c r="D15" s="36">
        <v>1</v>
      </c>
      <c r="E15" s="36">
        <v>1</v>
      </c>
      <c r="F15" s="36">
        <v>1</v>
      </c>
      <c r="G15" s="36">
        <v>1</v>
      </c>
    </row>
    <row customFormat="1" r="16" s="2" spans="1:7" x14ac:dyDescent="0.25">
      <c r="A16" s="1" t="s">
        <v>28</v>
      </c>
      <c r="B16" s="36">
        <v>1</v>
      </c>
      <c r="C16" s="36">
        <v>1</v>
      </c>
      <c r="D16" s="36">
        <v>1</v>
      </c>
      <c r="E16" s="36">
        <v>1</v>
      </c>
      <c r="F16" s="36">
        <v>1</v>
      </c>
      <c r="G16" s="36">
        <v>1</v>
      </c>
    </row>
    <row customFormat="1" r="17" s="2" spans="1:7" x14ac:dyDescent="0.25">
      <c r="A17" s="1" t="s">
        <v>29</v>
      </c>
      <c r="B17" s="36">
        <v>1</v>
      </c>
      <c r="C17" s="36">
        <v>1</v>
      </c>
      <c r="D17" s="36">
        <v>1</v>
      </c>
      <c r="E17" s="36">
        <v>1</v>
      </c>
      <c r="F17" s="36">
        <v>1</v>
      </c>
      <c r="G17" s="36">
        <v>1</v>
      </c>
    </row>
    <row customFormat="1" r="18" s="2" spans="1:7" x14ac:dyDescent="0.25">
      <c r="A18" s="1" t="s">
        <v>30</v>
      </c>
      <c r="B18" s="36">
        <v>1</v>
      </c>
      <c r="C18" s="36">
        <v>1</v>
      </c>
      <c r="D18" s="36">
        <v>1</v>
      </c>
      <c r="E18" s="36">
        <v>1</v>
      </c>
      <c r="F18" s="36">
        <v>1</v>
      </c>
      <c r="G18" s="36">
        <v>1</v>
      </c>
    </row>
    <row customFormat="1" r="19" s="2" spans="1:7" x14ac:dyDescent="0.25">
      <c r="A19" s="1" t="s">
        <v>31</v>
      </c>
      <c r="B19" s="36">
        <v>1</v>
      </c>
      <c r="C19" s="36">
        <v>1</v>
      </c>
      <c r="D19" s="36">
        <v>1</v>
      </c>
      <c r="E19" s="36">
        <v>1</v>
      </c>
      <c r="F19" s="36">
        <v>1</v>
      </c>
      <c r="G19" s="36">
        <v>1</v>
      </c>
    </row>
    <row customFormat="1" r="20" s="2" spans="1:7" x14ac:dyDescent="0.25">
      <c r="A20" s="1" t="s">
        <v>32</v>
      </c>
      <c r="B20" s="36">
        <v>1</v>
      </c>
      <c r="C20" s="36">
        <v>1</v>
      </c>
      <c r="D20" s="36">
        <v>1</v>
      </c>
      <c r="E20" s="36">
        <v>1</v>
      </c>
      <c r="F20" s="36">
        <v>1</v>
      </c>
      <c r="G20" s="36">
        <v>1</v>
      </c>
    </row>
    <row customFormat="1" r="21" s="2" spans="1:7" x14ac:dyDescent="0.25">
      <c r="A21" s="1" t="s">
        <v>33</v>
      </c>
      <c r="B21" s="36">
        <v>1</v>
      </c>
      <c r="C21" s="36">
        <v>1</v>
      </c>
      <c r="D21" s="36">
        <v>1</v>
      </c>
      <c r="E21" s="36">
        <v>1</v>
      </c>
      <c r="F21" s="36">
        <v>1</v>
      </c>
      <c r="G21" s="36">
        <v>1</v>
      </c>
    </row>
    <row customFormat="1" r="22" s="2" spans="1:7" x14ac:dyDescent="0.25">
      <c r="A22" s="1" t="s">
        <v>34</v>
      </c>
      <c r="B22" s="36">
        <v>1</v>
      </c>
      <c r="C22" s="36">
        <v>1</v>
      </c>
      <c r="D22" s="36">
        <v>1</v>
      </c>
      <c r="E22" s="36">
        <v>1</v>
      </c>
      <c r="F22" s="36">
        <v>1</v>
      </c>
      <c r="G22" s="36">
        <v>1</v>
      </c>
    </row>
    <row customFormat="1" r="23" s="2" spans="1:7" x14ac:dyDescent="0.25">
      <c r="A23" s="1" t="s">
        <v>35</v>
      </c>
      <c r="B23" s="35">
        <v>0</v>
      </c>
      <c r="C23" s="35">
        <v>0</v>
      </c>
      <c r="D23" s="35">
        <v>0</v>
      </c>
      <c r="E23" s="35">
        <v>0</v>
      </c>
      <c r="F23" s="35">
        <v>0</v>
      </c>
      <c r="G23" s="35">
        <v>0</v>
      </c>
    </row>
    <row customFormat="1" r="24" s="2" spans="1:7" x14ac:dyDescent="0.25">
      <c r="A24" s="1" t="s">
        <v>36</v>
      </c>
      <c r="B24" s="35">
        <v>0</v>
      </c>
      <c r="C24" s="35">
        <v>0</v>
      </c>
      <c r="D24" s="35">
        <v>0</v>
      </c>
      <c r="E24" s="35">
        <v>0</v>
      </c>
      <c r="F24" s="35">
        <v>0</v>
      </c>
      <c r="G24" s="35">
        <v>0</v>
      </c>
    </row>
    <row customFormat="1" r="25" s="2" spans="1:7" x14ac:dyDescent="0.25">
      <c r="A25" s="1" t="s">
        <v>37</v>
      </c>
      <c r="B25" s="35">
        <v>0</v>
      </c>
      <c r="C25" s="35">
        <v>0</v>
      </c>
      <c r="D25" s="35">
        <v>0</v>
      </c>
      <c r="E25" s="35">
        <v>0</v>
      </c>
      <c r="F25" s="35">
        <v>0</v>
      </c>
      <c r="G25" s="35">
        <v>0</v>
      </c>
    </row>
    <row customFormat="1" r="26" s="2" spans="1:7" x14ac:dyDescent="0.25">
      <c r="A26" s="1" t="s">
        <v>38</v>
      </c>
      <c r="B26" s="35">
        <v>0</v>
      </c>
      <c r="C26" s="35">
        <v>0</v>
      </c>
      <c r="D26" s="35">
        <v>0</v>
      </c>
      <c r="E26" s="35">
        <v>0</v>
      </c>
      <c r="F26" s="35">
        <v>0</v>
      </c>
      <c r="G26" s="35">
        <v>0</v>
      </c>
    </row>
    <row customFormat="1" r="27" s="2" spans="1:7" x14ac:dyDescent="0.25">
      <c r="A27" s="1" t="s">
        <v>39</v>
      </c>
      <c r="B27" s="35">
        <v>0</v>
      </c>
      <c r="C27" s="35">
        <v>0</v>
      </c>
      <c r="D27" s="35">
        <v>0</v>
      </c>
      <c r="E27" s="35">
        <v>0</v>
      </c>
      <c r="F27" s="35">
        <v>0</v>
      </c>
      <c r="G27" s="35">
        <v>0</v>
      </c>
    </row>
    <row customFormat="1" r="28" s="2" spans="1:7" x14ac:dyDescent="0.25">
      <c r="A28" s="1" t="s">
        <v>40</v>
      </c>
      <c r="B28" s="35">
        <v>0</v>
      </c>
      <c r="C28" s="35">
        <v>0</v>
      </c>
      <c r="D28" s="35">
        <v>0</v>
      </c>
      <c r="E28" s="35">
        <v>0</v>
      </c>
      <c r="F28" s="35">
        <v>0</v>
      </c>
      <c r="G28" s="35">
        <v>0</v>
      </c>
    </row>
    <row customFormat="1" r="29" s="2" spans="1:7" x14ac:dyDescent="0.25">
      <c r="A29" s="1" t="s">
        <v>41</v>
      </c>
      <c r="B29" s="35">
        <v>0</v>
      </c>
      <c r="C29" s="35">
        <v>0</v>
      </c>
      <c r="D29" s="35">
        <v>0</v>
      </c>
      <c r="E29" s="35">
        <v>0</v>
      </c>
      <c r="F29" s="35">
        <v>0</v>
      </c>
      <c r="G29" s="35">
        <v>0</v>
      </c>
    </row>
    <row customFormat="1" r="30" s="2" spans="1:7" x14ac:dyDescent="0.25">
      <c r="A30" s="1" t="s">
        <v>42</v>
      </c>
      <c r="B30" s="35">
        <v>0</v>
      </c>
      <c r="C30" s="35">
        <v>0</v>
      </c>
      <c r="D30" s="35">
        <v>0</v>
      </c>
      <c r="E30" s="35">
        <v>0</v>
      </c>
      <c r="F30" s="35">
        <v>0</v>
      </c>
      <c r="G30" s="35">
        <v>0</v>
      </c>
    </row>
    <row customFormat="1" r="31" s="2" spans="1:7" x14ac:dyDescent="0.25">
      <c r="A31" s="1" t="s">
        <v>43</v>
      </c>
      <c r="B31" s="35">
        <v>0</v>
      </c>
      <c r="C31" s="35">
        <v>0</v>
      </c>
      <c r="D31" s="35">
        <v>0</v>
      </c>
      <c r="E31" s="35">
        <v>0</v>
      </c>
      <c r="F31" s="35">
        <v>0</v>
      </c>
      <c r="G31" s="35">
        <v>0</v>
      </c>
    </row>
    <row customFormat="1" r="32" s="2" spans="1:7" x14ac:dyDescent="0.25">
      <c r="A32" s="1" t="s">
        <v>44</v>
      </c>
      <c r="B32" s="35">
        <v>0</v>
      </c>
      <c r="C32" s="35">
        <v>0</v>
      </c>
      <c r="D32" s="35">
        <v>0</v>
      </c>
      <c r="E32" s="35">
        <v>0</v>
      </c>
      <c r="F32" s="35">
        <v>0</v>
      </c>
      <c r="G32" s="35">
        <v>0</v>
      </c>
    </row>
    <row customFormat="1" r="33" s="2" spans="1:7" x14ac:dyDescent="0.25">
      <c r="A33" s="1" t="s">
        <v>45</v>
      </c>
      <c r="B33" s="35">
        <v>0</v>
      </c>
      <c r="C33" s="35">
        <v>0</v>
      </c>
      <c r="D33" s="35">
        <v>0</v>
      </c>
      <c r="E33" s="35">
        <v>0</v>
      </c>
      <c r="F33" s="35">
        <v>0</v>
      </c>
      <c r="G33" s="35">
        <v>0</v>
      </c>
    </row>
    <row customFormat="1" r="34" s="2" spans="1:7" x14ac:dyDescent="0.25">
      <c r="A34" s="1" t="s">
        <v>46</v>
      </c>
      <c r="B34" s="35">
        <v>0</v>
      </c>
      <c r="C34" s="35">
        <v>0</v>
      </c>
      <c r="D34" s="35">
        <v>0</v>
      </c>
      <c r="E34" s="35">
        <v>0</v>
      </c>
      <c r="F34" s="35">
        <v>0</v>
      </c>
      <c r="G34" s="35">
        <v>0</v>
      </c>
    </row>
    <row customFormat="1" r="35" s="2" spans="1:7" x14ac:dyDescent="0.25">
      <c r="A35" s="30" t="s">
        <v>3429</v>
      </c>
      <c r="B35" s="33" t="s">
        <v>3395</v>
      </c>
      <c r="C35" s="33" t="s">
        <v>3395</v>
      </c>
      <c r="D35" s="33" t="s">
        <v>3395</v>
      </c>
      <c r="E35" s="33" t="s">
        <v>3395</v>
      </c>
      <c r="F35" s="33" t="s">
        <v>3395</v>
      </c>
      <c r="G35" s="33" t="s">
        <v>3395</v>
      </c>
    </row>
    <row customFormat="1" r="36" s="45" spans="1:7" x14ac:dyDescent="0.25">
      <c r="A36" s="45" t="s">
        <v>3101</v>
      </c>
    </row>
    <row customFormat="1" r="37" s="2" spans="1:7" x14ac:dyDescent="0.25">
      <c r="A37" s="2" t="s">
        <v>47</v>
      </c>
      <c r="B37" s="34">
        <v>0</v>
      </c>
      <c r="C37" s="34">
        <v>0</v>
      </c>
      <c r="D37" s="34">
        <v>0</v>
      </c>
      <c r="E37" s="34">
        <v>0</v>
      </c>
      <c r="F37" s="34">
        <v>0</v>
      </c>
      <c r="G37" s="34">
        <v>0</v>
      </c>
    </row>
    <row customFormat="1" r="38" s="2" spans="1:7" x14ac:dyDescent="0.25">
      <c r="A38" s="2" t="s">
        <v>48</v>
      </c>
      <c r="B38" s="34">
        <v>0</v>
      </c>
      <c r="C38" s="34">
        <v>0</v>
      </c>
      <c r="D38" s="34">
        <v>0</v>
      </c>
      <c r="E38" s="34">
        <v>0</v>
      </c>
      <c r="F38" s="34">
        <v>0</v>
      </c>
      <c r="G38" s="34">
        <v>0</v>
      </c>
    </row>
    <row customFormat="1" r="39" s="2" spans="1:7" x14ac:dyDescent="0.25">
      <c r="A39" s="2" t="s">
        <v>49</v>
      </c>
      <c r="B39" s="34">
        <v>0</v>
      </c>
      <c r="C39" s="34">
        <v>0</v>
      </c>
      <c r="D39" s="34">
        <v>0</v>
      </c>
      <c r="E39" s="34">
        <v>0</v>
      </c>
      <c r="F39" s="34">
        <v>0</v>
      </c>
      <c r="G39" s="34">
        <v>0</v>
      </c>
    </row>
    <row customFormat="1" r="40" s="2" spans="1:7" x14ac:dyDescent="0.25">
      <c r="A40" s="2" t="s">
        <v>50</v>
      </c>
      <c r="B40" s="34">
        <v>0</v>
      </c>
      <c r="C40" s="34">
        <v>0</v>
      </c>
      <c r="D40" s="34">
        <v>0</v>
      </c>
      <c r="E40" s="34">
        <v>0</v>
      </c>
      <c r="F40" s="34">
        <v>0</v>
      </c>
      <c r="G40" s="34">
        <v>0</v>
      </c>
    </row>
    <row customFormat="1" r="41" s="2" spans="1:7" x14ac:dyDescent="0.25">
      <c r="A41" s="2" t="s">
        <v>51</v>
      </c>
      <c r="B41" s="34">
        <v>0</v>
      </c>
      <c r="C41" s="34">
        <v>0</v>
      </c>
      <c r="D41" s="34">
        <v>0</v>
      </c>
      <c r="E41" s="34">
        <v>0</v>
      </c>
      <c r="F41" s="34">
        <v>0</v>
      </c>
      <c r="G41" s="34">
        <v>0</v>
      </c>
    </row>
    <row customFormat="1" r="42" s="2" spans="1:7" x14ac:dyDescent="0.25">
      <c r="A42" s="2" t="s">
        <v>52</v>
      </c>
      <c r="B42" s="34">
        <v>0</v>
      </c>
      <c r="C42" s="34">
        <v>0</v>
      </c>
      <c r="D42" s="34">
        <v>0</v>
      </c>
      <c r="E42" s="34">
        <v>0</v>
      </c>
      <c r="F42" s="34">
        <v>0</v>
      </c>
      <c r="G42" s="34">
        <v>0</v>
      </c>
    </row>
    <row customFormat="1" r="43" s="2" spans="1:7" x14ac:dyDescent="0.25">
      <c r="A43" s="2" t="s">
        <v>53</v>
      </c>
      <c r="B43" s="34">
        <v>0</v>
      </c>
      <c r="C43" s="34">
        <v>0</v>
      </c>
      <c r="D43" s="34">
        <v>0</v>
      </c>
      <c r="E43" s="34">
        <v>0</v>
      </c>
      <c r="F43" s="34">
        <v>0</v>
      </c>
      <c r="G43" s="34">
        <v>0</v>
      </c>
    </row>
    <row customFormat="1" r="44" s="2" spans="1:7" x14ac:dyDescent="0.25">
      <c r="A44" s="2" t="s">
        <v>54</v>
      </c>
      <c r="B44" s="34">
        <v>0</v>
      </c>
      <c r="C44" s="34">
        <v>0</v>
      </c>
      <c r="D44" s="34">
        <v>0</v>
      </c>
      <c r="E44" s="34">
        <v>0</v>
      </c>
      <c r="F44" s="34">
        <v>0</v>
      </c>
      <c r="G44" s="34">
        <v>0</v>
      </c>
    </row>
    <row customFormat="1" r="45" s="2" spans="1:7" x14ac:dyDescent="0.25">
      <c r="A45" s="2" t="s">
        <v>55</v>
      </c>
      <c r="B45" s="34">
        <v>0</v>
      </c>
      <c r="C45" s="34">
        <v>0</v>
      </c>
      <c r="D45" s="34">
        <v>0</v>
      </c>
      <c r="E45" s="34">
        <v>0</v>
      </c>
      <c r="F45" s="34">
        <v>0</v>
      </c>
      <c r="G45" s="34">
        <v>0</v>
      </c>
    </row>
    <row customFormat="1" r="46" s="2" spans="1:7" x14ac:dyDescent="0.25">
      <c r="A46" s="2" t="s">
        <v>56</v>
      </c>
      <c r="B46" s="34">
        <v>0</v>
      </c>
      <c r="C46" s="34">
        <v>0</v>
      </c>
      <c r="D46" s="34">
        <v>0</v>
      </c>
      <c r="E46" s="34">
        <v>0</v>
      </c>
      <c r="F46" s="34">
        <v>0</v>
      </c>
      <c r="G46" s="34">
        <v>0</v>
      </c>
    </row>
    <row customFormat="1" r="47" s="2" spans="1:7" x14ac:dyDescent="0.25">
      <c r="A47" s="2" t="s">
        <v>57</v>
      </c>
      <c r="B47" s="34">
        <v>0</v>
      </c>
      <c r="C47" s="34">
        <v>0</v>
      </c>
      <c r="D47" s="34">
        <v>0</v>
      </c>
      <c r="E47" s="34">
        <v>0</v>
      </c>
      <c r="F47" s="34">
        <v>0</v>
      </c>
      <c r="G47" s="34">
        <v>0</v>
      </c>
    </row>
    <row customFormat="1" r="48" s="2" spans="1:7" x14ac:dyDescent="0.25">
      <c r="A48" s="2" t="s">
        <v>58</v>
      </c>
      <c r="B48" s="34">
        <v>0</v>
      </c>
      <c r="C48" s="34">
        <v>0</v>
      </c>
      <c r="D48" s="34">
        <v>0</v>
      </c>
      <c r="E48" s="34">
        <v>0</v>
      </c>
      <c r="F48" s="34">
        <v>0</v>
      </c>
      <c r="G48" s="34">
        <v>0</v>
      </c>
    </row>
    <row customFormat="1" r="49" s="2" spans="1:7" x14ac:dyDescent="0.25">
      <c r="A49" s="2" t="s">
        <v>59</v>
      </c>
      <c r="B49" s="34">
        <v>0</v>
      </c>
      <c r="C49" s="34">
        <v>0</v>
      </c>
      <c r="D49" s="34">
        <v>0</v>
      </c>
      <c r="E49" s="34">
        <v>0</v>
      </c>
      <c r="F49" s="34">
        <v>0</v>
      </c>
      <c r="G49" s="34">
        <v>0</v>
      </c>
    </row>
    <row customFormat="1" r="50" s="2" spans="1:7" x14ac:dyDescent="0.25">
      <c r="A50" s="2" t="s">
        <v>60</v>
      </c>
      <c r="B50" s="34">
        <v>0</v>
      </c>
      <c r="C50" s="34">
        <v>0</v>
      </c>
      <c r="D50" s="34">
        <v>0</v>
      </c>
      <c r="E50" s="34">
        <v>0</v>
      </c>
      <c r="F50" s="34">
        <v>0</v>
      </c>
      <c r="G50" s="34">
        <v>0</v>
      </c>
    </row>
    <row customFormat="1" r="51" s="2" spans="1:7" x14ac:dyDescent="0.25">
      <c r="A51" s="2" t="s">
        <v>61</v>
      </c>
      <c r="B51" s="34">
        <v>0</v>
      </c>
      <c r="C51" s="34">
        <v>0</v>
      </c>
      <c r="D51" s="34">
        <v>0</v>
      </c>
      <c r="E51" s="34">
        <v>0</v>
      </c>
      <c r="F51" s="34">
        <v>0</v>
      </c>
      <c r="G51" s="34">
        <v>0</v>
      </c>
    </row>
    <row customFormat="1" r="52" s="2" spans="1:7" x14ac:dyDescent="0.25">
      <c r="A52" s="2" t="s">
        <v>62</v>
      </c>
      <c r="B52" s="34">
        <v>0</v>
      </c>
      <c r="C52" s="34">
        <v>0</v>
      </c>
      <c r="D52" s="34">
        <v>0</v>
      </c>
      <c r="E52" s="34">
        <v>0</v>
      </c>
      <c r="F52" s="34">
        <v>0</v>
      </c>
      <c r="G52" s="34">
        <v>0</v>
      </c>
    </row>
    <row customFormat="1" r="53" s="2" spans="1:7" x14ac:dyDescent="0.25">
      <c r="A53" s="29" t="s">
        <v>3454</v>
      </c>
      <c r="B53" s="34">
        <v>10</v>
      </c>
      <c r="C53" s="34">
        <v>10</v>
      </c>
      <c r="D53" s="34">
        <v>10</v>
      </c>
      <c r="E53" s="34">
        <v>10</v>
      </c>
      <c r="F53" s="34">
        <v>10</v>
      </c>
      <c r="G53" s="34">
        <v>10</v>
      </c>
    </row>
    <row customFormat="1" r="54" s="2" spans="1:7" x14ac:dyDescent="0.25">
      <c r="A54" s="29" t="s">
        <v>3455</v>
      </c>
      <c r="B54" s="34">
        <v>10</v>
      </c>
      <c r="C54" s="34">
        <v>10</v>
      </c>
      <c r="D54" s="34">
        <v>10</v>
      </c>
      <c r="E54" s="34">
        <v>10</v>
      </c>
      <c r="F54" s="34">
        <v>10</v>
      </c>
      <c r="G54" s="34">
        <v>10</v>
      </c>
    </row>
    <row customFormat="1" r="55" s="2" spans="1:7" x14ac:dyDescent="0.25">
      <c r="A55" s="2" t="s">
        <v>63</v>
      </c>
      <c r="B55" s="34">
        <v>0</v>
      </c>
      <c r="C55" s="34">
        <v>0</v>
      </c>
      <c r="D55" s="34">
        <v>0</v>
      </c>
      <c r="E55" s="34">
        <v>0</v>
      </c>
      <c r="F55" s="34">
        <v>0</v>
      </c>
      <c r="G55" s="34">
        <v>0</v>
      </c>
    </row>
    <row customFormat="1" r="56" s="2" spans="1:7" x14ac:dyDescent="0.25">
      <c r="A56" s="2" t="s">
        <v>64</v>
      </c>
      <c r="B56" s="34">
        <v>0</v>
      </c>
      <c r="C56" s="34">
        <v>0</v>
      </c>
      <c r="D56" s="34">
        <v>0</v>
      </c>
      <c r="E56" s="34">
        <v>0</v>
      </c>
      <c r="F56" s="34">
        <v>0</v>
      </c>
      <c r="G56" s="34">
        <v>0</v>
      </c>
    </row>
    <row customFormat="1" r="57" s="2" spans="1:7" x14ac:dyDescent="0.25">
      <c r="A57" s="2" t="s">
        <v>65</v>
      </c>
      <c r="B57" s="34">
        <v>0</v>
      </c>
      <c r="C57" s="34">
        <v>0</v>
      </c>
      <c r="D57" s="34">
        <v>0</v>
      </c>
      <c r="E57" s="34">
        <v>0</v>
      </c>
      <c r="F57" s="34">
        <v>0</v>
      </c>
      <c r="G57" s="34">
        <v>0</v>
      </c>
    </row>
    <row customFormat="1" r="58" s="2" spans="1:7" x14ac:dyDescent="0.25">
      <c r="A58" s="2" t="s">
        <v>66</v>
      </c>
      <c r="B58" s="34">
        <v>0</v>
      </c>
      <c r="C58" s="34">
        <v>0</v>
      </c>
      <c r="D58" s="34">
        <v>0</v>
      </c>
      <c r="E58" s="34">
        <v>0</v>
      </c>
      <c r="F58" s="34">
        <v>0</v>
      </c>
      <c r="G58" s="34">
        <v>0</v>
      </c>
    </row>
    <row customFormat="1" r="59" s="2" spans="1:7" x14ac:dyDescent="0.25">
      <c r="A59" s="2" t="s">
        <v>67</v>
      </c>
      <c r="B59" s="34">
        <v>0</v>
      </c>
      <c r="C59" s="34">
        <v>0</v>
      </c>
      <c r="D59" s="34">
        <v>0</v>
      </c>
      <c r="E59" s="34">
        <v>0</v>
      </c>
      <c r="F59" s="34">
        <v>0</v>
      </c>
      <c r="G59" s="34">
        <v>0</v>
      </c>
    </row>
    <row customFormat="1" r="60" s="2" spans="1:7" x14ac:dyDescent="0.25">
      <c r="A60" s="2" t="s">
        <v>68</v>
      </c>
      <c r="B60" s="34">
        <v>0</v>
      </c>
      <c r="C60" s="34">
        <v>0</v>
      </c>
      <c r="D60" s="34">
        <v>0</v>
      </c>
      <c r="E60" s="34">
        <v>0</v>
      </c>
      <c r="F60" s="34">
        <v>0</v>
      </c>
      <c r="G60" s="34">
        <v>0</v>
      </c>
    </row>
    <row customFormat="1" r="61" s="2" spans="1:7" x14ac:dyDescent="0.25">
      <c r="A61" s="29" t="s">
        <v>3456</v>
      </c>
      <c r="B61" s="34">
        <v>10</v>
      </c>
      <c r="C61" s="34">
        <v>10</v>
      </c>
      <c r="D61" s="34">
        <v>10</v>
      </c>
      <c r="E61" s="34">
        <v>10</v>
      </c>
      <c r="F61" s="34">
        <v>10</v>
      </c>
      <c r="G61" s="34">
        <v>10</v>
      </c>
    </row>
    <row customFormat="1" r="62" s="2" spans="1:7" x14ac:dyDescent="0.25">
      <c r="A62" s="29" t="s">
        <v>3457</v>
      </c>
      <c r="B62" s="34">
        <v>10</v>
      </c>
      <c r="C62" s="34">
        <v>10</v>
      </c>
      <c r="D62" s="34">
        <v>10</v>
      </c>
      <c r="E62" s="34">
        <v>10</v>
      </c>
      <c r="F62" s="34">
        <v>10</v>
      </c>
      <c r="G62" s="34">
        <v>10</v>
      </c>
    </row>
    <row customFormat="1" r="63" s="2" spans="1:7" x14ac:dyDescent="0.25">
      <c r="A63" s="2" t="s">
        <v>69</v>
      </c>
      <c r="B63" s="34">
        <v>0</v>
      </c>
      <c r="C63" s="34">
        <v>0</v>
      </c>
      <c r="D63" s="34">
        <v>0</v>
      </c>
      <c r="E63" s="34">
        <v>0</v>
      </c>
      <c r="F63" s="34">
        <v>0</v>
      </c>
      <c r="G63" s="34">
        <v>0</v>
      </c>
    </row>
    <row customFormat="1" r="64" s="2" spans="1:7" x14ac:dyDescent="0.25">
      <c r="A64" s="2" t="s">
        <v>70</v>
      </c>
      <c r="B64" s="34">
        <v>0</v>
      </c>
      <c r="C64" s="34">
        <v>0</v>
      </c>
      <c r="D64" s="34">
        <v>0</v>
      </c>
      <c r="E64" s="34">
        <v>0</v>
      </c>
      <c r="F64" s="34">
        <v>0</v>
      </c>
      <c r="G64" s="34">
        <v>0</v>
      </c>
    </row>
    <row customFormat="1" r="65" s="45" spans="1:7" x14ac:dyDescent="0.25">
      <c r="A65" s="43" t="s">
        <v>3102</v>
      </c>
      <c r="B65" s="44"/>
      <c r="C65" s="44"/>
      <c r="D65" s="44"/>
      <c r="E65" s="44"/>
      <c r="F65" s="44"/>
      <c r="G65" s="44"/>
    </row>
    <row customFormat="1" r="66" s="2" spans="1:7" x14ac:dyDescent="0.25">
      <c r="A66" s="31" t="s">
        <v>71</v>
      </c>
      <c r="B66" s="1" t="str">
        <f>VLOOKUP(B$67,Master!$AS:$AT,2,FALSE)</f>
        <v>014</v>
      </c>
      <c r="C66" s="1" t="str">
        <f>VLOOKUP(C$67,Master!$AS:$AT,2,FALSE)</f>
        <v>014</v>
      </c>
      <c r="D66" s="1" t="str">
        <f>VLOOKUP(D$67,Master!$AS:$AT,2,FALSE)</f>
        <v>014</v>
      </c>
      <c r="E66" s="1" t="str">
        <f>VLOOKUP(E$67,Master!$AS:$AT,2,FALSE)</f>
        <v>014</v>
      </c>
      <c r="F66" s="1" t="str">
        <f>VLOOKUP(F$67,Master!$AS:$AT,2,FALSE)</f>
        <v>014</v>
      </c>
      <c r="G66" s="1" t="str">
        <f>VLOOKUP(G$67,Master!$AS:$AT,2,FALSE)</f>
        <v>014</v>
      </c>
    </row>
    <row customFormat="1" r="67" s="2" spans="1:7" x14ac:dyDescent="0.25">
      <c r="A67" s="30" t="s">
        <v>72</v>
      </c>
      <c r="B67" s="1" t="s">
        <v>3124</v>
      </c>
      <c r="C67" s="1" t="s">
        <v>3124</v>
      </c>
      <c r="D67" s="1" t="s">
        <v>3124</v>
      </c>
      <c r="E67" s="1" t="s">
        <v>3124</v>
      </c>
      <c r="F67" s="1" t="s">
        <v>3124</v>
      </c>
      <c r="G67" s="1" t="s">
        <v>3124</v>
      </c>
    </row>
    <row customFormat="1" r="68" s="2" spans="1:7" x14ac:dyDescent="0.25">
      <c r="A68" s="30" t="s">
        <v>73</v>
      </c>
      <c r="B68" s="1" t="s">
        <v>3051</v>
      </c>
      <c r="C68" s="1" t="s">
        <v>3051</v>
      </c>
      <c r="D68" s="1" t="s">
        <v>3051</v>
      </c>
      <c r="E68" s="1" t="s">
        <v>3051</v>
      </c>
      <c r="F68" s="1" t="s">
        <v>3051</v>
      </c>
      <c r="G68" s="1" t="s">
        <v>3051</v>
      </c>
    </row>
    <row customFormat="1" r="69" s="2" spans="1:7" x14ac:dyDescent="0.25">
      <c r="A69" s="30" t="s">
        <v>74</v>
      </c>
      <c r="B69" s="1" t="s">
        <v>3396</v>
      </c>
      <c r="C69" s="1" t="s">
        <v>3499</v>
      </c>
      <c r="D69" s="1" t="s">
        <v>3396</v>
      </c>
      <c r="E69" s="1" t="s">
        <v>3396</v>
      </c>
      <c r="F69" s="1" t="s">
        <v>3396</v>
      </c>
      <c r="G69" s="1" t="s">
        <v>3396</v>
      </c>
    </row>
    <row customFormat="1" r="70" s="2" spans="1:7" x14ac:dyDescent="0.25">
      <c r="A70" s="30" t="s">
        <v>75</v>
      </c>
      <c r="B70" s="32" t="s">
        <v>3397</v>
      </c>
      <c r="C70" s="32" t="s">
        <v>3500</v>
      </c>
      <c r="D70" s="32" t="s">
        <v>3397</v>
      </c>
      <c r="E70" s="32" t="s">
        <v>3397</v>
      </c>
      <c r="F70" s="32" t="s">
        <v>3397</v>
      </c>
      <c r="G70" s="32" t="s">
        <v>3397</v>
      </c>
    </row>
    <row customFormat="1" r="71" s="2" spans="1:7" x14ac:dyDescent="0.25">
      <c r="A71" s="2" t="s">
        <v>76</v>
      </c>
      <c r="B71" s="2" t="s">
        <v>3398</v>
      </c>
      <c r="C71" s="2" t="s">
        <v>3398</v>
      </c>
      <c r="D71" s="2" t="s">
        <v>3398</v>
      </c>
      <c r="E71" s="2" t="s">
        <v>3398</v>
      </c>
      <c r="F71" s="2" t="s">
        <v>3398</v>
      </c>
      <c r="G71" s="2" t="s">
        <v>3398</v>
      </c>
    </row>
    <row customFormat="1" r="72" s="2" spans="1:7" x14ac:dyDescent="0.25">
      <c r="A72" s="2" t="s">
        <v>77</v>
      </c>
      <c r="B72" s="2" t="s">
        <v>3398</v>
      </c>
      <c r="C72" s="2" t="s">
        <v>3398</v>
      </c>
      <c r="D72" s="2" t="s">
        <v>3398</v>
      </c>
      <c r="E72" s="2" t="s">
        <v>3398</v>
      </c>
      <c r="F72" s="2" t="s">
        <v>3398</v>
      </c>
      <c r="G72" s="2" t="s">
        <v>3398</v>
      </c>
    </row>
    <row customFormat="1" r="73" s="2" spans="1:7" x14ac:dyDescent="0.25">
      <c r="A73" s="30" t="s">
        <v>78</v>
      </c>
      <c r="B73" s="39">
        <v>1000000</v>
      </c>
      <c r="C73" s="39">
        <v>1000000</v>
      </c>
      <c r="D73" s="39">
        <v>1000000</v>
      </c>
      <c r="E73" s="39">
        <v>1000000</v>
      </c>
      <c r="F73" s="39">
        <v>1000000</v>
      </c>
      <c r="G73" s="39">
        <v>1000000</v>
      </c>
    </row>
    <row customFormat="1" r="74" s="2" spans="1:7" x14ac:dyDescent="0.25">
      <c r="A74" s="30" t="s">
        <v>3473</v>
      </c>
      <c r="B74" s="2" t="s">
        <v>3474</v>
      </c>
      <c r="C74" s="2" t="s">
        <v>3474</v>
      </c>
      <c r="D74" s="2" t="s">
        <v>3474</v>
      </c>
      <c r="E74" s="2" t="s">
        <v>3474</v>
      </c>
      <c r="F74" s="2" t="s">
        <v>3474</v>
      </c>
      <c r="G74" s="2" t="s">
        <v>3474</v>
      </c>
    </row>
    <row customFormat="1" r="75" s="2" spans="1:7" x14ac:dyDescent="0.25">
      <c r="A75" s="30" t="s">
        <v>3466</v>
      </c>
      <c r="B75" s="2" t="s">
        <v>3467</v>
      </c>
      <c r="C75" s="2" t="s">
        <v>3467</v>
      </c>
      <c r="D75" s="2" t="s">
        <v>3467</v>
      </c>
      <c r="E75" s="2" t="s">
        <v>3467</v>
      </c>
      <c r="F75" s="2" t="s">
        <v>3467</v>
      </c>
      <c r="G75" s="2" t="s">
        <v>3467</v>
      </c>
    </row>
    <row customFormat="1" r="76" s="2" spans="1:7" x14ac:dyDescent="0.25">
      <c r="A76" s="30" t="s">
        <v>3468</v>
      </c>
      <c r="B76" s="2" t="s">
        <v>3463</v>
      </c>
      <c r="C76" s="2" t="s">
        <v>3463</v>
      </c>
      <c r="D76" s="2" t="s">
        <v>3463</v>
      </c>
      <c r="E76" s="2" t="s">
        <v>3463</v>
      </c>
      <c r="F76" s="2" t="s">
        <v>3463</v>
      </c>
      <c r="G76" s="2" t="s">
        <v>3463</v>
      </c>
    </row>
    <row customFormat="1" r="77" s="2" spans="1:7" x14ac:dyDescent="0.25">
      <c r="A77" s="30" t="s">
        <v>3469</v>
      </c>
      <c r="B77" s="2" t="s">
        <v>3464</v>
      </c>
      <c r="C77" s="2" t="s">
        <v>3464</v>
      </c>
      <c r="D77" s="2" t="s">
        <v>3464</v>
      </c>
      <c r="E77" s="2" t="s">
        <v>3464</v>
      </c>
      <c r="F77" s="2" t="s">
        <v>3464</v>
      </c>
      <c r="G77" s="2" t="s">
        <v>3464</v>
      </c>
    </row>
    <row customFormat="1" r="78" s="2" spans="1:7" x14ac:dyDescent="0.25">
      <c r="A78" s="30" t="s">
        <v>3470</v>
      </c>
      <c r="B78" s="2" t="s">
        <v>3463</v>
      </c>
      <c r="C78" s="2" t="s">
        <v>3463</v>
      </c>
      <c r="D78" s="2" t="s">
        <v>3463</v>
      </c>
      <c r="E78" s="2" t="s">
        <v>3463</v>
      </c>
      <c r="F78" s="2" t="s">
        <v>3463</v>
      </c>
      <c r="G78" s="2" t="s">
        <v>3463</v>
      </c>
    </row>
    <row customFormat="1" r="79" s="2" spans="1:7" x14ac:dyDescent="0.25">
      <c r="A79" s="30" t="s">
        <v>3471</v>
      </c>
      <c r="B79" s="2" t="s">
        <v>3472</v>
      </c>
      <c r="C79" s="2" t="s">
        <v>3472</v>
      </c>
      <c r="D79" s="2" t="s">
        <v>3472</v>
      </c>
      <c r="E79" s="2" t="s">
        <v>3472</v>
      </c>
      <c r="F79" s="2" t="s">
        <v>3472</v>
      </c>
      <c r="G79" s="2" t="s">
        <v>3472</v>
      </c>
    </row>
  </sheetData>
  <mergeCells count="1">
    <mergeCell ref="A11:XFD11"/>
  </mergeCells>
  <dataValidations count="6">
    <dataValidation allowBlank="1" errorStyle="information" showErrorMessage="1" showInputMessage="1" sqref="B12:G12" type="whole">
      <formula1>0</formula1>
      <formula2>9.99999999999999E+33</formula2>
    </dataValidation>
    <dataValidation allowBlank="1" errorStyle="information" showErrorMessage="1" showInputMessage="1" sqref="B73:G73" type="whole">
      <formula1>0</formula1>
      <formula2>9.99999999999999E+30</formula2>
    </dataValidation>
    <dataValidation allowBlank="1" errorStyle="information" showErrorMessage="1" showInputMessage="1" sqref="B67:G67" type="list">
      <formula1>ListBank</formula1>
    </dataValidation>
    <dataValidation allowBlank="1" errorStyle="information" showErrorMessage="1" showInputMessage="1" sqref="B68:G69 B13:G35"/>
    <dataValidation allowBlank="1" errorStyle="information" showErrorMessage="1" showInputMessage="1" sqref="B37:G64" type="whole">
      <formula1>0</formula1>
      <formula2>9.99999999999999E+25</formula2>
    </dataValidation>
    <dataValidation allowBlank="1" errorStyle="information" showErrorMessage="1" showInputMessage="1" sqref="B71:G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H16"/>
  <sheetViews>
    <sheetView workbookViewId="0">
      <selection activeCell="B10" sqref="B10"/>
    </sheetView>
  </sheetViews>
  <sheetFormatPr defaultRowHeight="15" x14ac:dyDescent="0.25"/>
  <cols>
    <col min="1" max="1" bestFit="true" customWidth="true" width="16.140625" collapsed="true"/>
    <col min="2" max="7" bestFit="true" customWidth="true" width="29.85546875" collapsed="true"/>
  </cols>
  <sheetData>
    <row customFormat="1" r="1" s="2" spans="1:7" x14ac:dyDescent="0.25">
      <c r="A1" s="2" t="s">
        <v>3</v>
      </c>
      <c r="B1" s="2" t="s">
        <v>2794</v>
      </c>
      <c r="C1" s="2" t="s">
        <v>2794</v>
      </c>
      <c r="D1" s="2" t="s">
        <v>2794</v>
      </c>
      <c r="E1" s="2" t="s">
        <v>2794</v>
      </c>
      <c r="F1" s="2" t="s">
        <v>2794</v>
      </c>
      <c r="G1" s="2"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51" t="str">
        <f>'1.CustomerDetail'!B$3</f>
        <v>LOS-011</v>
      </c>
      <c r="C3" s="51" t="str">
        <f>'1.CustomerDetail'!C$3</f>
        <v>LOS-012</v>
      </c>
      <c r="D3" s="51" t="str">
        <f>'1.CustomerDetail'!D$3</f>
        <v>LOS-013</v>
      </c>
      <c r="E3" s="51" t="str">
        <f>'1.CustomerDetail'!E$3</f>
        <v>LOS-014</v>
      </c>
      <c r="F3" s="51" t="str">
        <f>'1.CustomerDetail'!F$3</f>
        <v>LOS-015</v>
      </c>
      <c r="G3" s="51" t="str">
        <f>'1.CustomerDetail'!G$3</f>
        <v>LOS-016</v>
      </c>
    </row>
    <row customFormat="1" r="4" s="2" spans="1:7" x14ac:dyDescent="0.25">
      <c r="A4" s="2" t="s">
        <v>3412</v>
      </c>
      <c r="B4" s="2">
        <f>IF(B12="Yes",COUNTIFS($A$13:$A$16,"*$*",B13:B16,""),0)</f>
        <v>0</v>
      </c>
      <c r="C4" s="2">
        <f>IF(C12="Yes",COUNTIFS($A$13:$A$16,"*$*",C13:C16,""),0)</f>
        <v>0</v>
      </c>
      <c r="D4" s="2">
        <f>IF(D12="Yes",COUNTIFS($A$13:$A$16,"*$*",D13:D16,""),0)</f>
        <v>0</v>
      </c>
      <c r="E4" s="2">
        <f ref="E4:G4" si="0" t="shared">IF(E12="Yes",COUNTIFS($A$13:$A$16,"*$*",E13:E16,""),0)</f>
        <v>0</v>
      </c>
      <c r="F4" s="2">
        <f si="0" t="shared"/>
        <v>0</v>
      </c>
      <c r="G4" s="2">
        <f si="0" t="shared"/>
        <v>0</v>
      </c>
    </row>
    <row customFormat="1" r="5" s="2" spans="1:7" x14ac:dyDescent="0.25">
      <c r="B5" s="51"/>
      <c r="C5" s="51"/>
      <c r="D5" s="51"/>
      <c r="E5" s="51"/>
      <c r="F5" s="51"/>
      <c r="G5" s="51"/>
    </row>
    <row customFormat="1" r="6" s="2" spans="1:7" x14ac:dyDescent="0.25">
      <c r="B6" s="51"/>
      <c r="C6" s="51"/>
      <c r="D6" s="51"/>
      <c r="E6" s="51"/>
      <c r="F6" s="51"/>
      <c r="G6" s="51"/>
    </row>
    <row customFormat="1" r="7" s="2" spans="1:7" x14ac:dyDescent="0.25">
      <c r="B7" s="51"/>
      <c r="C7" s="51"/>
      <c r="D7" s="51"/>
      <c r="E7" s="51"/>
      <c r="F7" s="51"/>
      <c r="G7" s="51"/>
    </row>
    <row customFormat="1" r="8" s="2" spans="1:7" x14ac:dyDescent="0.25">
      <c r="B8" s="51"/>
      <c r="C8" s="51"/>
      <c r="D8" s="51"/>
      <c r="E8" s="51"/>
      <c r="F8" s="51"/>
      <c r="G8" s="51"/>
    </row>
    <row customFormat="1" r="9" s="2" spans="1:7" x14ac:dyDescent="0.25">
      <c r="B9" s="51"/>
      <c r="C9" s="51"/>
      <c r="D9" s="51"/>
      <c r="E9" s="51"/>
      <c r="F9" s="51"/>
      <c r="G9" s="51"/>
    </row>
    <row customFormat="1" r="10" s="2" spans="1:7" x14ac:dyDescent="0.25">
      <c r="A10" s="2" t="s">
        <v>3084</v>
      </c>
      <c r="B10" s="51" t="str">
        <f>'1.CustomerDetail'!B$12</f>
        <v>0002APP20221206283</v>
      </c>
      <c r="C10" s="51">
        <f>'1.CustomerDetail'!C$12</f>
        <v>0</v>
      </c>
      <c r="D10" s="51">
        <f>'1.CustomerDetail'!D$12</f>
        <v>0</v>
      </c>
      <c r="E10" s="51">
        <f>'1.CustomerDetail'!E$12</f>
        <v>0</v>
      </c>
      <c r="F10" s="51">
        <f>'1.CustomerDetail'!F$12</f>
        <v>0</v>
      </c>
      <c r="G10" s="51">
        <f>'1.CustomerDetail'!G$12</f>
        <v>0</v>
      </c>
    </row>
    <row customFormat="1" r="11" s="42" spans="1:7" x14ac:dyDescent="0.25">
      <c r="B11" s="41"/>
      <c r="C11" s="41"/>
      <c r="D11" s="41"/>
      <c r="E11" s="41"/>
      <c r="F11" s="41"/>
      <c r="G11" s="41"/>
    </row>
    <row customFormat="1" r="12" s="47" spans="1:7" x14ac:dyDescent="0.25">
      <c r="A12" s="47" t="s">
        <v>3465</v>
      </c>
      <c r="B12" s="48" t="s">
        <v>3398</v>
      </c>
      <c r="C12" s="48" t="s">
        <v>3398</v>
      </c>
      <c r="D12" s="48" t="s">
        <v>3398</v>
      </c>
      <c r="E12" s="48" t="s">
        <v>3398</v>
      </c>
      <c r="F12" s="48" t="s">
        <v>3398</v>
      </c>
      <c r="G12" s="48" t="s">
        <v>3398</v>
      </c>
    </row>
    <row customFormat="1" r="13" s="2" spans="1:7" x14ac:dyDescent="0.25">
      <c r="A13" s="30" t="s">
        <v>3460</v>
      </c>
      <c r="B13" s="51" t="s">
        <v>3484</v>
      </c>
      <c r="C13" s="51" t="s">
        <v>3484</v>
      </c>
      <c r="D13" s="51" t="s">
        <v>3484</v>
      </c>
      <c r="E13" s="51" t="s">
        <v>3484</v>
      </c>
      <c r="F13" s="51" t="s">
        <v>3484</v>
      </c>
      <c r="G13" s="51" t="s">
        <v>3484</v>
      </c>
    </row>
    <row customFormat="1" r="14" s="2" spans="1:7" x14ac:dyDescent="0.25">
      <c r="A14" s="2" t="s">
        <v>79</v>
      </c>
      <c r="B14" s="51" t="s">
        <v>3485</v>
      </c>
      <c r="C14" s="51" t="s">
        <v>3485</v>
      </c>
      <c r="D14" s="51" t="s">
        <v>3485</v>
      </c>
      <c r="E14" s="51" t="s">
        <v>3485</v>
      </c>
      <c r="F14" s="51" t="s">
        <v>3485</v>
      </c>
      <c r="G14" s="51" t="s">
        <v>3485</v>
      </c>
    </row>
    <row customFormat="1" r="15" s="2" spans="1:7" x14ac:dyDescent="0.25">
      <c r="A15" s="30" t="s">
        <v>3461</v>
      </c>
      <c r="B15" s="52" t="s">
        <v>3486</v>
      </c>
      <c r="C15" s="52" t="s">
        <v>3486</v>
      </c>
      <c r="D15" s="52" t="s">
        <v>3486</v>
      </c>
      <c r="E15" s="52" t="s">
        <v>3486</v>
      </c>
      <c r="F15" s="52" t="s">
        <v>3486</v>
      </c>
      <c r="G15" s="52" t="s">
        <v>3486</v>
      </c>
    </row>
    <row customFormat="1" r="16" s="2" spans="1:7" x14ac:dyDescent="0.25">
      <c r="A16" s="30" t="s">
        <v>3462</v>
      </c>
      <c r="B16" s="51" t="s">
        <v>3487</v>
      </c>
      <c r="C16" s="51" t="s">
        <v>3487</v>
      </c>
      <c r="D16" s="51" t="s">
        <v>3487</v>
      </c>
      <c r="E16" s="51" t="s">
        <v>3487</v>
      </c>
      <c r="F16" s="51" t="s">
        <v>3487</v>
      </c>
      <c r="G16" s="51" t="s">
        <v>3487</v>
      </c>
    </row>
  </sheetData>
  <dataValidations count="2">
    <dataValidation allowBlank="1" errorStyle="information" showErrorMessage="1" showInputMessage="1" sqref="B14:G16"/>
    <dataValidation errorStyle="information" showErrorMessage="1" showInputMessage="1" sqref="B13:G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H20"/>
  <sheetViews>
    <sheetView workbookViewId="0">
      <selection activeCell="B19" sqref="B19"/>
    </sheetView>
  </sheetViews>
  <sheetFormatPr defaultRowHeight="15" x14ac:dyDescent="0.25"/>
  <cols>
    <col min="1" max="1" bestFit="true" customWidth="true" width="15.0" collapsed="true"/>
    <col min="2" max="2" customWidth="true" width="30.0" collapsed="true"/>
    <col min="3" max="3" bestFit="true" customWidth="true" width="22.0" collapsed="true"/>
    <col min="4" max="4" bestFit="true" customWidth="true" width="23.42578125" collapsed="true"/>
    <col min="5" max="7" bestFit="true" customWidth="true" width="22.0" collapsed="false"/>
  </cols>
  <sheetData>
    <row customFormat="1" r="1" s="46" spans="1:7" x14ac:dyDescent="0.25">
      <c r="A1" s="46" t="s">
        <v>3</v>
      </c>
      <c r="B1" t="s">
        <v>2794</v>
      </c>
      <c r="C1" t="s">
        <v>2794</v>
      </c>
      <c r="D1" t="s">
        <v>2794</v>
      </c>
      <c r="E1" t="s">
        <v>2794</v>
      </c>
      <c r="F1" t="s">
        <v>2794</v>
      </c>
      <c r="G1" t="s">
        <v>2794</v>
      </c>
    </row>
    <row customFormat="1" r="2" s="2" spans="1:7" x14ac:dyDescent="0.25">
      <c r="A2" s="2" t="s">
        <v>3399</v>
      </c>
      <c r="B2" s="2" t="s">
        <v>3475</v>
      </c>
      <c r="C2" s="2" t="s">
        <v>3475</v>
      </c>
      <c r="D2" s="2" t="s">
        <v>3475</v>
      </c>
      <c r="E2" s="2" t="s">
        <v>3475</v>
      </c>
      <c r="F2" s="2" t="s">
        <v>3475</v>
      </c>
      <c r="G2" s="2" t="s">
        <v>3475</v>
      </c>
    </row>
    <row customFormat="1" r="3" s="2" spans="1:7"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3412</v>
      </c>
      <c r="B4" s="2">
        <f>COUNTIFS($A$12:$A$18,"*$*",B12:B18,"")</f>
        <v>0</v>
      </c>
      <c r="C4" s="2">
        <f ref="C4:F4" si="0" t="shared">COUNTIFS($A$12:$A$18,"*$*",C12:C18,"")</f>
        <v>0</v>
      </c>
      <c r="D4" s="2">
        <f si="0" t="shared"/>
        <v>0</v>
      </c>
      <c r="E4" s="2">
        <f si="0" t="shared"/>
        <v>0</v>
      </c>
      <c r="F4" s="2">
        <f si="0" t="shared"/>
        <v>0</v>
      </c>
      <c r="G4" s="2">
        <f>COUNTIFS($A$12:$A$18,"*$*",G12:G18,"")</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2" spans="1:7" x14ac:dyDescent="0.25">
      <c r="B11" s="41"/>
      <c r="C11" s="41"/>
      <c r="D11" s="41"/>
      <c r="E11" s="41"/>
      <c r="F11" s="41"/>
      <c r="G11" s="41"/>
    </row>
    <row customFormat="1" r="12" s="2" spans="1:7" x14ac:dyDescent="0.25">
      <c r="A12" s="29" t="s">
        <v>3430</v>
      </c>
      <c r="B12" s="2" t="s">
        <v>3501</v>
      </c>
      <c r="C12" s="2" t="s">
        <v>3492</v>
      </c>
      <c r="D12" s="2" t="s">
        <v>3492</v>
      </c>
      <c r="E12" s="2" t="s">
        <v>3492</v>
      </c>
      <c r="F12" s="2" t="s">
        <v>3492</v>
      </c>
      <c r="G12" s="2" t="s">
        <v>3492</v>
      </c>
    </row>
    <row customFormat="1" r="13" s="2" spans="1:7" x14ac:dyDescent="0.25">
      <c r="A13" s="29" t="s">
        <v>3431</v>
      </c>
      <c r="B13" s="40" t="s">
        <v>3502</v>
      </c>
      <c r="C13" s="40" t="s">
        <v>3488</v>
      </c>
      <c r="D13" s="40" t="s">
        <v>3488</v>
      </c>
      <c r="E13" s="40" t="s">
        <v>3488</v>
      </c>
      <c r="F13" s="40" t="s">
        <v>3488</v>
      </c>
      <c r="G13" s="40" t="s">
        <v>3488</v>
      </c>
    </row>
    <row customFormat="1" r="14" s="2" spans="1:7" x14ac:dyDescent="0.25">
      <c r="A14" s="29" t="s">
        <v>3432</v>
      </c>
      <c r="B14" s="4" t="s">
        <v>3503</v>
      </c>
      <c r="C14" s="4" t="s">
        <v>3489</v>
      </c>
      <c r="D14" s="4" t="s">
        <v>3489</v>
      </c>
      <c r="E14" s="4" t="s">
        <v>3489</v>
      </c>
      <c r="F14" s="4" t="s">
        <v>3489</v>
      </c>
      <c r="G14" s="4" t="s">
        <v>3489</v>
      </c>
    </row>
    <row customFormat="1" r="15" s="2" spans="1:7" x14ac:dyDescent="0.25">
      <c r="A15" s="2" t="s">
        <v>80</v>
      </c>
      <c r="B15" s="4" t="s">
        <v>3504</v>
      </c>
      <c r="C15" s="4" t="s">
        <v>3490</v>
      </c>
      <c r="D15" s="4" t="s">
        <v>3490</v>
      </c>
      <c r="E15" s="4" t="s">
        <v>3490</v>
      </c>
      <c r="F15" s="4" t="s">
        <v>3490</v>
      </c>
      <c r="G15" s="4" t="s">
        <v>3490</v>
      </c>
    </row>
    <row customFormat="1" r="16" s="2" spans="1:7" x14ac:dyDescent="0.25">
      <c r="A16" s="2" t="s">
        <v>81</v>
      </c>
      <c r="B16" s="2" t="s">
        <v>3464</v>
      </c>
      <c r="C16" s="2" t="s">
        <v>3491</v>
      </c>
      <c r="D16" s="2" t="s">
        <v>3491</v>
      </c>
      <c r="E16" s="2" t="s">
        <v>3491</v>
      </c>
      <c r="F16" s="2" t="s">
        <v>3491</v>
      </c>
      <c r="G16" s="2" t="s">
        <v>3491</v>
      </c>
    </row>
    <row customFormat="1" r="17" s="2" spans="1:7" x14ac:dyDescent="0.25">
      <c r="A17" s="2" t="s">
        <v>82</v>
      </c>
      <c r="B17" s="2" t="s">
        <v>3464</v>
      </c>
      <c r="C17" s="2" t="s">
        <v>3491</v>
      </c>
      <c r="D17" s="2" t="s">
        <v>3491</v>
      </c>
      <c r="E17" s="2" t="s">
        <v>3491</v>
      </c>
      <c r="F17" s="2" t="s">
        <v>3491</v>
      </c>
      <c r="G17" s="2" t="s">
        <v>3491</v>
      </c>
    </row>
    <row customFormat="1" r="18" s="2" spans="1:7" x14ac:dyDescent="0.25">
      <c r="A18" s="2" t="s">
        <v>13</v>
      </c>
      <c r="B18" s="2" t="s">
        <v>3464</v>
      </c>
      <c r="C18" s="2" t="s">
        <v>3491</v>
      </c>
      <c r="D18" s="2" t="s">
        <v>3491</v>
      </c>
      <c r="E18" s="2" t="s">
        <v>3491</v>
      </c>
      <c r="F18" s="2" t="s">
        <v>3491</v>
      </c>
      <c r="G18" s="2" t="s">
        <v>3491</v>
      </c>
    </row>
    <row ht="90" r="20" spans="1:7" x14ac:dyDescent="0.25">
      <c r="A20" s="12" t="s">
        <v>2795</v>
      </c>
      <c r="B20" s="8" t="s">
        <v>2796</v>
      </c>
    </row>
  </sheetData>
  <dataValidations count="1">
    <dataValidation allowBlank="1" errorStyle="information" showErrorMessage="1" showInputMessage="1" sqref="B12:G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tabSelected="1" workbookViewId="0">
      <selection activeCell="H1" sqref="H1:H1048576"/>
    </sheetView>
  </sheetViews>
  <sheetFormatPr defaultRowHeight="15" x14ac:dyDescent="0.25"/>
  <cols>
    <col min="1" max="1" bestFit="true" customWidth="true" style="11" width="34.5703125" collapsed="true"/>
    <col min="2" max="8" customWidth="true" style="9" width="20.7109375" collapsed="true"/>
  </cols>
  <sheetData>
    <row customFormat="1" r="1" s="2" spans="1:8" x14ac:dyDescent="0.25">
      <c r="A1" s="1" t="s">
        <v>3</v>
      </c>
      <c r="B1" t="s">
        <v>2794</v>
      </c>
      <c r="C1" t="s">
        <v>2794</v>
      </c>
      <c r="D1" t="s">
        <v>2794</v>
      </c>
      <c r="E1" t="s">
        <v>2794</v>
      </c>
      <c r="F1" t="s">
        <v>2794</v>
      </c>
      <c r="G1" t="s">
        <v>2794</v>
      </c>
      <c r="H1"/>
    </row>
    <row customFormat="1" r="2" s="2" spans="1:8" x14ac:dyDescent="0.25">
      <c r="A2" s="2" t="s">
        <v>3399</v>
      </c>
      <c r="B2" s="2" t="s">
        <v>3475</v>
      </c>
      <c r="C2" s="2" t="s">
        <v>3475</v>
      </c>
      <c r="D2" s="2" t="s">
        <v>3475</v>
      </c>
      <c r="E2" s="2" t="s">
        <v>3475</v>
      </c>
      <c r="F2" s="2" t="s">
        <v>3475</v>
      </c>
      <c r="G2" s="2" t="s">
        <v>3475</v>
      </c>
    </row>
    <row customFormat="1" r="3" s="2" spans="1:8" x14ac:dyDescent="0.25">
      <c r="A3" s="2" t="s">
        <v>3400</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8" x14ac:dyDescent="0.25">
      <c r="A4" s="2" t="s">
        <v>3412</v>
      </c>
      <c r="B4" s="2">
        <f>COUNTIFS($A$12:$A$39,"*$*",B12:B39,"")</f>
        <v>0</v>
      </c>
      <c r="C4" s="2">
        <f>COUNTIFS($A$12:$A$39,"*$*",C12:C39,"")</f>
        <v>0</v>
      </c>
      <c r="D4" s="2">
        <f>COUNTIFS($A$12:$A$39,"*$*",D12:D39,"")</f>
        <v>0</v>
      </c>
      <c r="E4" s="2">
        <f ref="E4:G4" si="0" t="shared">COUNTIFS($A$12:$A$39,"*$*",E12:E39,"")</f>
        <v>0</v>
      </c>
      <c r="F4" s="2">
        <f si="0" t="shared"/>
        <v>0</v>
      </c>
      <c r="G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5" spans="1:8" x14ac:dyDescent="0.25">
      <c r="A11" s="43" t="s">
        <v>3103</v>
      </c>
    </row>
    <row customFormat="1" r="12" s="2" spans="1:8" x14ac:dyDescent="0.25">
      <c r="A12" s="31" t="s">
        <v>3433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row>
    <row customFormat="1" r="13" s="2" spans="1:8" x14ac:dyDescent="0.25">
      <c r="A13" s="29" t="s">
        <v>3434</v>
      </c>
      <c r="B13" s="10" t="s">
        <v>97</v>
      </c>
      <c r="C13" s="10" t="s">
        <v>97</v>
      </c>
      <c r="D13" s="10" t="s">
        <v>97</v>
      </c>
      <c r="E13" s="10" t="s">
        <v>97</v>
      </c>
      <c r="F13" s="10" t="s">
        <v>97</v>
      </c>
      <c r="G13" s="10" t="s">
        <v>97</v>
      </c>
      <c r="H13" s="10"/>
    </row>
    <row customFormat="1" r="14" s="2" spans="1:8" x14ac:dyDescent="0.25">
      <c r="A14" s="31" t="s">
        <v>3435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row>
    <row customFormat="1" r="15" s="2" spans="1:8" x14ac:dyDescent="0.25">
      <c r="A15" s="29" t="s">
        <v>3436</v>
      </c>
      <c r="B15" s="6" t="s">
        <v>161</v>
      </c>
      <c r="C15" s="6" t="s">
        <v>161</v>
      </c>
      <c r="D15" s="6" t="s">
        <v>161</v>
      </c>
      <c r="E15" s="6" t="s">
        <v>161</v>
      </c>
      <c r="F15" s="6" t="s">
        <v>161</v>
      </c>
      <c r="G15" s="6" t="s">
        <v>161</v>
      </c>
      <c r="H15" s="6"/>
    </row>
    <row customFormat="1" r="16" s="2" spans="1:8" x14ac:dyDescent="0.25">
      <c r="A16" s="31" t="s">
        <v>3437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row>
    <row customFormat="1" ht="90" r="17" s="2" spans="1:8" x14ac:dyDescent="0.25">
      <c r="A17" s="29" t="s">
        <v>3438</v>
      </c>
      <c r="B17" s="6" t="s">
        <v>3388</v>
      </c>
      <c r="C17" s="6" t="s">
        <v>3388</v>
      </c>
      <c r="D17" s="6" t="s">
        <v>3388</v>
      </c>
      <c r="E17" s="6" t="s">
        <v>3388</v>
      </c>
      <c r="F17" s="6" t="s">
        <v>3388</v>
      </c>
      <c r="G17" s="6" t="s">
        <v>3388</v>
      </c>
      <c r="H17" s="6"/>
    </row>
    <row customFormat="1" r="18" s="2" spans="1:8" x14ac:dyDescent="0.25">
      <c r="A18" s="31" t="s">
        <v>3439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row>
    <row customFormat="1" r="19" s="2" spans="1:8" x14ac:dyDescent="0.25">
      <c r="A19" s="29" t="s">
        <v>3440</v>
      </c>
      <c r="B19" s="6" t="s">
        <v>123</v>
      </c>
      <c r="C19" s="6" t="s">
        <v>123</v>
      </c>
      <c r="D19" s="6" t="s">
        <v>123</v>
      </c>
      <c r="E19" s="6" t="s">
        <v>123</v>
      </c>
      <c r="F19" s="6" t="s">
        <v>123</v>
      </c>
      <c r="G19" s="6" t="s">
        <v>123</v>
      </c>
      <c r="H19" s="6"/>
    </row>
    <row customFormat="1" r="20" s="45" spans="1:8" x14ac:dyDescent="0.25">
      <c r="A20" s="43" t="s">
        <v>3104</v>
      </c>
      <c r="B20" s="44"/>
      <c r="C20" s="44"/>
      <c r="D20" s="44"/>
      <c r="E20" s="44"/>
      <c r="F20" s="44"/>
      <c r="G20" s="44"/>
      <c r="H20" s="44"/>
    </row>
    <row customFormat="1" r="21" s="2" spans="1:8" x14ac:dyDescent="0.25">
      <c r="A21" s="1" t="s">
        <v>86</v>
      </c>
      <c r="B21" s="6" t="s">
        <v>2786</v>
      </c>
      <c r="C21" s="6" t="s">
        <v>2786</v>
      </c>
      <c r="D21" s="6" t="s">
        <v>2786</v>
      </c>
      <c r="E21" s="6" t="s">
        <v>2786</v>
      </c>
      <c r="F21" s="6" t="s">
        <v>2786</v>
      </c>
      <c r="G21" s="6" t="s">
        <v>2786</v>
      </c>
      <c r="H21" s="6"/>
    </row>
    <row customFormat="1" r="22" s="2" spans="1:8" x14ac:dyDescent="0.25">
      <c r="A22" s="31" t="s">
        <v>3441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row>
    <row customFormat="1" ht="45" r="23" s="2" spans="1:8" x14ac:dyDescent="0.25">
      <c r="A23" s="29" t="s">
        <v>3442</v>
      </c>
      <c r="B23" s="6" t="s">
        <v>103</v>
      </c>
      <c r="C23" s="6" t="s">
        <v>103</v>
      </c>
      <c r="D23" s="6" t="s">
        <v>103</v>
      </c>
      <c r="E23" s="6" t="s">
        <v>103</v>
      </c>
      <c r="F23" s="6" t="s">
        <v>103</v>
      </c>
      <c r="G23" s="6" t="s">
        <v>103</v>
      </c>
      <c r="H23" s="6"/>
    </row>
    <row customFormat="1" r="24" s="2" spans="1:8" x14ac:dyDescent="0.25">
      <c r="A24" s="1" t="s">
        <v>87</v>
      </c>
      <c r="B24" s="6" t="s">
        <v>2786</v>
      </c>
      <c r="C24" s="6" t="s">
        <v>2786</v>
      </c>
      <c r="D24" s="6" t="s">
        <v>2786</v>
      </c>
      <c r="E24" s="6" t="s">
        <v>2786</v>
      </c>
      <c r="F24" s="6" t="s">
        <v>2786</v>
      </c>
      <c r="G24" s="6" t="s">
        <v>2786</v>
      </c>
      <c r="H24" s="6"/>
    </row>
    <row customFormat="1" r="25" s="2" spans="1:8" x14ac:dyDescent="0.25">
      <c r="A25" s="1" t="s">
        <v>88</v>
      </c>
      <c r="B25" s="6" t="s">
        <v>2786</v>
      </c>
      <c r="C25" s="6" t="s">
        <v>2786</v>
      </c>
      <c r="D25" s="6" t="s">
        <v>2786</v>
      </c>
      <c r="E25" s="6" t="s">
        <v>2786</v>
      </c>
      <c r="F25" s="6" t="s">
        <v>2786</v>
      </c>
      <c r="G25" s="6" t="s">
        <v>2786</v>
      </c>
      <c r="H25" s="6"/>
    </row>
    <row customFormat="1" r="26" s="2" spans="1:8" x14ac:dyDescent="0.25">
      <c r="A26" s="1" t="s">
        <v>89</v>
      </c>
      <c r="B26" s="6" t="s">
        <v>3480</v>
      </c>
      <c r="C26" s="6" t="s">
        <v>3480</v>
      </c>
      <c r="D26" s="6" t="s">
        <v>3480</v>
      </c>
      <c r="E26" s="6" t="s">
        <v>3480</v>
      </c>
      <c r="F26" s="6" t="s">
        <v>3480</v>
      </c>
      <c r="G26" s="6" t="s">
        <v>3480</v>
      </c>
      <c r="H26" s="6"/>
    </row>
    <row customFormat="1" r="27" s="2" spans="1:8" x14ac:dyDescent="0.25">
      <c r="A27" s="31" t="s">
        <v>3443</v>
      </c>
      <c r="B27" s="10" t="str">
        <f>VLOOKUP(B28,Master!$AN:$AO,2,FALSE)</f>
        <v>12</v>
      </c>
      <c r="C27" s="10" t="str">
        <f>VLOOKUP(C28,Master!$AN:$AO,2,FALSE)</f>
        <v>12</v>
      </c>
      <c r="D27" s="10" t="str">
        <f>VLOOKUP(D28,Master!$AN:$AO,2,FALSE)</f>
        <v>12</v>
      </c>
      <c r="E27" s="10" t="str">
        <f>VLOOKUP(E28,Master!$AN:$AO,2,FALSE)</f>
        <v>12</v>
      </c>
      <c r="F27" s="10" t="str">
        <f>VLOOKUP(F28,Master!$AN:$AO,2,FALSE)</f>
        <v>12</v>
      </c>
      <c r="G27" s="10" t="str">
        <f>VLOOKUP(G28,Master!$AN:$AO,2,FALSE)</f>
        <v>12</v>
      </c>
      <c r="H27" s="10"/>
    </row>
    <row customFormat="1" r="28" s="2" spans="1:8" x14ac:dyDescent="0.25">
      <c r="A28" s="1" t="s">
        <v>90</v>
      </c>
      <c r="B28" s="6" t="s">
        <v>2789</v>
      </c>
      <c r="C28" s="6" t="s">
        <v>2789</v>
      </c>
      <c r="D28" s="6" t="s">
        <v>2789</v>
      </c>
      <c r="E28" s="6" t="s">
        <v>2789</v>
      </c>
      <c r="F28" s="6" t="s">
        <v>2789</v>
      </c>
      <c r="G28" s="6" t="s">
        <v>2789</v>
      </c>
      <c r="H28" s="6"/>
    </row>
    <row customFormat="1" r="29" s="2" spans="1:8" x14ac:dyDescent="0.25">
      <c r="A29" s="1" t="s">
        <v>91</v>
      </c>
      <c r="B29" s="37" t="s">
        <v>3481</v>
      </c>
      <c r="C29" s="37" t="s">
        <v>3481</v>
      </c>
      <c r="D29" s="37" t="s">
        <v>3481</v>
      </c>
      <c r="E29" s="37" t="s">
        <v>3481</v>
      </c>
      <c r="F29" s="37" t="s">
        <v>3481</v>
      </c>
      <c r="G29" s="37" t="s">
        <v>3481</v>
      </c>
      <c r="H29" s="37"/>
    </row>
    <row customFormat="1" r="30" s="2" spans="1:8" x14ac:dyDescent="0.25">
      <c r="A30" s="31" t="s">
        <v>3444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row>
    <row customFormat="1" ht="45" r="31" s="2" spans="1:8" x14ac:dyDescent="0.25">
      <c r="A31" s="29" t="s">
        <v>3446</v>
      </c>
      <c r="B31" s="6" t="s">
        <v>105</v>
      </c>
      <c r="C31" s="6" t="s">
        <v>105</v>
      </c>
      <c r="D31" s="6" t="s">
        <v>105</v>
      </c>
      <c r="E31" s="6" t="s">
        <v>105</v>
      </c>
      <c r="F31" s="6" t="s">
        <v>105</v>
      </c>
      <c r="G31" s="6" t="s">
        <v>105</v>
      </c>
      <c r="H31" s="6"/>
    </row>
    <row customFormat="1" r="32" s="2" spans="1:8" x14ac:dyDescent="0.25">
      <c r="A32" s="29" t="s">
        <v>3447</v>
      </c>
      <c r="B32" s="6" t="s">
        <v>2786</v>
      </c>
      <c r="C32" s="6" t="s">
        <v>2786</v>
      </c>
      <c r="D32" s="6" t="s">
        <v>2786</v>
      </c>
      <c r="E32" s="6" t="s">
        <v>2786</v>
      </c>
      <c r="F32" s="6" t="s">
        <v>2786</v>
      </c>
      <c r="G32" s="6" t="s">
        <v>2786</v>
      </c>
      <c r="H32" s="6"/>
    </row>
    <row customFormat="1" r="33" s="2" spans="1:8" x14ac:dyDescent="0.25">
      <c r="A33" s="31" t="s">
        <v>3445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row>
    <row customFormat="1" r="34" s="2" spans="1:8" x14ac:dyDescent="0.25">
      <c r="A34" s="29" t="s">
        <v>3448</v>
      </c>
      <c r="B34" s="6" t="s">
        <v>109</v>
      </c>
      <c r="C34" s="6" t="s">
        <v>109</v>
      </c>
      <c r="D34" s="6" t="s">
        <v>109</v>
      </c>
      <c r="E34" s="6" t="s">
        <v>109</v>
      </c>
      <c r="F34" s="6" t="s">
        <v>109</v>
      </c>
      <c r="G34" s="6" t="s">
        <v>109</v>
      </c>
      <c r="H34" s="6"/>
    </row>
    <row customFormat="1" ht="30" r="35" s="2" spans="1:8" x14ac:dyDescent="0.25">
      <c r="A35" s="31" t="s">
        <v>3450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row>
    <row customFormat="1" r="36" s="2" spans="1:8" x14ac:dyDescent="0.25">
      <c r="A36" s="29" t="s">
        <v>3449</v>
      </c>
      <c r="B36" s="6" t="s">
        <v>111</v>
      </c>
      <c r="C36" s="6" t="s">
        <v>111</v>
      </c>
      <c r="D36" s="6" t="s">
        <v>111</v>
      </c>
      <c r="E36" s="6" t="s">
        <v>111</v>
      </c>
      <c r="F36" s="6" t="s">
        <v>111</v>
      </c>
      <c r="G36" s="6" t="s">
        <v>111</v>
      </c>
      <c r="H36" s="6"/>
    </row>
    <row customFormat="1" r="37" s="2" spans="1:8" x14ac:dyDescent="0.25">
      <c r="A37" s="31" t="s">
        <v>3452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row>
    <row customFormat="1" r="38" s="2" spans="1:8" x14ac:dyDescent="0.25">
      <c r="A38" s="29" t="s">
        <v>3451</v>
      </c>
      <c r="B38" s="6" t="s">
        <v>115</v>
      </c>
      <c r="C38" s="6" t="s">
        <v>115</v>
      </c>
      <c r="D38" s="6" t="s">
        <v>115</v>
      </c>
      <c r="E38" s="6" t="s">
        <v>115</v>
      </c>
      <c r="F38" s="6" t="s">
        <v>115</v>
      </c>
      <c r="G38" s="6" t="s">
        <v>115</v>
      </c>
      <c r="H38" s="6"/>
    </row>
    <row customFormat="1" r="39" s="2" spans="1:8" x14ac:dyDescent="0.25">
      <c r="A39" s="29" t="s">
        <v>3453</v>
      </c>
      <c r="B39" s="37" t="s">
        <v>3395</v>
      </c>
      <c r="C39" s="37" t="s">
        <v>3395</v>
      </c>
      <c r="D39" s="37" t="s">
        <v>3395</v>
      </c>
      <c r="E39" s="37" t="s">
        <v>3395</v>
      </c>
      <c r="F39" s="37" t="s">
        <v>3395</v>
      </c>
      <c r="G39" s="37" t="s">
        <v>3395</v>
      </c>
      <c r="H39" s="37"/>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4:H25 B21:H21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workbookViewId="0" zoomScale="82" zoomScaleNormal="82">
      <selection activeCell="AV18" sqref="AV18"/>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3106</v>
      </c>
      <c r="AT1" s="19" t="s">
        <v>3107</v>
      </c>
      <c r="AV1" s="19" t="s">
        <v>3368</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3108</v>
      </c>
      <c r="AT2" s="25" t="s">
        <v>3109</v>
      </c>
      <c r="AV2" s="25" t="s">
        <v>3371</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3110</v>
      </c>
      <c r="AT3" s="25" t="s">
        <v>3111</v>
      </c>
      <c r="AV3" s="25" t="s">
        <v>3372</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3112</v>
      </c>
      <c r="AT4" s="25" t="s">
        <v>3113</v>
      </c>
      <c r="AV4" s="25" t="s">
        <v>3373</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3114</v>
      </c>
      <c r="AT5" s="25" t="s">
        <v>3115</v>
      </c>
      <c r="AV5" s="25" t="s">
        <v>3374</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3116</v>
      </c>
      <c r="AT6" s="25" t="s">
        <v>3117</v>
      </c>
      <c r="AV6" s="25" t="s">
        <v>3375</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3118</v>
      </c>
      <c r="AT7" s="25" t="s">
        <v>3119</v>
      </c>
      <c r="AV7" s="25" t="s">
        <v>3376</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3120</v>
      </c>
      <c r="AT8" s="25" t="s">
        <v>3121</v>
      </c>
      <c r="AV8" s="25" t="s">
        <v>3377</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3122</v>
      </c>
      <c r="AT9" s="25" t="s">
        <v>3123</v>
      </c>
      <c r="AV9" s="25" t="s">
        <v>3369</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3124</v>
      </c>
      <c r="AT10" s="25" t="s">
        <v>3125</v>
      </c>
      <c r="AV10" s="25" t="s">
        <v>3378</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3126</v>
      </c>
      <c r="AT11" s="25" t="s">
        <v>3127</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3128</v>
      </c>
      <c r="AT12" s="25" t="s">
        <v>3129</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3130</v>
      </c>
      <c r="AT13" s="25" t="s">
        <v>3131</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3132</v>
      </c>
      <c r="AT14" s="25" t="s">
        <v>3133</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3134</v>
      </c>
      <c r="AT15" s="25" t="s">
        <v>3135</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3136</v>
      </c>
      <c r="AT16" s="25" t="s">
        <v>3137</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3138</v>
      </c>
      <c r="AT17" s="25" t="s">
        <v>3139</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3140</v>
      </c>
      <c r="AT18" s="25" t="s">
        <v>3141</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3142</v>
      </c>
      <c r="AT19" s="25" t="s">
        <v>3143</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3144</v>
      </c>
      <c r="AT20" s="25" t="s">
        <v>3145</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3146</v>
      </c>
      <c r="AT21" s="25" t="s">
        <v>3147</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3148</v>
      </c>
      <c r="AT22" s="25" t="s">
        <v>3149</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3150</v>
      </c>
      <c r="AT23" s="25" t="s">
        <v>3151</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3152</v>
      </c>
      <c r="AT24" s="25" t="s">
        <v>3153</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3154</v>
      </c>
      <c r="AT25" s="25" t="s">
        <v>3155</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3156</v>
      </c>
      <c r="AT26" s="25" t="s">
        <v>3157</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3158</v>
      </c>
      <c r="AT27" s="25" t="s">
        <v>3159</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3160</v>
      </c>
      <c r="AT28" s="25" t="s">
        <v>3161</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3162</v>
      </c>
      <c r="AT29" s="25" t="s">
        <v>3163</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3164</v>
      </c>
      <c r="AT30" s="25" t="s">
        <v>3165</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3166</v>
      </c>
      <c r="AT31" s="25" t="s">
        <v>3167</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3168</v>
      </c>
      <c r="AT32" s="25" t="s">
        <v>3169</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3170</v>
      </c>
      <c r="AT33" s="25" t="s">
        <v>3171</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3172</v>
      </c>
      <c r="AT34" s="25" t="s">
        <v>3173</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3174</v>
      </c>
      <c r="AT35" s="25" t="s">
        <v>3175</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3176</v>
      </c>
      <c r="AT36" s="25" t="s">
        <v>3177</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3178</v>
      </c>
      <c r="AT37" s="25" t="s">
        <v>3179</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3180</v>
      </c>
      <c r="AT38" s="25" t="s">
        <v>3181</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3182</v>
      </c>
      <c r="AT39" s="25" t="s">
        <v>3183</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3184</v>
      </c>
      <c r="AT40" s="25" t="s">
        <v>3185</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3186</v>
      </c>
      <c r="AT41" s="25" t="s">
        <v>3187</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3188</v>
      </c>
      <c r="AT42" s="25" t="s">
        <v>3189</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3190</v>
      </c>
      <c r="AT43" s="25" t="s">
        <v>3191</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3192</v>
      </c>
      <c r="AT44" s="25" t="s">
        <v>3193</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3194</v>
      </c>
      <c r="AT45" s="25" t="s">
        <v>3195</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3196</v>
      </c>
      <c r="AT46" s="25" t="s">
        <v>3197</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3198</v>
      </c>
      <c r="AT47" s="25" t="s">
        <v>3199</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3200</v>
      </c>
      <c r="AT48" s="25" t="s">
        <v>3201</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3202</v>
      </c>
      <c r="AT49" s="25" t="s">
        <v>3203</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3204</v>
      </c>
      <c r="AT50" s="25" t="s">
        <v>3205</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3206</v>
      </c>
      <c r="AT51" s="25" t="s">
        <v>3207</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3208</v>
      </c>
      <c r="AT52" s="25" t="s">
        <v>3209</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3210</v>
      </c>
      <c r="AT53" s="25" t="s">
        <v>3211</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3212</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3213</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3214</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3215</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3216</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3217</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3218</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3219</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3220</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3221</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3222</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3223</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3224</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3225</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3226</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3227</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3228</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3229</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3230</v>
      </c>
      <c r="AT72" s="25" t="s">
        <v>3231</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3232</v>
      </c>
      <c r="AT73" s="25" t="s">
        <v>3233</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3234</v>
      </c>
      <c r="AT74" s="25" t="s">
        <v>3235</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3236</v>
      </c>
      <c r="AT75" s="25" t="s">
        <v>3237</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3238</v>
      </c>
      <c r="AT76" s="25" t="s">
        <v>3239</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3240</v>
      </c>
      <c r="AT77" s="25" t="s">
        <v>3241</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3242</v>
      </c>
      <c r="AT78" s="25" t="s">
        <v>3243</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3244</v>
      </c>
      <c r="AT79" s="25" t="s">
        <v>3245</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3246</v>
      </c>
      <c r="AT80" s="25" t="s">
        <v>3247</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3248</v>
      </c>
      <c r="AT81" s="25" t="s">
        <v>3249</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3250</v>
      </c>
      <c r="AT82" s="25" t="s">
        <v>3251</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3252</v>
      </c>
      <c r="AT83" s="25" t="s">
        <v>3253</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3254</v>
      </c>
      <c r="AT84" s="25" t="s">
        <v>3255</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3256</v>
      </c>
      <c r="AT85" s="25" t="s">
        <v>3257</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3258</v>
      </c>
      <c r="AT86" s="25" t="s">
        <v>3259</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3260</v>
      </c>
      <c r="AT87" s="25" t="s">
        <v>3261</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3262</v>
      </c>
      <c r="AT88" s="25" t="s">
        <v>3263</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3264</v>
      </c>
      <c r="AT89" s="25" t="s">
        <v>3265</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3266</v>
      </c>
      <c r="AT90" s="25" t="s">
        <v>3267</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3268</v>
      </c>
      <c r="AT91" s="25" t="s">
        <v>3269</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3270</v>
      </c>
      <c r="AT92" s="25" t="s">
        <v>3271</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3272</v>
      </c>
      <c r="AT93" s="25" t="s">
        <v>3273</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3274</v>
      </c>
      <c r="AT94" s="25" t="s">
        <v>3275</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3276</v>
      </c>
      <c r="AT95" s="25" t="s">
        <v>3277</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3278</v>
      </c>
      <c r="AT96" s="25" t="s">
        <v>3279</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3112</v>
      </c>
      <c r="AT97" s="25" t="s">
        <v>3280</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3114</v>
      </c>
      <c r="AT98" s="25" t="s">
        <v>3281</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3282</v>
      </c>
      <c r="AT99" s="25" t="s">
        <v>3283</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3284</v>
      </c>
      <c r="AT100" s="25" t="s">
        <v>3285</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3286</v>
      </c>
      <c r="AT101" s="25" t="s">
        <v>3287</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3288</v>
      </c>
      <c r="AT102" s="25" t="s">
        <v>3289</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3290</v>
      </c>
      <c r="AT103" s="25" t="s">
        <v>3291</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3124</v>
      </c>
      <c r="AT104" s="25" t="s">
        <v>3292</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3293</v>
      </c>
      <c r="AT105" s="25" t="s">
        <v>3294</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3295</v>
      </c>
      <c r="AT106" s="25" t="s">
        <v>3296</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3297</v>
      </c>
      <c r="AT107" s="25" t="s">
        <v>3298</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3299</v>
      </c>
      <c r="AT108" s="25" t="s">
        <v>3300</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3164</v>
      </c>
      <c r="AT109" s="25" t="s">
        <v>3301</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3215</v>
      </c>
      <c r="AT110" s="25" t="s">
        <v>3302</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3303</v>
      </c>
      <c r="AT111" s="25" t="s">
        <v>3304</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3305</v>
      </c>
      <c r="AT112" s="25" t="s">
        <v>3306</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3307</v>
      </c>
      <c r="AT113" s="25" t="s">
        <v>3308</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3234</v>
      </c>
      <c r="AT114" s="25" t="s">
        <v>3309</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3310</v>
      </c>
      <c r="AT115" s="25" t="s">
        <v>3311</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3312</v>
      </c>
      <c r="AT116" s="25" t="s">
        <v>3313</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3314</v>
      </c>
      <c r="AT117" s="25" t="s">
        <v>3315</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3316</v>
      </c>
      <c r="AT118" s="25" t="s">
        <v>3317</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3278</v>
      </c>
      <c r="AT119" s="25" t="s">
        <v>3318</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3319</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3319</v>
      </c>
      <c r="AT121" s="25" t="s">
        <v>3320</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3321</v>
      </c>
      <c r="AT122" s="25" t="s">
        <v>3322</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3323</v>
      </c>
      <c r="AT123" s="25" t="s">
        <v>3324</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3325</v>
      </c>
      <c r="AT124" s="25" t="s">
        <v>3326</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3327</v>
      </c>
      <c r="AT125" s="25" t="s">
        <v>3328</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3329</v>
      </c>
      <c r="AT126" s="25" t="s">
        <v>3330</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3331</v>
      </c>
      <c r="AT127" s="25" t="s">
        <v>3332</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3333</v>
      </c>
      <c r="AT128" s="25" t="s">
        <v>3334</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3335</v>
      </c>
      <c r="AT129" s="25" t="s">
        <v>3336</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3337</v>
      </c>
      <c r="AT130" s="25" t="s">
        <v>3338</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3339</v>
      </c>
      <c r="AT131" s="25" t="s">
        <v>3340</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3341</v>
      </c>
      <c r="AT132" s="25" t="s">
        <v>3341</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3342</v>
      </c>
      <c r="AT133" s="25" t="s">
        <v>3343</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3344</v>
      </c>
      <c r="AT134" s="25" t="s">
        <v>3345</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3346</v>
      </c>
      <c r="AT135" s="25" t="s">
        <v>3347</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3348</v>
      </c>
      <c r="AT136" s="25" t="s">
        <v>3349</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3350</v>
      </c>
      <c r="AT137" s="25" t="s">
        <v>3351</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3352</v>
      </c>
      <c r="AT138" s="25" t="s">
        <v>3353</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3354</v>
      </c>
      <c r="AT139" s="25" t="s">
        <v>3355</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3356</v>
      </c>
      <c r="AT140" s="25" t="s">
        <v>3357</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3358</v>
      </c>
      <c r="AT141" s="25" t="s">
        <v>3359</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3360</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3361</v>
      </c>
      <c r="AT143" s="25" t="s">
        <v>3362</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3363</v>
      </c>
      <c r="AT144" s="25" t="s">
        <v>3363</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3364</v>
      </c>
      <c r="AT145" s="25" t="s">
        <v>3365</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3366</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3367</v>
      </c>
      <c r="AT147" s="25" t="s">
        <v>3367</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2023-02-16T08:52:32Z</dcterms:modified>
</cp:coreProperties>
</file>