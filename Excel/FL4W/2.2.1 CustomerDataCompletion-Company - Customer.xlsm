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4" l="1"/>
  <c r="C10" i="4"/>
  <c r="B10" i="2"/>
  <c r="C10" i="2"/>
  <c r="B12" i="1"/>
  <c r="C9" i="2" s="1"/>
  <c r="B4" i="4" l="1"/>
  <c r="B9" i="2"/>
  <c r="B20" i="1"/>
  <c r="B4" i="1" s="1"/>
  <c r="C9" i="4" l="1"/>
  <c r="H10" i="6"/>
  <c r="H4" i="6"/>
  <c r="H10" i="5"/>
  <c r="H4" i="5"/>
  <c r="G4" i="5"/>
  <c r="G10" i="5"/>
  <c r="H66" i="4"/>
  <c r="H10" i="4"/>
  <c r="H9" i="4"/>
  <c r="G9" i="4"/>
  <c r="F9" i="4"/>
  <c r="E10" i="5"/>
  <c r="G66" i="4"/>
  <c r="G10" i="4"/>
  <c r="F66" i="4"/>
  <c r="F10" i="4"/>
  <c r="E66" i="4"/>
  <c r="E10" i="4"/>
  <c r="D66" i="4"/>
  <c r="D10" i="4"/>
  <c r="D4" i="4" s="1"/>
  <c r="F4" i="5"/>
  <c r="E4" i="5"/>
  <c r="D4" i="5"/>
  <c r="G4" i="6"/>
  <c r="F4" i="6"/>
  <c r="E4" i="6"/>
  <c r="D4" i="6"/>
  <c r="C37" i="7"/>
  <c r="C35" i="7"/>
  <c r="C33" i="7"/>
  <c r="C30" i="7"/>
  <c r="C27" i="7"/>
  <c r="C22" i="7"/>
  <c r="C18" i="7"/>
  <c r="C16" i="7"/>
  <c r="C14" i="7"/>
  <c r="C12" i="7"/>
  <c r="C10" i="7"/>
  <c r="C10" i="6"/>
  <c r="C4" i="6"/>
  <c r="C10" i="5"/>
  <c r="C4" i="5"/>
  <c r="C4" i="4"/>
  <c r="C66" i="4"/>
  <c r="B3" i="3"/>
  <c r="C4" i="2"/>
  <c r="B37" i="7"/>
  <c r="B35" i="7"/>
  <c r="B33" i="7"/>
  <c r="B30" i="7"/>
  <c r="B27" i="7"/>
  <c r="B22" i="7"/>
  <c r="B18" i="7"/>
  <c r="B16" i="7"/>
  <c r="B14" i="7"/>
  <c r="B12" i="7"/>
  <c r="B10" i="7"/>
  <c r="B10" i="6"/>
  <c r="B4" i="6"/>
  <c r="B10" i="5"/>
  <c r="B4" i="5"/>
  <c r="B9" i="4"/>
  <c r="B66" i="4"/>
  <c r="B10" i="3"/>
  <c r="B4" i="3"/>
  <c r="C4" i="7" l="1"/>
  <c r="B4" i="7"/>
  <c r="E4" i="4"/>
  <c r="G4" i="4"/>
  <c r="H4" i="4"/>
  <c r="F4" i="4"/>
  <c r="G10" i="6"/>
  <c r="F10" i="6"/>
  <c r="F10" i="5"/>
  <c r="E10" i="6"/>
  <c r="E9" i="4"/>
  <c r="D9" i="4"/>
  <c r="D10" i="6"/>
  <c r="D10" i="5"/>
  <c r="B4" i="2"/>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<sst xmlns="http://schemas.openxmlformats.org/spreadsheetml/2006/main" count="3912" uniqueCount="3494">
  <si>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</si>
  <si>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</si>
  <si>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</si>
  <si>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</si>
  <si>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</si>
  <si>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</si>
  <si>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</si>
  <si>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</si>
  <si>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</si>
  <si>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</si>
  <si>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</si>
  <si>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</si>
  <si>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</si>
  <si>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</si>
  <si>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</si>
  <si>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</si>
  <si>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</si>
  <si>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</si>
  <si>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</si>
  <si>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</si>
  <si>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</si>
  <si>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</si>
  <si>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</si>
  <si>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</si>
  <si>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</si>
  <si>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</si>
  <si>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</si>
  <si>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</si>
  <si>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</si>
  <si>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</si>
  <si>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</si>
  <si>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</si>
  <si>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</si>
  <si>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</si>
  <si>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</si>
  <si>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</si>
  <si>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</si>
  <si>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</si>
  <si>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</si>
  <si>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</si>
  <si>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</si>
  <si>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</si>
  <si>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</si>
  <si>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</si>
  <si>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</si>
  <si>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</si>
  <si>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</si>
  <si>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</si>
  <si>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</si>
  <si>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</si>
  <si>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</si>
  <si>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</si>
  <si>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</si>
  <si>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</si>
  <si>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</si>
  <si>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</si>
  <si>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</si>
  <si>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</si>
  <si>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</si>
  <si>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</si>
  <si>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</si>
  <si>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</si>
  <si>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</si>
  <si>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</si>
  <si>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</si>
  <si>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</si>
  <si>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</si>
  <si>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</si>
  <si>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</si>
  <si>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</si>
  <si>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</si>
  <si>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</si>
  <si>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</si>
  <si>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</si>
  <si>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</si>
  <si>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</si>
  <si>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</si>
  <si>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</si>
  <si>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</si>
  <si>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</si>
  <si>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</si>
  <si>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</si>
  <si>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</si>
  <si>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</si>
  <si>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</si>
  <si>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</si>
  <si>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</si>
  <si>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</si>
  <si>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</si>
  <si>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</si>
  <si>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</si>
  <si>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</si>
  <si>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</si>
  <si>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</si>
  <si>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</si>
  <si>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</si>
  <si>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</si>
  <si>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</si>
  <si>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</si>
  <si>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</si>
  <si>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</si>
  <si>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</si>
  <si>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</si>
  <si>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</si>
  <si>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</si>
  <si>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</si>
  <si>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</si>
  <si>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</si>
  <si>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</si>
  <si>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</si>
  <si>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</si>
  <si>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</si>
  <si>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</si>
  <si>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</si>
  <si>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</si>
  <si>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</si>
  <si>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</si>
  <si>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</si>
  <si>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</si>
  <si>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</si>
  <si>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</si>
  <si>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</si>
  <si>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</si>
  <si>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</si>
  <si>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</si>
  <si>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</si>
  <si>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</si>
  <si>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</si>
  <si>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</si>
  <si>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</si>
  <si>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</si>
  <si>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</si>
  <si>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</si>
  <si>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</si>
  <si>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</si>
  <si>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</si>
  <si>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</si>
  <si>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</si>
  <si>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</si>
  <si>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</si>
  <si>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</si>
  <si>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</si>
  <si>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</si>
  <si>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</si>
  <si>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</si>
  <si>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</si>
  <si>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</si>
  <si>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</si>
  <si>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</si>
  <si>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</si>
  <si>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</si>
  <si>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</si>
  <si>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</si>
  <si>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</si>
  <si>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</si>
  <si>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</si>
  <si>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</si>
  <si>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</si>
  <si>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</si>
  <si>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</si>
  <si>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</si>
  <si>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</si>
  <si>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</si>
  <si>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</si>
  <si>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</si>
  <si>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</si>
  <si>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</si>
  <si>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</si>
  <si>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</si>
  <si>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</si>
  <si>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</si>
  <si>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</si>
  <si>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</si>
  <si>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</si>
  <si>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</si>
  <si>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</si>
  <si>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</si>
  <si>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</si>
  <si>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</si>
  <si>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</si>
  <si>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</si>
  <si>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</si>
  <si>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</si>
  <si>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</si>
  <si>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</si>
  <si>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</si>
  <si>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</si>
  <si>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</si>
  <si>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</si>
  <si>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</si>
  <si>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</si>
  <si>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</si>
  <si>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</si>
  <si>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</si>
  <si>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</si>
  <si>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</si>
  <si>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</si>
  <si>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</si>
  <si>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</si>
  <si>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</si>
  <si>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</si>
  <si>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</si>
  <si>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</si>
  <si>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</si>
  <si>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</si>
  <si>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</si>
  <si>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</si>
  <si>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</si>
  <si>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</si>
  <si>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</si>
  <si>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</si>
  <si>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</si>
  <si>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</si>
  <si>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</si>
  <si>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</si>
  <si>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</si>
  <si>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</si>
  <si>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</si>
  <si>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</si>
  <si>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</si>
  <si>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</si>
  <si>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</si>
  <si>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</si>
  <si>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</si>
  <si>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</si>
  <si>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</si>
  <si>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</si>
  <si>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</si>
  <si>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</si>
  <si>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</si>
  <si>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</si>
  <si>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</si>
  <si>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</si>
  <si>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</si>
  <si>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</si>
  <si>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</si>
  <si>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</si>
  <si>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</si>
  <si>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</si>
  <si>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</si>
  <si>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</si>
  <si>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</si>
  <si>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</si>
  <si>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</si>
  <si>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</si>
  <si>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</si>
  <si>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</si>
  <si>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</si>
  <si>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</si>
  <si>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</si>
  <si>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</si>
  <si>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</si>
  <si>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</si>
  <si>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</si>
  <si>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</si>
  <si>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</si>
  <si>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</si>
  <si>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</si>
  <si>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</si>
  <si>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</si>
  <si>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</si>
  <si>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</si>
  <si>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</si>
  <si>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</si>
  <si>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</si>
  <si>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</si>
  <si>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</si>
  <si>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</si>
  <si>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</si>
  <si>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</si>
  <si>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</si>
  <si>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</si>
  <si>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</si>
  <si>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</si>
  <si>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</si>
  <si>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</si>
  <si>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</si>
  <si>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</si>
  <si>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</si>
  <si>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</si>
  <si>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</si>
  <si>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</si>
  <si>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</si>
  <si>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</si>
  <si>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</si>
  <si>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</si>
  <si>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</si>
  <si>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</si>
  <si>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</si>
  <si>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</si>
  <si>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</si>
  <si>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</si>
  <si>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</si>
  <si>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</si>
  <si>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</si>
  <si>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</si>
  <si>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</si>
  <si>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</si>
  <si>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</si>
  <si>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</si>
  <si>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</si>
  <si>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</si>
  <si>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</si>
  <si>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</si>
  <si>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</si>
  <si>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</si>
  <si>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</si>
  <si>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</si>
  <si>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</si>
  <si>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</si>
  <si>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</si>
  <si>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</si>
  <si>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</si>
  <si>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</si>
  <si>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</si>
  <si>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</si>
  <si>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</si>
  <si>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</si>
  <si>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</si>
  <si>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</si>
  <si>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</si>
  <si>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</si>
  <si>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</si>
  <si>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</si>
  <si>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</si>
  <si>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</si>
  <si>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</si>
  <si>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</si>
  <si>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</si>
  <si>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</si>
  <si>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</si>
  <si>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</si>
  <si>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</si>
  <si>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</si>
  <si>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</si>
  <si>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</si>
  <si>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</si>
  <si>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</si>
  <si>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</si>
  <si>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</si>
  <si>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</si>
  <si>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</si>
  <si>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</si>
  <si>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</si>
  <si>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</si>
  <si>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</si>
  <si>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</si>
  <si>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</si>
  <si>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</si>
  <si>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</si>
  <si>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</si>
  <si>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</si>
  <si>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</si>
  <si>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</si>
  <si>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</si>
  <si>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</si>
  <si>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</si>
  <si>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</si>
  <si>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</si>
  <si>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</si>
  <si>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</si>
  <si>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</si>
  <si>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</si>
  <si>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</si>
  <si>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</si>
  <si>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</si>
  <si>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</si>
  <si>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</si>
  <si>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</si>
  <si>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</si>
  <si>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</si>
  <si>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</si>
  <si>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</si>
  <si>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</si>
  <si>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</si>
  <si>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</si>
  <si>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</si>
  <si>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</si>
  <si>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</si>
  <si>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</si>
  <si>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</si>
  <si>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</si>
  <si>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</si>
  <si>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</si>
  <si>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</si>
  <si>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</si>
  <si>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</si>
  <si>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</si>
  <si>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</si>
  <si>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</si>
  <si>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</si>
  <si>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</si>
  <si>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</si>
  <si>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</si>
  <si>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</si>
  <si>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</si>
  <si>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</si>
  <si>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</si>
  <si>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</si>
  <si>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</si>
  <si>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</si>
  <si>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</si>
  <si>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</si>
  <si>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</si>
  <si>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</si>
  <si>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</si>
  <si>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</si>
  <si>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</si>
  <si>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</si>
  <si>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</si>
  <si>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</si>
  <si>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</si>
  <si>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</si>
  <si>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</si>
  <si>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</si>
  <si>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</si>
  <si>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</si>
  <si>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</si>
  <si>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</si>
  <si>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</si>
  <si>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</si>
  <si>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</si>
  <si>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</si>
  <si>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</si>
  <si>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</si>
  <si>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</si>
  <si>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</si>
  <si>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</si>
  <si>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</si>
  <si>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</si>
  <si>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</si>
  <si>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</si>
  <si>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</si>
  <si>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</si>
  <si>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</si>
  <si>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</si>
  <si>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</si>
  <si>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</si>
  <si>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</si>
  <si>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</si>
  <si>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</si>
  <si>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</si>
  <si>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</si>
  <si>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</si>
  <si>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</si>
  <si>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</si>
  <si>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</si>
  <si>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</si>
  <si>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</si>
  <si>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</si>
  <si>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</si>
  <si>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</si>
  <si>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</si>
  <si>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</si>
  <si>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</si>
  <si>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</si>
  <si>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</si>
  <si>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</si>
  <si>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</si>
  <si>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</si>
  <si>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</si>
  <si>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</si>
  <si>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</si>
  <si>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</si>
  <si>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</si>
  <si>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</si>
  <si>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</si>
  <si>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</si>
  <si>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</si>
  <si>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</si>
  <si>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</si>
  <si>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</si>
  <si>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</si>
  <si>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</si>
  <si>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</si>
  <si>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</si>
  <si>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</si>
  <si>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</si>
  <si>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</si>
  <si>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</si>
  <si>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</si>
  <si>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</si>
  <si>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</si>
  <si>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</si>
  <si>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</si>
  <si>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</si>
  <si>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</si>
  <si>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</si>
  <si>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</si>
  <si>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</si>
  <si>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</si>
  <si>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</si>
  <si>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</si>
  <si>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</si>
  <si>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</si>
  <si>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</si>
  <si>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</si>
  <si>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</si>
  <si>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</si>
  <si>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</si>
  <si>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</si>
  <si>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</si>
  <si>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</si>
  <si>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</si>
  <si>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</si>
  <si>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</si>
  <si>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</si>
  <si>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</si>
  <si>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</si>
  <si>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</si>
  <si>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</si>
  <si>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</si>
  <si>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</si>
  <si>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</si>
  <si>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</si>
  <si>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</si>
  <si>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</si>
  <si>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</si>
  <si>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</si>
  <si>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</si>
  <si>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</si>
  <si>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</si>
  <si>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</si>
  <si>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</si>
  <si>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</si>
  <si>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</si>
  <si>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</si>
  <si>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</si>
  <si>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</si>
  <si>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</si>
  <si>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</si>
  <si>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</si>
  <si>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</si>
  <si>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</si>
  <si>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</si>
  <si>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</si>
  <si>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</si>
  <si>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</si>
  <si>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</si>
  <si>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</si>
  <si>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</si>
  <si>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</si>
  <si>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</si>
  <si>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</si>
  <si>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</si>
  <si>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</si>
  <si>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</si>
  <si>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</si>
  <si>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</si>
  <si>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</si>
  <si>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</si>
  <si>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</si>
  <si>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</si>
  <si>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</si>
  <si>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</si>
  <si>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</si>
  <si>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</si>
  <si>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</si>
  <si>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</si>
  <si>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</si>
  <si>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</si>
  <si>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</si>
  <si>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</si>
  <si>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</si>
  <si>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</si>
  <si>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</si>
  <si>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</si>
  <si>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</si>
  <si>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</si>
  <si>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</si>
  <si>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</si>
  <si>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</si>
  <si>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</si>
  <si>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</si>
  <si>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</si>
  <si>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</si>
  <si>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</si>
  <si>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</si>
  <si>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</si>
  <si>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</si>
  <si>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</si>
  <si>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</si>
  <si>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</si>
  <si>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</si>
  <si>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</si>
  <si>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</si>
  <si>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</si>
  <si>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</si>
  <si>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</si>
  <si>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</si>
  <si>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</si>
  <si>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</si>
  <si>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</si>
  <si>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</si>
  <si>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</si>
  <si>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</si>
  <si>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</si>
  <si>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</si>
  <si>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</si>
  <si>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</si>
  <si>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</si>
  <si>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</si>
  <si>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</si>
  <si>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</si>
  <si>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</si>
  <si>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</si>
  <si>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</si>
  <si>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</si>
  <si>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</si>
  <si>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</si>
  <si>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</si>
  <si>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</si>
  <si>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</si>
  <si>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</si>
  <si>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</si>
  <si>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</si>
  <si>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</si>
  <si>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</si>
  <si>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</si>
  <si>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</si>
  <si>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</si>
  <si>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</si>
  <si>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</si>
  <si>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</si>
  <si>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</si>
  <si>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</si>
  <si>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</si>
  <si>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</si>
  <si>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</si>
  <si>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</si>
  <si>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</si>
  <si>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</si>
  <si>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</si>
  <si>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</si>
  <si>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</si>
  <si>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</si>
  <si>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</si>
  <si>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</si>
  <si>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</si>
  <si>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</si>
  <si>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</si>
  <si>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</si>
  <si>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</si>
  <si>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</si>
  <si>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</si>
  <si>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</si>
  <si>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</si>
  <si>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</si>
  <si>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</si>
  <si>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</si>
  <si>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</si>
  <si>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</si>
  <si>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</si>
  <si>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</si>
  <si>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</si>
  <si>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</si>
  <si>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</si>
  <si>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</si>
  <si>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</si>
  <si>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</si>
  <si>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</si>
  <si>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</si>
  <si>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</si>
  <si>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</si>
  <si>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</si>
  <si>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</si>
  <si>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</si>
  <si>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</si>
  <si>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</si>
  <si>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</si>
  <si>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</si>
  <si>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</si>
  <si>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</si>
  <si>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</si>
  <si>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</si>
  <si>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</si>
  <si>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</si>
  <si>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</si>
  <si>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</si>
  <si>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</si>
  <si>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</si>
  <si>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</si>
  <si>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</si>
  <si>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</si>
  <si>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</si>
  <si>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</si>
  <si>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</si>
  <si>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</si>
  <si>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</si>
  <si>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</si>
  <si>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</si>
  <si>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</si>
  <si>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</si>
  <si>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</si>
  <si>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</si>
  <si>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</si>
  <si>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</si>
  <si>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</si>
  <si>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</si>
  <si>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</si>
  <si>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</si>
  <si>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</si>
  <si>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</si>
  <si>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</si>
  <si>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</si>
  <si>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</si>
  <si>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</si>
  <si>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</si>
  <si>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</si>
  <si>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</si>
  <si>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</si>
  <si>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</si>
  <si>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</si>
  <si>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</si>
  <si>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</si>
  <si>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</si>
  <si>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</si>
  <si>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</si>
  <si>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</si>
  <si>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</si>
  <si>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</si>
  <si>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</si>
  <si>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</si>
  <si>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</si>
  <si>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</si>
  <si>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</si>
  <si>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</si>
  <si>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</si>
  <si>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</si>
  <si>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</si>
  <si>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</si>
  <si>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</si>
  <si>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</si>
  <si>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</si>
  <si>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</si>
  <si>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</si>
  <si>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</si>
  <si>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</si>
  <si>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</si>
  <si>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</si>
  <si>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</si>
  <si>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</si>
  <si>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</si>
  <si>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</si>
  <si>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</si>
  <si>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</si>
  <si>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</si>
  <si>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</si>
  <si>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</si>
  <si>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</si>
  <si>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</si>
  <si>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</si>
  <si>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</si>
  <si>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</si>
  <si>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</si>
  <si>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</si>
  <si>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</si>
  <si>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</si>
  <si>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</si>
  <si>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</si>
  <si>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</si>
  <si>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</si>
  <si>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</si>
  <si>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</si>
  <si>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</si>
  <si>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</si>
  <si>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</si>
  <si>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</si>
  <si>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</si>
  <si>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</si>
  <si>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</si>
  <si>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</si>
  <si>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</si>
  <si>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</si>
  <si>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</si>
  <si>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</si>
  <si>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</si>
  <si>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</si>
  <si>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</si>
  <si>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</si>
  <si>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</si>
  <si>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</si>
  <si>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</si>
  <si>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</si>
  <si>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</si>
  <si>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</si>
  <si>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</si>
  <si>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</si>
  <si>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</si>
  <si>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</si>
  <si>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</si>
  <si>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</si>
  <si>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</si>
  <si>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</si>
  <si>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</si>
  <si>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</si>
  <si>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</si>
  <si>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</si>
  <si>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</si>
  <si>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</si>
  <si>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</si>
  <si>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</si>
  <si>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</si>
  <si>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</si>
  <si>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</si>
  <si>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</si>
  <si>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</si>
  <si>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</si>
  <si>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</si>
  <si>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</si>
  <si>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</si>
  <si>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</si>
  <si>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</si>
  <si>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</si>
  <si>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</si>
  <si>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</si>
  <si>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</si>
  <si>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</si>
  <si>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</si>
  <si>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</si>
  <si>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</si>
  <si>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</si>
  <si>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</si>
  <si>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</si>
  <si>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</si>
  <si>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</si>
  <si>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</si>
  <si>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</si>
  <si>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</si>
  <si>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</si>
  <si>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</si>
  <si>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</si>
  <si>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</si>
  <si>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</si>
  <si>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</si>
  <si>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</si>
  <si>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</si>
  <si>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</si>
  <si>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</si>
  <si>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</si>
  <si>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</si>
  <si>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</si>
  <si>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</si>
  <si>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</si>
  <si>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</si>
  <si>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</si>
  <si>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</si>
  <si>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</si>
  <si>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</si>
  <si>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</si>
  <si>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</si>
  <si>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</si>
  <si>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</si>
  <si>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</si>
  <si>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</si>
  <si>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</si>
  <si>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</si>
  <si>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</si>
  <si>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</si>
  <si>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</si>
  <si>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</si>
  <si>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</si>
  <si>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</si>
  <si>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</si>
  <si>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</si>
  <si>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</si>
  <si>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</si>
  <si>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</si>
  <si>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</si>
  <si>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</si>
  <si>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</si>
  <si>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</si>
  <si>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</si>
  <si>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</si>
  <si>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</si>
  <si>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</si>
  <si>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</si>
  <si>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</si>
  <si>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</si>
  <si>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</si>
  <si>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</si>
  <si>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</si>
  <si>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</si>
  <si>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</si>
  <si>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</si>
  <si>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</si>
  <si>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</si>
  <si>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</si>
  <si>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</si>
  <si>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</si>
  <si>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</si>
  <si>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</si>
  <si>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</si>
  <si>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</si>
  <si>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</si>
  <si>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</si>
  <si>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</si>
  <si>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</si>
  <si>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</si>
  <si>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</si>
  <si>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</si>
  <si>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</si>
  <si>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</si>
  <si>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</si>
  <si>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</si>
  <si>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</si>
  <si>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</si>
  <si>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</si>
  <si>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</si>
  <si>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</si>
  <si>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</si>
  <si>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</si>
  <si>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</si>
  <si>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</si>
  <si>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</si>
  <si>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</si>
  <si>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</si>
  <si>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</si>
  <si>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</si>
  <si>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</si>
  <si>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</si>
  <si>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</si>
  <si>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</si>
  <si>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</si>
  <si>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</si>
  <si>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</si>
  <si>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</si>
  <si>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</si>
  <si>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</si>
  <si>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</si>
  <si>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</si>
  <si>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</si>
  <si>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</si>
  <si>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</si>
  <si>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</si>
  <si>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</si>
  <si>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</si>
  <si>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</si>
  <si>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</si>
  <si>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</si>
  <si>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</si>
  <si>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</si>
  <si>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</si>
  <si>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</si>
  <si>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</si>
  <si>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</si>
  <si>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</si>
  <si>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</si>
  <si>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</si>
  <si>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</si>
  <si>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</si>
  <si>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</si>
  <si>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</si>
  <si>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</si>
  <si>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</si>
  <si>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</si>
  <si>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</si>
  <si>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</si>
  <si>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</si>
  <si>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</si>
  <si>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</si>
  <si>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</si>
  <si>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</si>
  <si>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</si>
  <si>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</si>
  <si>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</si>
  <si>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</si>
  <si>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</si>
  <si>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</si>
  <si>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</si>
  <si>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</si>
  <si>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</si>
  <si>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</si>
  <si>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</si>
  <si>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</si>
  <si>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</si>
  <si>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</si>
  <si>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</si>
  <si>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</si>
  <si>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</si>
  <si>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</si>
  <si>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</si>
  <si>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</si>
  <si>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</si>
  <si>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</si>
  <si>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</si>
  <si>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</si>
  <si>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</si>
  <si>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</si>
  <si>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</si>
  <si>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</si>
  <si>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</si>
  <si>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</si>
  <si>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</si>
  <si>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</si>
  <si>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</si>
  <si>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</si>
  <si>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</si>
  <si>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</si>
  <si>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</si>
  <si>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</si>
  <si>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</si>
  <si>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</si>
  <si>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</si>
  <si>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</si>
  <si>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</si>
  <si>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</si>
  <si>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</si>
  <si>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</si>
  <si>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</si>
  <si>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</si>
  <si>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</si>
  <si>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</si>
  <si>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</si>
  <si>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</si>
  <si>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</si>
  <si>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</si>
  <si>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</si>
  <si>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</si>
  <si>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</si>
  <si>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</si>
  <si>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</si>
  <si>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</si>
  <si>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</si>
  <si>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</si>
  <si>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</si>
  <si>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</si>
  <si>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</si>
  <si>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</si>
  <si>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</si>
  <si>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</si>
  <si>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</si>
  <si>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</si>
  <si>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</si>
  <si>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</si>
  <si>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</si>
  <si>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</si>
  <si>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</si>
  <si>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</si>
  <si>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</si>
  <si>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</si>
  <si>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</si>
  <si>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</si>
  <si>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</si>
  <si>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</si>
  <si>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</si>
  <si>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</si>
  <si>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</si>
  <si>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</si>
  <si>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</si>
  <si>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</si>
  <si>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</si>
  <si>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</si>
  <si>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</si>
  <si>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</si>
  <si>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</si>
  <si>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</si>
  <si>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</si>
  <si>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</si>
  <si>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</si>
  <si>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</si>
  <si>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</si>
  <si>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</si>
  <si>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</si>
  <si>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</si>
  <si>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</si>
  <si>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</si>
  <si>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</si>
  <si>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</si>
  <si>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</si>
  <si>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</si>
  <si>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</si>
  <si>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</si>
  <si>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</si>
  <si>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</si>
  <si>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</si>
  <si>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</si>
  <si>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</si>
  <si>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</si>
  <si>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</si>
  <si>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</si>
  <si>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</si>
  <si>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</si>
  <si>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</si>
  <si>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</si>
  <si>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</si>
  <si>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</si>
  <si>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</si>
  <si>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</si>
  <si>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</si>
  <si>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</si>
  <si>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</si>
  <si>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</si>
  <si>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</si>
  <si>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</si>
  <si>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</si>
  <si>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</si>
  <si>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</si>
  <si>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</si>
  <si>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</si>
  <si>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</si>
  <si>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</si>
  <si>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</si>
  <si>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</si>
  <si>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</si>
  <si>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</si>
  <si>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</si>
  <si>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</si>
  <si>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</si>
  <si>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</si>
  <si>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</si>
  <si>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</si>
  <si>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</si>
  <si>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</si>
  <si>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</si>
  <si>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</si>
  <si>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</si>
  <si>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</si>
  <si>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</si>
  <si>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</si>
  <si>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</si>
  <si>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</si>
  <si>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</si>
  <si>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</si>
  <si>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</si>
  <si>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</si>
  <si>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</si>
  <si>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</si>
  <si>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</si>
  <si>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</si>
  <si>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</si>
  <si>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</si>
  <si>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</si>
  <si>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</si>
  <si>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</si>
  <si>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</si>
  <si>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</si>
  <si>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</si>
  <si>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</si>
  <si>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</si>
  <si>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</si>
  <si>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</si>
  <si>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</si>
  <si>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</si>
  <si>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</si>
  <si>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</si>
  <si>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</si>
  <si>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</si>
  <si>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</si>
  <si>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</si>
  <si>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</si>
  <si>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</si>
  <si>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</si>
  <si>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</si>
  <si>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</si>
  <si>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</si>
  <si>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</si>
  <si>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</si>
  <si>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</si>
  <si>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</si>
  <si>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</si>
  <si>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</si>
  <si>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</si>
  <si>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</si>
  <si>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</si>
  <si>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</si>
  <si>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</si>
  <si>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</si>
  <si>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</si>
  <si>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</si>
  <si>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</si>
  <si>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</si>
  <si>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</si>
  <si>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</si>
  <si>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</si>
  <si>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</si>
  <si>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</si>
  <si>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</si>
  <si>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</si>
  <si>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</si>
  <si>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</si>
  <si>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</si>
  <si>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</si>
  <si>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</si>
  <si>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</si>
  <si>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</si>
  <si>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</si>
  <si>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</si>
  <si>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</si>
  <si>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</si>
  <si>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</si>
  <si>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</si>
  <si>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</si>
  <si>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</si>
  <si>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</si>
  <si>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</si>
  <si>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</si>
  <si>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</si>
  <si>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</si>
  <si>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</si>
  <si>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</si>
  <si>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</si>
  <si>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</si>
  <si>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</si>
  <si>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</si>
  <si>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</si>
  <si>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</si>
  <si>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</si>
  <si>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</si>
  <si>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</si>
  <si>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</si>
  <si>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</si>
  <si>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</si>
  <si>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</si>
  <si>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</si>
  <si>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</si>
  <si>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</si>
  <si>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</si>
  <si>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</si>
  <si>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</si>
  <si>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</si>
  <si>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</si>
  <si>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</si>
  <si>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</si>
  <si>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</si>
  <si>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</si>
  <si>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</si>
  <si>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</si>
  <si>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</si>
  <si>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</si>
  <si>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</si>
  <si>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</si>
  <si>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</si>
  <si>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</si>
  <si>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</si>
  <si>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</si>
  <si>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</si>
  <si>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</si>
  <si>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</si>
  <si>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</si>
  <si>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</si>
  <si>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</si>
  <si>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</si>
  <si>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</si>
  <si>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</si>
  <si>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</si>
  <si>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</si>
  <si>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</si>
  <si>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</si>
  <si>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</si>
  <si>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</si>
  <si>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</si>
  <si>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</si>
  <si>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</si>
  <si>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</si>
  <si>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</si>
  <si>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</si>
  <si>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</si>
  <si>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</si>
  <si>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</si>
  <si>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</si>
  <si>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</si>
  <si>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</si>
  <si>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</si>
  <si>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</si>
  <si>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</si>
  <si>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</si>
  <si>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</si>
  <si>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</si>
  <si>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</si>
  <si>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</si>
  <si>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</si>
  <si>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</si>
  <si>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</si>
  <si>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</si>
  <si>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</si>
  <si>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</si>
  <si>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</si>
  <si>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</si>
  <si>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</si>
  <si>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</si>
  <si>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</si>
  <si>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</si>
  <si>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</si>
  <si>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</si>
  <si>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</si>
  <si>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</si>
  <si>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</si>
  <si>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</si>
  <si>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</si>
  <si>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</si>
  <si>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</si>
  <si>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</si>
  <si>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</si>
  <si>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</si>
  <si>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</si>
  <si>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</si>
  <si>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</si>
  <si>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</si>
  <si>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</si>
  <si>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</si>
  <si>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</si>
  <si>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</si>
  <si>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</si>
  <si>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</si>
  <si>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</si>
  <si>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</si>
  <si>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</si>
  <si>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</si>
  <si>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</si>
  <si>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</si>
  <si>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</si>
  <si>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</si>
  <si>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</si>
  <si>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</si>
  <si>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</si>
  <si>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</si>
  <si>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</si>
  <si>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</si>
  <si>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</si>
  <si>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</si>
  <si>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</si>
  <si>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</si>
  <si>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</si>
  <si>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</si>
  <si>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</si>
  <si>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</si>
  <si>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</si>
  <si>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</si>
  <si>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</si>
  <si>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</si>
  <si>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</si>
  <si>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</si>
  <si>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</si>
  <si>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</si>
  <si>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</si>
  <si>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</si>
  <si>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</si>
  <si>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</si>
  <si>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</si>
  <si>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</si>
  <si>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</si>
  <si>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</si>
  <si>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</si>
  <si>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</si>
  <si>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</si>
  <si>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</si>
  <si>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</si>
  <si>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</si>
  <si>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</si>
  <si>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</si>
  <si>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</si>
  <si>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</si>
  <si>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</si>
  <si>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</si>
  <si>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</si>
  <si>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</si>
  <si>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</si>
  <si>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</si>
  <si>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</si>
  <si>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</si>
  <si>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</si>
  <si>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</si>
  <si>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</si>
  <si>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</si>
  <si>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</si>
  <si>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</si>
  <si>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</si>
  <si>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</si>
  <si>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</si>
  <si>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</si>
  <si>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</si>
  <si>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</si>
  <si>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</si>
  <si>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</si>
  <si>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</si>
  <si>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</si>
  <si>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</si>
  <si>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</si>
  <si>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</si>
  <si>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</si>
  <si>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</si>
  <si>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</si>
  <si>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</si>
  <si>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</si>
  <si>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</si>
  <si>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</si>
  <si>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</si>
  <si>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</si>
  <si>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</si>
  <si>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</si>
  <si>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</si>
  <si>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</si>
  <si>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</si>
  <si>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</si>
  <si>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</si>
  <si>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</si>
  <si>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</si>
  <si>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</si>
  <si>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</si>
  <si>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</si>
  <si>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</si>
  <si>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</si>
  <si>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</si>
  <si>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</si>
  <si>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</si>
  <si>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</si>
  <si>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</si>
  <si>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</si>
  <si>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</si>
  <si>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</si>
  <si>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</si>
  <si>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</si>
  <si>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</si>
  <si>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</si>
  <si>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</si>
  <si>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</si>
  <si>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</si>
  <si>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</si>
  <si>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</si>
  <si>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</si>
  <si>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</si>
  <si>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</si>
  <si>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</si>
  <si>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</si>
  <si>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</si>
  <si>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</si>
  <si>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</si>
  <si>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</si>
  <si>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</si>
  <si>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</si>
  <si>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</si>
  <si>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</si>
  <si>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</si>
  <si>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</si>
  <si>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</si>
  <si>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</si>
  <si>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</si>
  <si>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</si>
  <si>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</si>
  <si>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</si>
  <si>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</si>
  <si>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</si>
  <si>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</si>
  <si>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</si>
  <si>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</si>
  <si>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</si>
  <si>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</si>
  <si>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</si>
  <si>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</si>
  <si>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</si>
  <si>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</si>
  <si>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</si>
  <si>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</si>
  <si>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</si>
  <si>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</si>
  <si>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</si>
  <si>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</si>
  <si>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</si>
  <si>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</si>
  <si>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</si>
  <si>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</si>
  <si>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</si>
  <si>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</si>
  <si>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</si>
  <si>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</si>
  <si>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</si>
  <si>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</si>
  <si>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</si>
  <si>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</si>
  <si>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</si>
  <si>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</si>
  <si>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</si>
  <si>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</si>
  <si>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</si>
  <si>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</si>
  <si>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</si>
  <si>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</si>
  <si>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</si>
  <si>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</si>
  <si>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</si>
  <si>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</si>
  <si>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</si>
  <si>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</si>
  <si>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</si>
  <si>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</si>
  <si>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</si>
  <si>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</si>
  <si>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</si>
  <si>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</si>
  <si>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</si>
  <si>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</si>
  <si>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</si>
  <si>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</si>
  <si>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</si>
  <si>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</si>
  <si>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</si>
  <si>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</si>
  <si>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</si>
  <si>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</si>
  <si>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</si>
  <si>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</si>
  <si>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</si>
  <si>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</si>
  <si>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</si>
  <si>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</si>
  <si>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</si>
  <si>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</si>
  <si>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</si>
  <si>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</si>
  <si>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</si>
  <si>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</si>
  <si>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</si>
  <si>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</si>
  <si>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</si>
  <si>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</si>
  <si>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</si>
  <si>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</si>
  <si>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</si>
  <si>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</si>
  <si>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</si>
  <si>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</si>
  <si>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</si>
  <si>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</si>
  <si>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</si>
  <si>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</si>
  <si>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</si>
  <si>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</si>
  <si>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</si>
  <si>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</si>
  <si>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</si>
  <si>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</si>
  <si>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</si>
  <si>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</si>
  <si>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</si>
  <si>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</si>
  <si>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</si>
  <si>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</si>
  <si>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</si>
  <si>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</si>
  <si>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</si>
  <si>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</si>
  <si>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</si>
  <si>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</si>
  <si>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</si>
  <si>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</si>
  <si>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</si>
  <si>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</si>
  <si>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</si>
  <si>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</si>
  <si>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</si>
  <si>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</si>
  <si>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</si>
  <si>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</si>
  <si>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</si>
  <si>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</si>
  <si>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</si>
  <si>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</si>
  <si>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</si>
  <si>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</si>
  <si>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</si>
  <si>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</si>
  <si>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</si>
  <si>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</si>
  <si>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</si>
  <si>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</si>
  <si>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</si>
  <si>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</si>
  <si>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</si>
  <si>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</si>
  <si>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</si>
  <si>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</si>
  <si>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</si>
  <si>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</si>
  <si>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</si>
  <si>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</si>
  <si>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</si>
  <si>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</si>
  <si>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</si>
  <si>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</si>
  <si>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</si>
  <si>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</si>
  <si>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</si>
  <si>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</si>
  <si>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</si>
  <si>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</si>
  <si>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</si>
  <si>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</si>
  <si>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</si>
  <si>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</si>
  <si>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</si>
  <si>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</si>
  <si>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</si>
  <si>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</si>
  <si>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</si>
  <si>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</si>
  <si>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</si>
  <si>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</si>
  <si>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</si>
  <si>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</si>
  <si>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</si>
  <si>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</si>
  <si>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</si>
  <si>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</si>
  <si>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</si>
  <si>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</si>
  <si>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</si>
  <si>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</si>
  <si>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</si>
  <si>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</si>
  <si>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</si>
  <si>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</si>
  <si>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</si>
  <si>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</si>
  <si>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</si>
  <si>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</si>
  <si>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</si>
  <si>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</si>
  <si>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</si>
  <si>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</si>
  <si>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</si>
  <si>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</si>
  <si>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</si>
  <si>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</si>
  <si>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</si>
  <si>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</si>
  <si>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</si>
  <si>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</si>
  <si>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</si>
  <si>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</si>
  <si>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</si>
  <si>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</si>
  <si>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</si>
  <si>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</si>
  <si>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</si>
  <si>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</si>
  <si>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</si>
  <si>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</si>
  <si>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</si>
  <si>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</si>
  <si>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</si>
  <si>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</si>
  <si>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</si>
  <si>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</si>
  <si>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</si>
  <si>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</si>
  <si>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</si>
  <si>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</si>
  <si>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</si>
  <si>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</si>
  <si>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</si>
  <si>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</si>
  <si>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</si>
  <si>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</si>
  <si>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</si>
  <si>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</si>
  <si>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</si>
  <si>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</si>
  <si>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</si>
  <si>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</si>
  <si>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</si>
  <si>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</si>
  <si>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</si>
  <si>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</si>
  <si>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</si>
  <si>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</si>
  <si>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</si>
  <si>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</si>
  <si>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</si>
  <si>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</si>
  <si>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</si>
  <si>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</si>
  <si>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</si>
  <si>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</si>
  <si>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</si>
  <si>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</si>
  <si>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</si>
  <si>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</si>
  <si>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</si>
  <si>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</si>
  <si>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</si>
  <si>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</si>
  <si>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</si>
  <si>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</si>
  <si>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</si>
  <si>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</si>
  <si>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</si>
  <si>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</si>
  <si>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</si>
  <si>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</si>
  <si>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</si>
  <si>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</si>
  <si>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</si>
  <si>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</si>
  <si>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</si>
  <si>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</si>
  <si>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</si>
  <si>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</si>
  <si>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</si>
  <si>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</si>
  <si>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</si>
  <si>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</si>
  <si>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</si>
  <si>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</si>
  <si>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</si>
  <si>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</si>
  <si>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</si>
  <si>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</si>
  <si>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</si>
  <si>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</si>
  <si>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</si>
  <si>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</si>
  <si>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</si>
  <si>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</si>
  <si>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</si>
  <si>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</si>
  <si>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</si>
  <si>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</si>
  <si>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</si>
  <si>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</si>
  <si>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</si>
  <si>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</si>
  <si>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</si>
  <si>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</si>
  <si>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</si>
  <si>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</si>
  <si>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</si>
  <si>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</si>
  <si>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</si>
  <si>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</si>
  <si>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</si>
  <si>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</si>
  <si>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</si>
  <si>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</si>
  <si>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</si>
  <si>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</si>
  <si>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</si>
  <si>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</si>
  <si>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</si>
  <si>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</si>
  <si>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</si>
  <si>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</si>
  <si>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</si>
  <si>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</si>
  <si>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</si>
  <si>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</si>
  <si>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</si>
  <si>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</si>
  <si>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</si>
  <si>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</si>
  <si>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</si>
  <si>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</si>
  <si>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</si>
  <si>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</si>
  <si>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</si>
  <si>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</si>
  <si>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</si>
  <si>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</si>
  <si>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</si>
  <si>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</si>
  <si>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</si>
  <si>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</si>
  <si>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</si>
  <si>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</si>
  <si>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</si>
  <si>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</si>
  <si>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</si>
  <si>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</si>
  <si>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</si>
  <si>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</si>
  <si>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</si>
  <si>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</si>
  <si>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</si>
  <si>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</si>
  <si>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</si>
  <si>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</si>
  <si>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</si>
  <si>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</si>
  <si>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</si>
  <si>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</si>
  <si>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</si>
  <si>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</si>
  <si>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</si>
  <si>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</si>
  <si>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</si>
  <si>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</si>
  <si>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</si>
  <si>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</si>
  <si>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</si>
  <si>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</si>
  <si>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</si>
  <si>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</si>
  <si>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</si>
  <si>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</si>
  <si>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</si>
  <si>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</si>
  <si>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</si>
  <si>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</si>
  <si>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</si>
  <si>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</si>
  <si>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</si>
  <si>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</si>
  <si>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</si>
  <si>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</si>
  <si>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</si>
  <si>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</si>
  <si>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</si>
  <si>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</si>
  <si>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</si>
  <si>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</si>
  <si>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</si>
  <si>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</si>
  <si>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</si>
  <si>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</si>
  <si>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</si>
  <si>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</si>
  <si>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</si>
  <si>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</si>
  <si>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</si>
  <si>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</si>
  <si>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</si>
  <si>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</si>
  <si>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</si>
  <si>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</si>
  <si>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</si>
  <si>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</si>
  <si>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</si>
  <si>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</si>
  <si>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</si>
  <si>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</si>
  <si>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</si>
  <si>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</si>
  <si>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</si>
  <si>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</si>
  <si>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</si>
  <si>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</si>
  <si>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</si>
  <si>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</si>
  <si>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</si>
  <si>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</si>
  <si>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</si>
  <si>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</si>
  <si>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</si>
  <si>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</si>
  <si>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</si>
  <si>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</si>
  <si>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</si>
  <si>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</si>
  <si>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</si>
  <si>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</si>
  <si>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</si>
  <si>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</si>
  <si>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</si>
  <si>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</si>
  <si>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</si>
  <si>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</si>
  <si>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</si>
  <si>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</si>
  <si>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</si>
  <si>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</si>
  <si>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</si>
  <si>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</si>
  <si>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</si>
  <si>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</si>
  <si>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</si>
  <si>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</si>
  <si>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</si>
  <si>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</si>
  <si>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</si>
  <si>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</si>
  <si>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</si>
  <si>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</si>
  <si>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</si>
  <si>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</si>
  <si>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</si>
  <si>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</si>
  <si>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</si>
  <si>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</si>
  <si>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</si>
  <si>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</si>
  <si>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</si>
  <si>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</si>
  <si>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</si>
  <si>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</si>
  <si>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</si>
  <si>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</si>
  <si>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</si>
  <si>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</si>
  <si>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</si>
  <si>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</si>
  <si>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</si>
  <si>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</si>
  <si>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</si>
  <si>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</si>
  <si>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</si>
  <si>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</si>
  <si>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</si>
  <si>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</si>
  <si>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</si>
  <si>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</si>
  <si>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</si>
  <si>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</si>
  <si>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</si>
  <si>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</si>
  <si>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</si>
  <si>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</si>
  <si>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</si>
  <si>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</si>
  <si>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</si>
  <si>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</si>
  <si>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</si>
  <si>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</si>
  <si>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</si>
  <si>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</si>
  <si>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</si>
  <si>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</si>
  <si>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</si>
  <si>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</si>
  <si>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</si>
  <si>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</si>
  <si>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</si>
  <si>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</si>
  <si>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</si>
  <si>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</si>
  <si>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</si>
  <si>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</si>
  <si>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</si>
  <si>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</si>
  <si>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</si>
  <si>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</si>
  <si>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</si>
  <si>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</si>
  <si>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</si>
  <si>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</si>
  <si>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</si>
  <si>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</si>
  <si>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</si>
  <si>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</si>
  <si>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</si>
  <si>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</si>
  <si>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</si>
  <si>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</si>
  <si>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</si>
  <si>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</si>
  <si>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</si>
  <si>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</si>
  <si>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</si>
  <si>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</si>
  <si>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</si>
  <si>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</si>
  <si>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</si>
  <si>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</si>
  <si>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</si>
  <si>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</si>
  <si>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</si>
  <si>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</si>
  <si>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</si>
  <si>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</si>
  <si>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</si>
  <si>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</si>
  <si>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</si>
  <si>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</si>
  <si>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</si>
  <si>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</si>
  <si>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</si>
  <si>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</si>
  <si>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</si>
  <si>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</si>
  <si>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</si>
  <si>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</si>
  <si>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</si>
  <si>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</si>
  <si>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</si>
  <si>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</si>
  <si>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</si>
  <si>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</si>
  <si>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</si>
  <si>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</si>
  <si>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</si>
  <si>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</si>
  <si>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</si>
  <si>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</si>
  <si>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</si>
  <si>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</si>
  <si>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</si>
  <si>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</si>
  <si>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</si>
  <si>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</si>
  <si>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</si>
  <si>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</si>
  <si>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</si>
  <si>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</si>
  <si>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</si>
  <si>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</si>
  <si>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</si>
  <si>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</si>
  <si>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</si>
  <si>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</si>
  <si>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</si>
  <si>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</si>
  <si>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</si>
  <si>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</si>
  <si>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</si>
  <si>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</si>
  <si>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</si>
  <si>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</si>
  <si>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</si>
  <si>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</si>
  <si>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</si>
  <si>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</si>
  <si>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</si>
  <si>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</si>
  <si>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</si>
  <si>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</si>
  <si>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</si>
  <si>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</si>
  <si>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</si>
  <si>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</si>
  <si>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</si>
  <si>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</si>
  <si>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</si>
  <si>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</si>
  <si>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</si>
  <si>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</si>
  <si>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</si>
  <si>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</si>
  <si>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</si>
  <si>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</si>
  <si>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</si>
  <si>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</si>
  <si>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</si>
  <si>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</si>
  <si>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</si>
  <si>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</si>
  <si>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</si>
  <si>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</si>
  <si>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</si>
  <si>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</si>
  <si>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</si>
  <si>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</si>
  <si>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</si>
  <si>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</si>
  <si>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</si>
  <si>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</si>
  <si>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</si>
  <si>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</si>
  <si>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</si>
  <si>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</si>
  <si>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</si>
  <si>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</si>
  <si>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</si>
  <si>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</si>
  <si>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</si>
  <si>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</si>
  <si>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</si>
  <si>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</si>
  <si>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</si>
  <si>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</si>
  <si>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</si>
  <si>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</si>
  <si>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</si>
  <si>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</si>
  <si>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</si>
  <si>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</si>
  <si>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</si>
  <si>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</si>
  <si>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</si>
  <si>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</si>
  <si>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</si>
  <si>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</si>
  <si>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</si>
  <si>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</si>
  <si>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</si>
  <si>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</si>
  <si>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</si>
  <si>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</si>
  <si>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</si>
  <si>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</si>
  <si>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</si>
  <si>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</si>
  <si>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</si>
  <si>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</si>
  <si>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</si>
  <si>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</si>
  <si>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</si>
  <si>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</si>
  <si>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</si>
  <si>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</si>
  <si>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</si>
  <si>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</si>
  <si>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</si>
  <si>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</si>
  <si>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</si>
  <si>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</si>
  <si>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</si>
  <si>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</si>
  <si>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</si>
  <si>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</si>
  <si>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</si>
  <si>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</si>
  <si>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</si>
  <si>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</si>
  <si>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</si>
  <si>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</si>
  <si>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</si>
  <si>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</si>
  <si>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</si>
  <si>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</si>
  <si>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</si>
  <si>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</si>
  <si>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</si>
  <si>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</si>
  <si>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</si>
  <si>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</si>
  <si>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</si>
  <si>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</si>
  <si>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</si>
  <si>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</si>
  <si>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</si>
  <si>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</si>
  <si>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</si>
  <si>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</si>
  <si>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</si>
  <si>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</si>
  <si>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</si>
  <si>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</si>
  <si>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</si>
  <si>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</si>
  <si>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</si>
  <si>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</si>
  <si>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</si>
  <si>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</si>
  <si>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</si>
  <si>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</si>
  <si>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</si>
  <si>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</si>
  <si>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</si>
  <si>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</si>
  <si>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</si>
  <si>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</si>
  <si>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</si>
  <si>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</si>
  <si>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</si>
  <si>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</si>
  <si>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</si>
  <si>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</si>
  <si>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</si>
  <si>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</si>
  <si>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</si>
  <si>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</si>
  <si>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</si>
  <si>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</si>
  <si>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</si>
  <si>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</si>
  <si>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</si>
  <si>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</si>
  <si>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</si>
  <si>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</si>
  <si>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</si>
  <si>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</si>
  <si>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</si>
  <si>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</si>
  <si>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</si>
  <si>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</si>
  <si>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</si>
  <si>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</si>
  <si>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</si>
  <si>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</si>
  <si>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</si>
  <si>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</si>
  <si>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</si>
  <si>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</si>
  <si>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</si>
  <si>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</si>
  <si>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</si>
  <si>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</si>
  <si>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</si>
  <si>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</si>
  <si>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</si>
  <si>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</si>
  <si>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</si>
  <si>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</si>
  <si>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</si>
  <si>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</si>
  <si>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</si>
  <si>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</si>
  <si>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</si>
  <si>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</si>
  <si>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</si>
  <si>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</si>
  <si>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</si>
  <si>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</si>
  <si>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</si>
  <si>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</si>
  <si>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</si>
  <si>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</si>
  <si>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</si>
  <si>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</si>
  <si>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</si>
  <si>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</si>
  <si>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</si>
  <si>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</si>
  <si>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</si>
  <si>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</si>
  <si>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</si>
  <si>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</si>
  <si>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</si>
  <si>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</si>
  <si>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</si>
  <si>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</si>
  <si>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</si>
  <si>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</si>
  <si>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</si>
  <si>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</si>
  <si>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</si>
  <si>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</si>
  <si>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</si>
  <si>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</si>
  <si>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</si>
  <si>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</si>
  <si>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</si>
  <si>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</si>
  <si>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</si>
  <si>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</si>
  <si>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</si>
  <si>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</si>
  <si>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</si>
  <si>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</si>
  <si>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</si>
  <si>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</si>
  <si>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</si>
  <si>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</si>
  <si>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</si>
  <si>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</si>
  <si>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</si>
  <si>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</si>
  <si>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</si>
  <si>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</si>
  <si>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</si>
  <si>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</si>
  <si>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</si>
  <si>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</si>
  <si>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</si>
  <si>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</si>
  <si>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</si>
  <si>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</si>
  <si>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</si>
  <si>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</si>
  <si>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</si>
  <si>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</si>
  <si>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</si>
  <si>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</si>
  <si>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</si>
  <si>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</si>
  <si>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</si>
  <si>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</si>
  <si>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</si>
  <si>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</si>
  <si>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</si>
  <si>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</si>
  <si>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</si>
  <si>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</si>
  <si>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</si>
  <si>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</si>
  <si>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</si>
  <si>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</si>
  <si>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</si>
  <si>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</si>
  <si>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</si>
  <si>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</si>
  <si>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</si>
  <si>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</si>
  <si>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</si>
  <si>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</si>
  <si>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</si>
  <si>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</si>
  <si>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</si>
  <si>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</si>
  <si>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</si>
  <si>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</si>
  <si>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</si>
  <si>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</si>
  <si>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</si>
  <si>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</si>
  <si>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</si>
  <si>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</si>
  <si>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</si>
  <si>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</si>
  <si>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</si>
  <si>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</si>
  <si>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</si>
  <si>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</si>
  <si>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</si>
  <si>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</si>
  <si>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</si>
  <si>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</si>
  <si>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</si>
  <si>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</si>
  <si>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</si>
  <si>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</si>
  <si>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</si>
  <si>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</si>
  <si>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</si>
  <si>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</si>
  <si>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</si>
  <si>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</si>
  <si>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</si>
  <si>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</si>
  <si>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</si>
  <si>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</si>
  <si>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</si>
  <si>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</si>
  <si>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</si>
  <si>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</si>
  <si>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</si>
  <si>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</si>
  <si>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</si>
  <si>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</si>
  <si>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</si>
  <si>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</si>
  <si>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</si>
  <si>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</si>
  <si>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</si>
  <si>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</si>
  <si>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</si>
  <si>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</si>
  <si>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</si>
  <si>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</si>
  <si>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</si>
  <si>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</si>
  <si>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</si>
  <si>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</si>
  <si>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</si>
  <si>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</si>
  <si>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</si>
  <si>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</si>
  <si>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</si>
  <si>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</si>
  <si>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</si>
  <si>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</si>
  <si>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</si>
  <si>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</si>
  <si>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</si>
  <si>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</si>
  <si>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</si>
  <si>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</si>
  <si>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</si>
  <si>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</si>
  <si>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</si>
  <si>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</si>
  <si>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</si>
  <si>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</si>
  <si>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</si>
  <si>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</si>
  <si>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</si>
  <si>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</si>
  <si>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</si>
  <si>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</si>
  <si>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</si>
  <si>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</si>
  <si>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</si>
  <si>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</si>
  <si>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</si>
  <si>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</si>
  <si>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</si>
  <si>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</si>
  <si>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</si>
  <si>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</si>
  <si>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</si>
  <si>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</si>
  <si>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</si>
  <si>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</si>
  <si>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</si>
  <si>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</si>
  <si>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</si>
  <si>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</si>
  <si>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</si>
  <si>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</si>
  <si>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</si>
  <si>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</si>
  <si>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</si>
  <si>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</si>
  <si>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</si>
  <si>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</si>
  <si>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</si>
  <si>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</si>
  <si>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</si>
  <si>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</si>
  <si>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</si>
  <si>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</si>
  <si>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</si>
  <si>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</si>
  <si>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</si>
  <si>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</si>
  <si>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</si>
  <si>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</si>
  <si>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</si>
  <si>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</si>
  <si>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</si>
  <si>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</si>
  <si>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</si>
  <si>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</si>
  <si>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</si>
  <si>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</si>
  <si>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</si>
  <si>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</si>
  <si>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</si>
  <si>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</si>
  <si>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</si>
  <si>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</si>
  <si>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</si>
  <si>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</si>
  <si>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</si>
  <si>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</si>
  <si>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</si>
  <si>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</si>
  <si>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</si>
  <si>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</si>
  <si>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</si>
  <si>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</si>
  <si>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</si>
  <si>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</si>
  <si>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</si>
  <si>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</si>
  <si>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</si>
  <si>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</si>
  <si>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</si>
  <si>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</si>
  <si>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</si>
  <si>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</si>
  <si>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</si>
  <si>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</si>
  <si>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</si>
  <si>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</si>
  <si>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</si>
  <si>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</si>
  <si>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</si>
  <si>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</si>
  <si>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</si>
  <si>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</si>
  <si>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</si>
  <si>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</si>
  <si>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</si>
  <si>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</si>
  <si>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</si>
  <si>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</si>
  <si>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</si>
  <si>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</si>
  <si>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</si>
  <si>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</si>
  <si>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</si>
  <si>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</si>
  <si>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</si>
  <si>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</si>
  <si>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</si>
  <si>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</si>
  <si>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</si>
  <si>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</si>
  <si>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</si>
  <si>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</si>
  <si>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</si>
  <si>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</si>
  <si>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</si>
  <si>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</si>
  <si>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</si>
  <si>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</si>
  <si>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</si>
  <si>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</si>
  <si>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</si>
  <si>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</si>
  <si>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</si>
  <si>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</si>
  <si>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</si>
  <si>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</si>
  <si>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</si>
  <si>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</si>
  <si>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</si>
  <si>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</si>
  <si>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</si>
  <si>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</si>
  <si>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</si>
  <si>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</si>
  <si>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</si>
  <si>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</si>
  <si>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</si>
  <si>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</si>
  <si>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</si>
  <si>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</si>
  <si>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</si>
  <si>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</si>
  <si>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</si>
  <si>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</si>
  <si>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</si>
  <si>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</si>
  <si>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</si>
  <si>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</si>
  <si>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</si>
  <si>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</si>
  <si>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</si>
  <si>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</si>
  <si>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</si>
  <si>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</si>
  <si>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</si>
  <si>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</si>
  <si>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</si>
  <si>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</si>
  <si>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</si>
  <si>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</si>
  <si>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</si>
  <si>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</si>
  <si>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</si>
  <si>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</si>
  <si>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</si>
  <si>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</si>
  <si>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</si>
  <si>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</si>
  <si>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</si>
  <si>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</si>
  <si>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</si>
  <si>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</si>
  <si>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</si>
  <si>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</si>
  <si>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</si>
  <si>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</si>
  <si>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</si>
  <si>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</si>
  <si>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</si>
  <si>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</si>
  <si>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</si>
  <si>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</si>
  <si>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</si>
  <si>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</si>
  <si>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</si>
  <si>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</si>
  <si>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</si>
  <si>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</si>
  <si>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</si>
  <si>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</si>
  <si>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</si>
  <si>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</si>
  <si>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</si>
  <si>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</si>
  <si>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</si>
  <si>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</si>
  <si>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</si>
  <si>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</si>
  <si>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</si>
  <si>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</si>
  <si>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</si>
  <si>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</si>
  <si>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</si>
  <si>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</si>
  <si>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</si>
  <si>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</si>
  <si>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</si>
  <si>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</si>
  <si>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</si>
  <si>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</si>
  <si>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</si>
  <si>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</si>
  <si>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</si>
  <si>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</si>
  <si>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</si>
  <si>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</si>
  <si>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</si>
  <si>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</si>
  <si>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</si>
  <si>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</si>
  <si>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</si>
  <si>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</si>
  <si>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</si>
  <si>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</si>
  <si>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</si>
  <si>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</si>
  <si>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</si>
  <si>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</si>
  <si>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</si>
  <si>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</si>
  <si>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</si>
  <si>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</si>
  <si>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</si>
  <si>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</si>
  <si>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</si>
  <si>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</si>
  <si>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</si>
  <si>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</si>
  <si>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</si>
  <si>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</si>
  <si>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</si>
  <si>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</si>
  <si>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</si>
  <si>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</si>
  <si>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</si>
  <si>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</si>
  <si>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</si>
  <si>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</si>
  <si>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</si>
  <si>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</si>
  <si>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</si>
  <si>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</si>
  <si>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</si>
  <si>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</si>
  <si>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</si>
  <si>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</si>
  <si>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</si>
  <si>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</si>
  <si>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</si>
  <si>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</si>
  <si>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</si>
  <si>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</si>
  <si>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</si>
  <si>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</si>
  <si>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</si>
  <si>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</si>
  <si>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</si>
  <si>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</si>
  <si>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</si>
  <si>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</si>
  <si>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</si>
  <si>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</si>
  <si>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</si>
  <si>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</si>
  <si>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</si>
  <si>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</si>
  <si>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</si>
  <si>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</si>
  <si>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</si>
  <si>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</si>
  <si>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</si>
  <si>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</si>
  <si>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</si>
  <si>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</si>
  <si>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</si>
  <si>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</si>
  <si>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</si>
  <si>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</si>
  <si>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</si>
  <si>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</si>
  <si>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</si>
  <si>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</si>
  <si>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</si>
  <si>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</si>
  <si>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</si>
  <si>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</si>
  <si>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</si>
  <si>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</si>
  <si>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</si>
  <si>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</si>
  <si>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</si>
  <si>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</si>
  <si>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</si>
  <si>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</si>
  <si>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</si>
  <si>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</si>
  <si>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</si>
  <si>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</si>
  <si>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</si>
  <si>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</si>
  <si>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</si>
  <si>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</si>
  <si>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</si>
  <si>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</si>
  <si>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</si>
  <si>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</si>
  <si>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</si>
  <si>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</si>
  <si>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</si>
  <si>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</si>
  <si>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</si>
  <si>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</si>
  <si>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</si>
  <si>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</si>
  <si>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</si>
  <si>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</si>
  <si>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</si>
  <si>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</si>
  <si>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</si>
  <si>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</si>
  <si>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</si>
  <si>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</si>
  <si>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</si>
  <si>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</si>
  <si>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</si>
  <si>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</si>
  <si>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</si>
  <si>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</si>
  <si>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</si>
  <si>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</si>
  <si>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</si>
  <si>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</si>
  <si>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</si>
  <si>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</si>
  <si>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</si>
  <si>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</si>
  <si>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</si>
  <si>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</si>
  <si>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</si>
  <si>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</si>
  <si>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</si>
  <si>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</si>
  <si>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</si>
  <si>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</si>
  <si>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</si>
  <si>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</si>
  <si>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</si>
  <si>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</si>
  <si>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</si>
  <si>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</si>
  <si>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</si>
  <si>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</si>
  <si>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</si>
  <si>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</si>
  <si>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</si>
  <si>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</si>
  <si>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</si>
  <si>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</si>
  <si>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</si>
  <si>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</si>
  <si>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</si>
  <si>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</si>
  <si>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</si>
  <si>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</si>
  <si>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</si>
  <si>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</si>
  <si>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</si>
  <si>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</si>
  <si>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</si>
  <si>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</si>
  <si>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</si>
  <si>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</si>
  <si>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</si>
  <si>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</si>
  <si>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</si>
  <si>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</si>
  <si>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</si>
  <si>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</si>
  <si>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</si>
  <si>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</si>
  <si>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</si>
  <si>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</si>
  <si>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</si>
  <si>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</si>
  <si>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</si>
  <si>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</si>
  <si>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</si>
  <si>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</si>
  <si>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</si>
  <si>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</si>
  <si>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</si>
  <si>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</si>
  <si>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</si>
  <si>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</si>
  <si>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</si>
  <si>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</si>
  <si>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</si>
  <si>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</si>
  <si>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</si>
  <si>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</si>
  <si>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</si>
  <si>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</si>
  <si>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</si>
  <si>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</si>
  <si>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</si>
  <si>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</si>
  <si>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</si>
  <si>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</si>
  <si>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</si>
  <si>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</si>
  <si>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</si>
  <si>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</si>
  <si>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</si>
  <si>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</si>
  <si>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</si>
  <si>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</si>
  <si>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</si>
  <si>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</si>
  <si>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</si>
  <si>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</si>
  <si>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</si>
  <si>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</si>
  <si>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</si>
  <si>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</si>
  <si>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</si>
  <si>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</si>
  <si>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</si>
  <si>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</si>
  <si>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</si>
  <si>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</si>
  <si>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</si>
  <si>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</si>
  <si>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</si>
  <si>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</si>
  <si>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</si>
  <si>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</si>
  <si>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</si>
  <si>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</si>
  <si>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</si>
  <si>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</si>
  <si>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</si>
  <si>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</si>
  <si>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</si>
  <si>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</si>
  <si>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</si>
  <si>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</si>
  <si>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</si>
  <si>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</si>
  <si>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</si>
  <si>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</si>
  <si>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</si>
  <si>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</si>
  <si>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</si>
  <si>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</si>
  <si>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</si>
  <si>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</si>
  <si>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</si>
  <si>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</si>
  <si>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</si>
  <si>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</si>
  <si>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</si>
  <si>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</si>
  <si>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</si>
  <si>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</si>
  <si>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</si>
  <si>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</si>
  <si>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</si>
  <si>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</si>
  <si>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</si>
  <si>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</si>
  <si>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</si>
  <si>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</si>
  <si>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</si>
  <si>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</si>
  <si>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</si>
  <si>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</si>
  <si>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</si>
  <si>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</si>
  <si>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</si>
  <si>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</si>
  <si>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</si>
  <si>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</si>
  <si>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</si>
  <si>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</si>
  <si>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</si>
  <si>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</si>
  <si>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</si>
  <si>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</si>
  <si>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</si>
  <si>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</si>
  <si>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</si>
  <si>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</si>
  <si>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</si>
  <si>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</si>
  <si>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</si>
  <si>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</si>
  <si>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</si>
  <si>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</si>
  <si>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</si>
  <si>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</si>
  <si>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</si>
  <si>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</si>
  <si>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</si>
  <si>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</si>
  <si>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</si>
  <si>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</si>
  <si>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</si>
  <si>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</si>
  <si>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</si>
  <si>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</si>
  <si>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</si>
  <si>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</si>
  <si>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</si>
  <si>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</si>
  <si>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</si>
  <si>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</si>
  <si>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</si>
  <si>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</si>
  <si>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</si>
  <si>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</si>
  <si>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</si>
  <si>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</si>
  <si>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</si>
  <si>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</si>
  <si>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</si>
  <si>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</si>
  <si>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</si>
  <si>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</si>
  <si>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</si>
  <si>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</si>
  <si>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</si>
  <si>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</si>
  <si>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</si>
  <si>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</si>
  <si>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</si>
  <si>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</si>
  <si>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</si>
  <si>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</si>
  <si>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</si>
  <si>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</si>
  <si>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</si>
  <si>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</si>
  <si>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</si>
  <si>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</si>
  <si>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</si>
  <si>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</si>
  <si>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</si>
  <si>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</si>
  <si>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</si>
  <si>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</si>
  <si>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</si>
  <si>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</si>
  <si>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</si>
  <si>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</si>
  <si>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</si>
  <si>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</si>
  <si>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</si>
  <si>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</si>
  <si>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</si>
  <si>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</si>
  <si>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</si>
  <si>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</si>
  <si>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</si>
  <si>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</si>
  <si>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</si>
  <si>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</si>
  <si>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</si>
  <si>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</si>
  <si>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</si>
  <si>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</si>
  <si>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</si>
  <si>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</si>
  <si>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</si>
  <si>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</si>
  <si>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</si>
  <si>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</si>
  <si>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</si>
  <si>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</si>
  <si>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</si>
  <si>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</si>
  <si>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</si>
  <si>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</si>
  <si>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</si>
  <si>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</si>
  <si>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</si>
  <si>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</si>
  <si>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</si>
  <si>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</si>
  <si>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</si>
  <si>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</si>
  <si>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</si>
  <si>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</si>
  <si>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</si>
  <si>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</si>
  <si>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</si>
  <si>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</si>
  <si>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</si>
  <si>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</si>
  <si>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</si>
  <si>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</si>
  <si>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</si>
  <si>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</si>
  <si>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</si>
  <si>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</si>
  <si>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</si>
  <si>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</si>
  <si>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</si>
  <si>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</si>
  <si>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</si>
  <si>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</si>
  <si>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</si>
  <si>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</si>
  <si>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</si>
  <si>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</si>
  <si>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</si>
  <si>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</si>
  <si>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</si>
  <si>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</si>
  <si>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</si>
  <si>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</si>
  <si>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</si>
  <si>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</si>
  <si>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</si>
  <si>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</si>
  <si>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</si>
  <si>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</si>
  <si>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</si>
  <si>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</si>
  <si>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</si>
  <si>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</si>
  <si>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</si>
  <si>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</si>
  <si>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</si>
  <si>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</si>
  <si>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</si>
  <si>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</si>
  <si>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</si>
  <si>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</si>
  <si>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</si>
  <si>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</si>
  <si>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</si>
  <si>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</si>
  <si>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</si>
  <si>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</si>
  <si>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</si>
  <si>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</si>
  <si>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</si>
  <si>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</si>
  <si>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</si>
  <si>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</si>
  <si>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</si>
  <si>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</si>
  <si>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</si>
  <si>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</si>
  <si>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</si>
  <si>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</si>
  <si>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</si>
  <si>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</si>
  <si>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</si>
  <si>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</si>
  <si>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</si>
  <si>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</si>
  <si>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</si>
  <si>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</si>
  <si>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</si>
  <si>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</si>
  <si>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</si>
  <si>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</si>
  <si>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</si>
  <si>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</si>
  <si>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</si>
  <si>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</si>
  <si>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</si>
  <si>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</si>
  <si>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</si>
  <si>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</si>
  <si>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</si>
  <si>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</si>
  <si>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</si>
  <si>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</si>
  <si>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</si>
  <si>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</si>
  <si>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</si>
  <si>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</si>
  <si>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</si>
  <si>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</si>
  <si>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</si>
  <si>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</si>
  <si>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</si>
  <si>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</si>
  <si>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</si>
  <si>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</si>
  <si>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</si>
  <si>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</si>
  <si>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</si>
  <si>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</si>
  <si>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</si>
  <si>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</si>
  <si>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</si>
  <si>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</si>
  <si>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</si>
  <si>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</si>
  <si>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</si>
  <si>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</si>
  <si>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</si>
  <si>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</si>
  <si>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</si>
  <si>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</si>
  <si>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</si>
  <si>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</si>
  <si>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</si>
  <si>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</si>
  <si>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</si>
  <si>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</si>
  <si>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</si>
  <si>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</si>
  <si>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</si>
  <si>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</si>
  <si>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</si>
  <si>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</si>
  <si>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</si>
  <si>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</si>
  <si>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</si>
  <si>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</si>
  <si>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</si>
  <si>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</si>
  <si>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</si>
  <si>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</si>
  <si>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</si>
  <si>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</si>
  <si>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</si>
  <si>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</si>
  <si>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</si>
  <si>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</si>
  <si>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</si>
  <si>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</si>
  <si>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</si>
  <si>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</si>
  <si>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</si>
  <si>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</si>
  <si>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</si>
  <si>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</si>
  <si>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</si>
  <si>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</si>
  <si>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</si>
  <si>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</si>
  <si>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</si>
  <si>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</si>
  <si>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</si>
  <si>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</si>
  <si>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</si>
  <si>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</si>
  <si>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</si>
  <si>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</si>
  <si>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</si>
  <si>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</si>
  <si>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</si>
  <si>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</si>
  <si>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</si>
  <si>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</si>
  <si>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</si>
  <si>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</si>
  <si>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</si>
  <si>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</si>
  <si>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</si>
  <si>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</si>
  <si>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</si>
  <si>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</si>
  <si>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</si>
  <si>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</si>
  <si>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</si>
  <si>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</si>
  <si>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</si>
  <si>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</si>
  <si>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</si>
  <si>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</si>
  <si>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</si>
  <si>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</si>
  <si>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</si>
  <si>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</si>
  <si>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</si>
  <si>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</si>
  <si>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</si>
  <si>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</si>
  <si>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</si>
  <si>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</si>
  <si>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</si>
  <si>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</si>
  <si>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</si>
  <si>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</si>
  <si>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</si>
  <si>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</si>
  <si>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</si>
  <si>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</si>
  <si>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</si>
  <si>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</si>
  <si>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</si>
  <si>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</si>
  <si>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</si>
  <si>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</si>
  <si>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</si>
  <si>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</si>
  <si>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</si>
  <si>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</si>
  <si>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</si>
  <si>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</si>
  <si>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</si>
  <si>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</si>
  <si>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</si>
  <si>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</si>
  <si>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</si>
  <si>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</si>
  <si>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</si>
  <si>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</si>
  <si>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</si>
  <si>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</si>
  <si>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</si>
  <si>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</si>
  <si>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</si>
  <si>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</si>
  <si>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</si>
  <si>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</si>
  <si>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</si>
  <si>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</si>
  <si>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</si>
  <si>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</si>
  <si>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</si>
  <si>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</si>
  <si>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</si>
  <si>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</si>
  <si>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</si>
  <si>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</si>
  <si>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</si>
  <si>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</si>
  <si>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</si>
  <si>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</si>
  <si>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</si>
  <si>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</si>
  <si>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</si>
  <si>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</si>
  <si>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</si>
  <si>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</si>
  <si>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</si>
  <si>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</si>
  <si>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</si>
  <si>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</si>
  <si>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</si>
  <si>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</si>
  <si>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</si>
  <si>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</si>
  <si>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</si>
  <si>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</si>
  <si>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</si>
  <si>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</si>
  <si>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</si>
  <si>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</si>
  <si>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</si>
  <si>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</si>
  <si>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</si>
  <si>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</si>
  <si>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</si>
  <si>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</si>
  <si>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</si>
  <si>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</si>
  <si>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</si>
  <si>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</si>
  <si>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</si>
  <si>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</si>
  <si>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</si>
  <si>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</si>
  <si>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</si>
  <si>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</si>
  <si>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</si>
  <si>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</si>
  <si>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</si>
  <si>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</si>
  <si>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</si>
  <si>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</si>
  <si>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</si>
  <si>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</si>
  <si>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</si>
  <si>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</si>
  <si>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</si>
  <si>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</si>
  <si>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</si>
  <si>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</si>
  <si>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</si>
  <si>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</si>
  <si>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</si>
  <si>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</si>
  <si>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</si>
  <si>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</si>
  <si>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</si>
  <si>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</si>
  <si>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</si>
  <si>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</si>
  <si>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</si>
  <si>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</si>
  <si>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</si>
  <si>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</si>
  <si>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</si>
  <si>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</si>
  <si>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</si>
  <si>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</si>
  <si>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</si>
  <si>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</si>
  <si>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</si>
  <si>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</si>
  <si>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</si>
  <si>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</si>
  <si>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</si>
  <si>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</si>
  <si>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</si>
  <si>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</si>
  <si>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</si>
  <si>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</si>
  <si>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</si>
  <si>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</si>
  <si>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</si>
  <si>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</si>
  <si>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</si>
  <si>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</si>
  <si>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</si>
  <si>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</si>
  <si>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</si>
  <si>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</si>
  <si>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</si>
  <si>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</si>
  <si>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</si>
  <si>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</si>
  <si>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</si>
  <si>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</si>
  <si>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</si>
  <si>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</si>
  <si>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</si>
  <si>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</si>
  <si>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</si>
  <si>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</si>
  <si>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</si>
  <si>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</si>
  <si>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</si>
  <si>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</si>
  <si>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</si>
  <si>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</si>
  <si>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</si>
  <si>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</si>
  <si>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</si>
  <si>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</si>
  <si>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</si>
  <si>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</si>
  <si>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</si>
  <si>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</si>
  <si>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</si>
  <si>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</si>
  <si>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</si>
  <si>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</si>
  <si>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</si>
  <si>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</si>
  <si>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</si>
  <si>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</si>
  <si>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</si>
  <si>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</si>
  <si>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</si>
  <si>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</si>
  <si>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</si>
  <si>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</si>
  <si>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</si>
  <si>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</si>
  <si>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</si>
  <si>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</si>
  <si>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</si>
  <si>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</si>
  <si>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</si>
  <si>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</si>
  <si>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</si>
  <si>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</si>
  <si>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</si>
  <si>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</si>
  <si>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</si>
  <si>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</si>
  <si>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</si>
  <si>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</si>
  <si>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</si>
  <si>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</si>
  <si>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</si>
  <si>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</si>
  <si>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</si>
  <si>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</si>
  <si>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</si>
  <si>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</si>
  <si>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</si>
  <si>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</si>
  <si>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</si>
  <si>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</si>
  <si>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</si>
  <si>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</si>
  <si>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</si>
  <si>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</si>
  <si>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</si>
  <si>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</si>
  <si>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</si>
  <si>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</si>
  <si>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</si>
  <si>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</si>
  <si>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</si>
  <si>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</si>
  <si>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</si>
  <si>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</si>
  <si>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</si>
  <si>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</si>
  <si>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</si>
  <si>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</si>
  <si>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</si>
  <si>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</si>
  <si>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</si>
  <si>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</si>
  <si>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</si>
  <si>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</si>
  <si>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</si>
  <si>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</si>
  <si>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EMPLOYEE</t>
  </si>
  <si>
    <t>Bandung</t>
  </si>
  <si>
    <t>JL SYMPHONI NO 90</t>
  </si>
  <si>
    <t>BANDUNG KIDUL</t>
  </si>
  <si>
    <t>BATUNUNGGAL</t>
  </si>
  <si>
    <t>PENDUDUK/RESIDENT.SEKTOR PEMERINTAH.PEMERINTAH PUSAT.KEMENTERIAN PERTAHANAN</t>
  </si>
  <si>
    <t>AKTA</t>
  </si>
  <si>
    <t>127839481062174812</t>
  </si>
  <si>
    <t>06/15/2022</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</si>
  <si>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</si>
  <si>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</si>
  <si>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</si>
  <si>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</si>
  <si>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</si>
  <si>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</si>
  <si>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</si>
  <si>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</si>
  <si>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</si>
  <si>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</si>
  <si>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</si>
  <si>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</si>
  <si>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</si>
  <si>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</si>
  <si>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</si>
  <si>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</si>
  <si>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</si>
  <si>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</si>
  <si>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</si>
  <si>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</si>
  <si>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</si>
  <si>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</si>
  <si>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</si>
  <si>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</si>
  <si>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</si>
  <si>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</si>
  <si>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</si>
  <si>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</si>
  <si>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</si>
  <si>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</si>
  <si>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</si>
  <si>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</si>
  <si>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</si>
  <si>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</si>
  <si>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</si>
  <si>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</si>
  <si>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</si>
  <si>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</si>
  <si>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</si>
  <si>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</si>
  <si>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</si>
  <si>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</si>
  <si>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</si>
  <si>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</si>
  <si>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</si>
  <si>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</si>
  <si>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</si>
  <si>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</si>
  <si>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</si>
  <si>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</si>
  <si>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</si>
  <si>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</si>
  <si>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</si>
  <si>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</si>
  <si>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</si>
  <si>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</si>
  <si>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</si>
  <si>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</si>
  <si>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</si>
  <si>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</si>
  <si>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</si>
  <si>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</si>
  <si>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</si>
  <si>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</si>
  <si>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</si>
  <si>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</si>
  <si>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</si>
  <si>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</si>
  <si>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Month</t>
  </si>
  <si>
    <t>Year</t>
  </si>
  <si>
    <t>Debit Transaction Account</t>
  </si>
  <si>
    <t>Debit</t>
  </si>
  <si>
    <t>Credit Transaction Account</t>
  </si>
  <si>
    <t>Credit</t>
  </si>
  <si>
    <t>January;February</t>
  </si>
  <si>
    <t>2021;2022</t>
  </si>
  <si>
    <t>120000;2000000</t>
  </si>
  <si>
    <t>-</t>
  </si>
  <si>
    <t>JLN BUSINESS 88</t>
  </si>
  <si>
    <t>KEBON JERUK</t>
  </si>
  <si>
    <t>JAKARTA BARAT</t>
  </si>
  <si>
    <t>0821837123421</t>
  </si>
  <si>
    <t>ALDI</t>
  </si>
  <si>
    <t>rating debt</t>
  </si>
  <si>
    <t>12/12/2020</t>
  </si>
  <si>
    <t>1;1</t>
  </si>
  <si>
    <t>FT COMPANY</t>
  </si>
  <si>
    <t>Motor;Mobil;Rumah</t>
  </si>
  <si>
    <t>YAMAHA;FT MOBIL ALPHARD;jakarta</t>
  </si>
  <si>
    <t xml:space="preserve"> </t>
  </si>
  <si>
    <t>Male</t>
  </si>
  <si>
    <t>BCA BRANCH</t>
  </si>
  <si>
    <t>12/15/2022</t>
  </si>
  <si>
    <t>NIP;SIUP</t>
  </si>
  <si>
    <t>27382;28372</t>
  </si>
  <si>
    <t>02/02/2020;12/12/2021</t>
  </si>
  <si>
    <t>02/02/2027;08/06/2022</t>
  </si>
  <si>
    <t>Notary;SIUP1</t>
  </si>
  <si>
    <t>LOC1;LOC2</t>
  </si>
  <si>
    <t>NOTE1;NOTE2</t>
  </si>
  <si>
    <t>LOS-011</t>
  </si>
  <si>
    <t>40000000;150000000;3000000000</t>
  </si>
  <si>
    <t>1;1;1</t>
  </si>
  <si>
    <t>FT TIO</t>
  </si>
  <si>
    <t>12/01/2021</t>
  </si>
  <si>
    <t>Company</t>
  </si>
  <si>
    <t>12/20/2022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</si>
</sst>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164" fontId="0" fillId="0" borderId="1" xfId="0" quotePrefix="1" applyNumberFormat="1" applyBorder="1" applyAlignment="1">
      <alignment wrapText="1"/>
    </xf>
    <xf numFmtId="0" fontId="0" fillId="8" borderId="1" xfId="0" applyFill="1" applyBorder="1"/>
    <xf numFmtId="0" fontId="2" fillId="0" borderId="0" xfId="0" applyFont="1"/>
    <xf numFmtId="0" fontId="0" fillId="4" borderId="0" xfId="0" applyFill="1"/>
    <xf numFmtId="0" fontId="0" fillId="4" borderId="4" xfId="0" applyFill="1" applyBorder="1"/>
    <xf numFmtId="0" fontId="3" fillId="4" borderId="2" xfId="0" applyFont="1" applyFill="1" applyBorder="1" applyAlignment="1"/>
    <xf numFmtId="0" fontId="3" fillId="4" borderId="3" xfId="0" applyFont="1" applyFill="1" applyBorder="1" applyAlignment="1"/>
    <xf numFmtId="0" fontId="3" fillId="4" borderId="1" xfId="0" applyFont="1" applyFill="1" applyBorder="1" applyAlignment="1"/>
    <xf numFmtId="0" fontId="0" fillId="0" borderId="5" xfId="0" applyBorder="1"/>
    <xf numFmtId="0" fontId="0" fillId="2" borderId="4" xfId="0" applyFill="1" applyBorder="1"/>
    <xf numFmtId="0" fontId="0" fillId="2" borderId="0" xfId="0" applyFill="1"/>
    <xf numFmtId="0" fontId="0" fillId="4" borderId="1" xfId="0" applyFill="1" applyBorder="1"/>
    <xf numFmtId="0" fontId="0" fillId="0" borderId="2" xfId="0" applyBorder="1"/>
    <xf numFmtId="0" fontId="0" fillId="4" borderId="2" xfId="0" applyFill="1" applyBorder="1"/>
    <xf numFmtId="3" fontId="0" fillId="0" borderId="2" xfId="0" quotePrefix="1" applyNumberFormat="1" applyFill="1" applyBorder="1"/>
    <xf numFmtId="3" fontId="0" fillId="0" borderId="2" xfId="0" applyNumberFormat="1" applyFill="1" applyBorder="1"/>
    <xf numFmtId="2" fontId="0" fillId="0" borderId="2" xfId="0" applyNumberFormat="1" applyFill="1" applyBorder="1"/>
    <xf numFmtId="164" fontId="0" fillId="0" borderId="2" xfId="0" quotePrefix="1" applyNumberFormat="1" applyFill="1" applyBorder="1"/>
    <xf numFmtId="0" fontId="0" fillId="0" borderId="2" xfId="0" applyFill="1" applyBorder="1"/>
    <xf numFmtId="0" fontId="0" fillId="0" borderId="2" xfId="0" quotePrefix="1" applyFill="1" applyBorder="1"/>
    <xf numFmtId="1" fontId="0" fillId="0" borderId="2" xfId="2" applyNumberFormat="1" applyFont="1" applyBorder="1"/>
    <xf numFmtId="3" fontId="0" fillId="0" borderId="1" xfId="0" quotePrefix="1" applyNumberFormat="1" applyBorder="1"/>
  </cellXfs>
  <cellStyles count="3">
    <cellStyle name="Comma" xfId="2" builtinId="3"/>
    <cellStyle name="Hyperlink" xfId="1" builtinId="8"/>
    <cellStyle name="Normal" xfId="0" builtinId="0"/>
  </cellStyles>
  <dxfs count="82">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FL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0002APP20221206352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23"/>
  <sheetViews>
    <sheetView tabSelected="1" topLeftCell="A4" workbookViewId="0">
      <selection activeCell="B12" sqref="B12"/>
    </sheetView>
  </sheetViews>
  <sheetFormatPr defaultRowHeight="15" x14ac:dyDescent="0.25"/>
  <cols>
    <col min="1" max="1" width="26.42578125" bestFit="1" customWidth="1" collapsed="1"/>
    <col min="2" max="2" width="21.42578125" customWidth="1" collapsed="1"/>
    <col min="3" max="8" width="16.85546875" bestFit="1" customWidth="1" collapsed="1"/>
  </cols>
  <sheetData>
    <row r="1" spans="1:8" s="2" customFormat="1" x14ac:dyDescent="0.25">
      <c r="A1" s="2" t="s">
        <v>3</v>
      </c>
      <c r="B1" t="s">
        <v>2794</v>
      </c>
      <c r="C1" s="2" t="s">
        <v>2794</v>
      </c>
      <c r="D1" s="2" t="s">
        <v>2794</v>
      </c>
      <c r="E1" s="2" t="s">
        <v>2794</v>
      </c>
      <c r="F1" s="2" t="s">
        <v>2794</v>
      </c>
    </row>
    <row r="2" spans="1:8" s="2" customFormat="1" x14ac:dyDescent="0.25">
      <c r="A2" s="2" t="s">
        <v>3389</v>
      </c>
      <c r="B2" s="2" t="s">
        <v>3464</v>
      </c>
      <c r="C2" s="2" t="s">
        <v>3464</v>
      </c>
      <c r="D2" s="2" t="s">
        <v>3464</v>
      </c>
      <c r="E2" s="2" t="s">
        <v>3464</v>
      </c>
      <c r="F2" s="2" t="s">
        <v>3464</v>
      </c>
    </row>
    <row r="3" spans="1:8" s="2" customFormat="1" x14ac:dyDescent="0.25">
      <c r="A3" s="2" t="s">
        <v>3390</v>
      </c>
      <c r="B3" s="2" t="s">
        <v>3487</v>
      </c>
    </row>
    <row r="4" spans="1:8" s="2" customFormat="1" x14ac:dyDescent="0.25">
      <c r="A4" s="2" t="s">
        <v>3402</v>
      </c>
      <c r="B4" s="2">
        <f t="shared" ref="B4" si="0">COUNTIFS($A$14:$A$15, "*$*",B14:B15,"")+COUNTIFS($A$18, "*$*",B18,"")+COUNTIFS($A$20:$A$22, "*$*",B20:B22,"")+IF(B18="Yes",COUNTIFS($A$23, "*$*",B23,""),0)</f>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row r="11" spans="1:8" s="38" customFormat="1" x14ac:dyDescent="0.25"/>
    <row r="12" spans="1:8" s="2" customFormat="1" x14ac:dyDescent="0.25">
      <c r="A12" s="35" t="s">
        <v>3084</v>
      </c>
      <c r="B12" s="2" t="str">
        <f>'[1]1.TabCustomerMainData'!$B$13</f>
        <v>0002APP20221206352</v>
      </c>
    </row>
    <row r="13" spans="1:8" s="2" customFormat="1" x14ac:dyDescent="0.25">
      <c r="A13" s="35" t="s">
        <v>3085</v>
      </c>
      <c r="B13" t="s">
        <v>3473</v>
      </c>
      <c r="C13"/>
    </row>
    <row r="14" spans="1:8" s="2" customFormat="1" x14ac:dyDescent="0.25">
      <c r="A14" s="29" t="s">
        <v>3403</v>
      </c>
      <c r="B14" s="33" t="s">
        <v>3491</v>
      </c>
      <c r="C14" s="33"/>
      <c r="D14" s="33"/>
      <c r="E14" s="33"/>
      <c r="F14" s="33"/>
      <c r="G14" s="33"/>
      <c r="H14" s="33"/>
    </row>
    <row r="15" spans="1:8" s="2" customFormat="1" x14ac:dyDescent="0.25">
      <c r="A15" s="29" t="s">
        <v>3404</v>
      </c>
      <c r="B15" s="1">
        <v>500</v>
      </c>
      <c r="C15" s="1"/>
      <c r="D15" s="1"/>
      <c r="E15" s="1"/>
      <c r="F15" s="1"/>
      <c r="G15" s="1"/>
      <c r="H15" s="1"/>
    </row>
    <row r="16" spans="1:8" s="2" customFormat="1" x14ac:dyDescent="0.25">
      <c r="A16" s="1" t="s">
        <v>4</v>
      </c>
      <c r="B16" s="1"/>
      <c r="C16" s="1"/>
      <c r="D16" s="1"/>
      <c r="E16" s="1"/>
      <c r="F16" s="1"/>
      <c r="G16" s="1"/>
      <c r="H16" s="1"/>
    </row>
    <row r="17" spans="1:8" s="2" customFormat="1" x14ac:dyDescent="0.25">
      <c r="A17" s="1" t="s">
        <v>0</v>
      </c>
      <c r="B17" s="1"/>
      <c r="C17" s="1"/>
      <c r="D17" s="1"/>
      <c r="E17" s="1"/>
      <c r="F17" s="1"/>
      <c r="G17" s="1"/>
      <c r="H17" s="1"/>
    </row>
    <row r="18" spans="1:8" s="2" customFormat="1" x14ac:dyDescent="0.25">
      <c r="A18" s="1" t="s">
        <v>3448</v>
      </c>
      <c r="B18" s="1" t="s">
        <v>3408</v>
      </c>
      <c r="C18" s="1"/>
      <c r="D18" s="1"/>
      <c r="E18" s="1"/>
      <c r="F18" s="1"/>
      <c r="G18" s="1"/>
      <c r="H18" s="1"/>
    </row>
    <row r="19" spans="1:8" s="2" customFormat="1" x14ac:dyDescent="0.25">
      <c r="A19" s="1" t="s">
        <v>1</v>
      </c>
      <c r="B19" s="1" t="s">
        <v>3408</v>
      </c>
      <c r="C19" s="1"/>
      <c r="D19" s="1"/>
      <c r="E19" s="1"/>
      <c r="F19" s="1"/>
      <c r="G19" s="1"/>
      <c r="H19" s="1"/>
    </row>
    <row r="20" spans="1:8" s="2" customFormat="1" x14ac:dyDescent="0.25">
      <c r="A20" s="31" t="s">
        <v>3405</v>
      </c>
      <c r="B20" s="1" t="str">
        <f>VLOOKUP(B21,Master!$AK:$AL,2,FALSE)</f>
        <v>1119</v>
      </c>
      <c r="C20" s="1"/>
      <c r="D20" s="1"/>
      <c r="E20" s="1"/>
      <c r="F20" s="1"/>
      <c r="G20" s="1"/>
      <c r="H20" s="1"/>
    </row>
    <row r="21" spans="1:8" s="2" customFormat="1" x14ac:dyDescent="0.25">
      <c r="A21" s="29" t="s">
        <v>3406</v>
      </c>
      <c r="B21" s="1" t="s">
        <v>2825</v>
      </c>
      <c r="C21" s="1"/>
      <c r="D21" s="1"/>
      <c r="E21" s="1"/>
      <c r="F21" s="1"/>
      <c r="G21" s="1"/>
      <c r="H21" s="1"/>
    </row>
    <row r="22" spans="1:8" s="2" customFormat="1" x14ac:dyDescent="0.25">
      <c r="A22" s="1" t="s">
        <v>3409</v>
      </c>
      <c r="B22" s="1" t="s">
        <v>2</v>
      </c>
      <c r="C22" s="1"/>
      <c r="D22" s="1"/>
      <c r="E22" s="1"/>
      <c r="F22" s="1"/>
      <c r="G22" s="1"/>
      <c r="H22" s="1"/>
    </row>
    <row r="23" spans="1:8" s="2" customFormat="1" x14ac:dyDescent="0.25">
      <c r="A23" s="30" t="s">
        <v>3407</v>
      </c>
      <c r="B23" s="1"/>
      <c r="C23" s="1"/>
      <c r="D23" s="1"/>
      <c r="E23" s="1"/>
      <c r="F23" s="1"/>
      <c r="G23" s="1"/>
      <c r="H23" s="1"/>
    </row>
  </sheetData>
  <conditionalFormatting sqref="A23 I23:XFD23">
    <cfRule type="expression" dxfId="81" priority="10">
      <formula>A$18="No"</formula>
    </cfRule>
  </conditionalFormatting>
  <conditionalFormatting sqref="B23">
    <cfRule type="expression" dxfId="80" priority="7">
      <formula>B$18="No"</formula>
    </cfRule>
  </conditionalFormatting>
  <conditionalFormatting sqref="C23">
    <cfRule type="expression" dxfId="79" priority="6">
      <formula>C$18="No"</formula>
    </cfRule>
  </conditionalFormatting>
  <conditionalFormatting sqref="D23">
    <cfRule type="expression" dxfId="78" priority="5">
      <formula>D$18="No"</formula>
    </cfRule>
  </conditionalFormatting>
  <conditionalFormatting sqref="E23">
    <cfRule type="expression" dxfId="77" priority="4">
      <formula>E$18="No"</formula>
    </cfRule>
  </conditionalFormatting>
  <conditionalFormatting sqref="F23">
    <cfRule type="expression" dxfId="76" priority="3">
      <formula>F$18="No"</formula>
    </cfRule>
  </conditionalFormatting>
  <conditionalFormatting sqref="G23">
    <cfRule type="expression" dxfId="75" priority="2">
      <formula>G$18="No"</formula>
    </cfRule>
  </conditionalFormatting>
  <conditionalFormatting sqref="H23">
    <cfRule type="expression" dxfId="74" priority="1">
      <formula>H$18="No"</formula>
    </cfRule>
  </conditionalFormatting>
  <dataValidations count="7">
    <dataValidation type="list" allowBlank="1" showInputMessage="1" showErrorMessage="1" sqref="B19:H19">
      <formula1>"Yes, No"</formula1>
    </dataValidation>
    <dataValidation type="whole" errorStyle="information" allowBlank="1" showInputMessage="1" showErrorMessage="1" sqref="B15:H15">
      <formula1>0</formula1>
      <formula2>9.99999999999999E+27</formula2>
    </dataValidation>
    <dataValidation type="list" errorStyle="information" showInputMessage="1" showErrorMessage="1" sqref="B21:H21">
      <formula1>ListIndustryType</formula1>
    </dataValidation>
    <dataValidation errorStyle="information" allowBlank="1" showInputMessage="1" showErrorMessage="1" sqref="B16:H16"/>
    <dataValidation type="list" errorStyle="information" allowBlank="1" showInputMessage="1" showErrorMessage="1" sqref="B18:H18">
      <formula1>"Yes, No"</formula1>
    </dataValidation>
    <dataValidation type="list" errorStyle="information" showInputMessage="1" showErrorMessage="1" sqref="B22:H22">
      <formula1>"Corporate, Non Corporate"</formula1>
    </dataValidation>
    <dataValidation type="custom" errorStyle="information" allowBlank="1" showInputMessage="1" showErrorMessage="1" sqref="B23:H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32"/>
  <sheetViews>
    <sheetView workbookViewId="0">
      <selection activeCell="C12" sqref="C12"/>
    </sheetView>
  </sheetViews>
  <sheetFormatPr defaultRowHeight="15" x14ac:dyDescent="0.25"/>
  <cols>
    <col min="1" max="1" width="18.28515625" bestFit="1" customWidth="1" collapsed="1"/>
    <col min="2" max="8" width="35.85546875" bestFit="1" customWidth="1" collapsed="1"/>
  </cols>
  <sheetData>
    <row r="1" spans="1:8" s="2" customFormat="1" x14ac:dyDescent="0.25">
      <c r="A1" s="2" t="s">
        <v>3</v>
      </c>
      <c r="B1" t="s">
        <v>2794</v>
      </c>
      <c r="C1" t="s">
        <v>2794</v>
      </c>
      <c r="D1" t="s">
        <v>2794</v>
      </c>
      <c r="E1" t="s">
        <v>2794</v>
      </c>
      <c r="F1" t="s">
        <v>2794</v>
      </c>
      <c r="G1"/>
      <c r="H1"/>
    </row>
    <row r="2" spans="1:8" s="2" customFormat="1" x14ac:dyDescent="0.25">
      <c r="A2" s="2" t="s">
        <v>3389</v>
      </c>
      <c r="B2" t="s">
        <v>3464</v>
      </c>
      <c r="C2" s="2" t="s">
        <v>3464</v>
      </c>
      <c r="D2" s="2" t="s">
        <v>3464</v>
      </c>
      <c r="E2" s="2" t="s">
        <v>3464</v>
      </c>
      <c r="F2" s="2" t="s">
        <v>3464</v>
      </c>
    </row>
    <row r="3" spans="1:8" s="2" customFormat="1" x14ac:dyDescent="0.25">
      <c r="A3" s="2" t="s">
        <v>3390</v>
      </c>
    </row>
    <row r="4" spans="1:8" s="2" customFormat="1" x14ac:dyDescent="0.25">
      <c r="A4" s="2" t="s">
        <v>3402</v>
      </c>
      <c r="B4" s="2">
        <f t="shared" ref="B4:C4" si="0">IF(B13="",COUNTIFS($A$12:$A$32, "*$*",B12:B32,""),0)</f>
        <v>0</v>
      </c>
      <c r="C4" s="2">
        <f t="shared" si="0"/>
        <v>0</v>
      </c>
    </row>
    <row r="5" spans="1:8" s="2" customFormat="1" x14ac:dyDescent="0.25"/>
    <row r="6" spans="1:8" s="2" customFormat="1" x14ac:dyDescent="0.25"/>
    <row r="7" spans="1:8" s="2" customFormat="1" x14ac:dyDescent="0.25"/>
    <row r="8" spans="1:8" s="38" customFormat="1" x14ac:dyDescent="0.25">
      <c r="B8" s="37"/>
      <c r="C8" s="37"/>
      <c r="D8" s="37"/>
      <c r="E8" s="37"/>
      <c r="F8" s="37"/>
      <c r="G8" s="37"/>
      <c r="H8" s="37"/>
    </row>
    <row r="9" spans="1:8" s="2" customFormat="1" x14ac:dyDescent="0.25">
      <c r="A9" s="2" t="s">
        <v>3084</v>
      </c>
      <c r="B9" s="2" t="str">
        <f>'1.CustomerDetail'!B$12</f>
        <v>0002APP20221206352</v>
      </c>
      <c r="C9" s="2" t="str">
        <f>'1.CustomerDetail'!B$12</f>
        <v>0002APP20221206352</v>
      </c>
    </row>
    <row r="10" spans="1:8" s="2" customFormat="1" x14ac:dyDescent="0.25">
      <c r="A10" s="2" t="s">
        <v>3449</v>
      </c>
      <c r="B10" s="2" t="str">
        <f>'1.CustomerDetail'!B13</f>
        <v>FT COMPANY</v>
      </c>
      <c r="C10" s="2" t="str">
        <f>'1.CustomerDetail'!B13</f>
        <v>FT COMPANY</v>
      </c>
    </row>
    <row r="11" spans="1:8" s="38" customFormat="1" x14ac:dyDescent="0.25">
      <c r="B11" s="37"/>
      <c r="C11" s="37"/>
      <c r="D11" s="37"/>
      <c r="E11" s="37"/>
      <c r="F11" s="37"/>
      <c r="G11" s="37"/>
      <c r="H11" s="37"/>
    </row>
    <row r="12" spans="1:8" s="2" customFormat="1" x14ac:dyDescent="0.25">
      <c r="A12" s="29" t="s">
        <v>3391</v>
      </c>
      <c r="B12" s="2" t="s">
        <v>3492</v>
      </c>
      <c r="C12" s="2" t="s">
        <v>5</v>
      </c>
    </row>
    <row r="13" spans="1:8" s="2" customFormat="1" x14ac:dyDescent="0.25">
      <c r="A13" s="2" t="s">
        <v>6</v>
      </c>
    </row>
    <row r="14" spans="1:8" s="2" customFormat="1" x14ac:dyDescent="0.25">
      <c r="A14" s="29" t="s">
        <v>3392</v>
      </c>
      <c r="B14" s="36" t="s">
        <v>3465</v>
      </c>
      <c r="C14" s="36" t="s">
        <v>3465</v>
      </c>
      <c r="D14" s="36"/>
      <c r="E14" s="36"/>
      <c r="F14" s="36"/>
      <c r="G14" s="36"/>
      <c r="H14" s="36"/>
    </row>
    <row r="15" spans="1:8" s="2" customFormat="1" x14ac:dyDescent="0.25">
      <c r="A15" s="29" t="s">
        <v>3393</v>
      </c>
      <c r="B15" s="32" t="s">
        <v>84</v>
      </c>
      <c r="C15" s="32" t="s">
        <v>84</v>
      </c>
      <c r="D15" s="32"/>
      <c r="E15" s="32"/>
      <c r="F15" s="32"/>
      <c r="G15" s="32"/>
      <c r="H15" s="32"/>
    </row>
    <row r="16" spans="1:8" s="2" customFormat="1" x14ac:dyDescent="0.25">
      <c r="A16" s="29" t="s">
        <v>3394</v>
      </c>
      <c r="B16" s="32" t="s">
        <v>140</v>
      </c>
      <c r="C16" s="32" t="s">
        <v>140</v>
      </c>
      <c r="D16" s="32"/>
      <c r="E16" s="32"/>
      <c r="F16" s="32"/>
      <c r="G16" s="32"/>
      <c r="H16" s="32"/>
    </row>
    <row r="17" spans="1:8" s="2" customFormat="1" x14ac:dyDescent="0.25">
      <c r="A17" s="29" t="s">
        <v>3395</v>
      </c>
      <c r="B17" s="1">
        <v>11530</v>
      </c>
      <c r="C17" s="1">
        <v>11530</v>
      </c>
      <c r="D17" s="1"/>
      <c r="E17" s="1"/>
      <c r="F17" s="1"/>
      <c r="G17" s="1"/>
      <c r="H17" s="1"/>
    </row>
    <row r="18" spans="1:8" s="2" customFormat="1" x14ac:dyDescent="0.25">
      <c r="A18" s="29" t="s">
        <v>3396</v>
      </c>
      <c r="B18" s="2" t="s">
        <v>3466</v>
      </c>
      <c r="C18" s="2" t="s">
        <v>3466</v>
      </c>
    </row>
    <row r="19" spans="1:8" s="2" customFormat="1" x14ac:dyDescent="0.25">
      <c r="A19" s="29" t="s">
        <v>3397</v>
      </c>
      <c r="B19" s="2" t="s">
        <v>3466</v>
      </c>
      <c r="C19" s="2" t="s">
        <v>3466</v>
      </c>
    </row>
    <row r="20" spans="1:8" s="2" customFormat="1" x14ac:dyDescent="0.25">
      <c r="A20" s="29" t="s">
        <v>3398</v>
      </c>
      <c r="B20" s="2" t="s">
        <v>3467</v>
      </c>
      <c r="C20" s="2" t="s">
        <v>3467</v>
      </c>
    </row>
    <row r="21" spans="1:8" s="2" customFormat="1" x14ac:dyDescent="0.25">
      <c r="A21" s="29" t="s">
        <v>3399</v>
      </c>
      <c r="B21" s="32">
        <v>201</v>
      </c>
      <c r="C21" s="32">
        <v>201</v>
      </c>
      <c r="D21" s="32"/>
      <c r="E21" s="32"/>
      <c r="F21" s="32"/>
      <c r="G21" s="32"/>
      <c r="H21" s="32"/>
    </row>
    <row r="22" spans="1:8" s="2" customFormat="1" x14ac:dyDescent="0.25">
      <c r="A22" s="29" t="s">
        <v>3400</v>
      </c>
      <c r="B22" s="36">
        <v>1133523</v>
      </c>
      <c r="C22" s="36">
        <v>1133523</v>
      </c>
      <c r="D22" s="36"/>
      <c r="E22" s="36"/>
      <c r="F22" s="36"/>
      <c r="G22" s="36"/>
      <c r="H22" s="36"/>
    </row>
    <row r="23" spans="1:8" s="2" customFormat="1" x14ac:dyDescent="0.25">
      <c r="A23" s="1" t="s">
        <v>3090</v>
      </c>
      <c r="B23" s="32" t="s">
        <v>3369</v>
      </c>
      <c r="C23" s="32" t="s">
        <v>3369</v>
      </c>
      <c r="D23" s="32"/>
      <c r="E23" s="32"/>
      <c r="F23" s="32"/>
      <c r="G23" s="32"/>
      <c r="H23" s="32"/>
    </row>
    <row r="24" spans="1:8" s="2" customFormat="1" x14ac:dyDescent="0.25">
      <c r="A24" s="2" t="s">
        <v>3091</v>
      </c>
      <c r="B24" s="32"/>
      <c r="C24" s="32"/>
      <c r="D24" s="32"/>
      <c r="E24" s="32"/>
      <c r="F24" s="32"/>
      <c r="G24" s="32"/>
      <c r="H24" s="32"/>
    </row>
    <row r="25" spans="1:8" s="2" customFormat="1" x14ac:dyDescent="0.25">
      <c r="A25" s="2" t="s">
        <v>3092</v>
      </c>
      <c r="B25" s="1"/>
      <c r="C25" s="1"/>
      <c r="D25" s="1"/>
      <c r="E25" s="1"/>
      <c r="F25" s="1"/>
      <c r="G25" s="1"/>
      <c r="H25" s="1"/>
    </row>
    <row r="26" spans="1:8" s="2" customFormat="1" x14ac:dyDescent="0.25">
      <c r="A26" s="2" t="s">
        <v>3093</v>
      </c>
      <c r="B26" s="1"/>
      <c r="C26" s="1"/>
      <c r="D26" s="1"/>
      <c r="E26" s="1"/>
      <c r="F26" s="1"/>
      <c r="G26" s="1"/>
      <c r="H26" s="1"/>
    </row>
    <row r="27" spans="1:8" s="2" customFormat="1" x14ac:dyDescent="0.25">
      <c r="A27" s="2" t="s">
        <v>3094</v>
      </c>
      <c r="B27" s="32"/>
      <c r="C27" s="32"/>
      <c r="D27" s="32"/>
      <c r="E27" s="32"/>
      <c r="F27" s="32"/>
      <c r="G27" s="32"/>
      <c r="H27" s="32"/>
    </row>
    <row r="28" spans="1:8" s="2" customFormat="1" x14ac:dyDescent="0.25">
      <c r="A28" s="2" t="s">
        <v>3095</v>
      </c>
      <c r="B28" s="1"/>
      <c r="C28" s="1"/>
      <c r="D28" s="1"/>
      <c r="E28" s="1"/>
      <c r="F28" s="1"/>
      <c r="G28" s="1"/>
      <c r="H28" s="1"/>
    </row>
    <row r="29" spans="1:8" s="2" customFormat="1" x14ac:dyDescent="0.25">
      <c r="A29" s="2" t="s">
        <v>3096</v>
      </c>
      <c r="B29" s="1"/>
      <c r="C29" s="1"/>
      <c r="D29" s="1"/>
      <c r="E29" s="1"/>
      <c r="F29" s="1"/>
      <c r="G29" s="1"/>
      <c r="H29" s="1"/>
    </row>
    <row r="30" spans="1:8" s="2" customFormat="1" x14ac:dyDescent="0.25">
      <c r="A30" s="2" t="s">
        <v>3097</v>
      </c>
      <c r="B30" s="32" t="s">
        <v>3369</v>
      </c>
      <c r="C30" s="32" t="s">
        <v>3369</v>
      </c>
      <c r="D30" s="32"/>
      <c r="E30" s="32"/>
      <c r="F30" s="32"/>
      <c r="G30" s="32"/>
      <c r="H30" s="32"/>
    </row>
    <row r="31" spans="1:8" s="2" customFormat="1" x14ac:dyDescent="0.25">
      <c r="A31" s="2" t="s">
        <v>3098</v>
      </c>
      <c r="B31" s="1"/>
      <c r="C31" s="1"/>
      <c r="D31" s="1"/>
      <c r="E31" s="1"/>
      <c r="F31" s="1"/>
      <c r="G31" s="1"/>
      <c r="H31" s="1"/>
    </row>
    <row r="32" spans="1:8" s="2" customFormat="1" x14ac:dyDescent="0.25">
      <c r="A32" s="29" t="s">
        <v>3401</v>
      </c>
      <c r="B32" s="1" t="s">
        <v>231</v>
      </c>
      <c r="C32" s="1" t="s">
        <v>231</v>
      </c>
      <c r="D32" s="1"/>
      <c r="E32" s="1"/>
      <c r="F32" s="1"/>
      <c r="G32" s="1"/>
      <c r="H32" s="1"/>
    </row>
  </sheetData>
  <conditionalFormatting sqref="A14:A20 I14:XFD20">
    <cfRule type="expression" dxfId="73" priority="10">
      <formula>AND(A$13&lt;&gt;"",A$13&lt;&gt;"Copy Address From")</formula>
    </cfRule>
  </conditionalFormatting>
  <conditionalFormatting sqref="B15:B17">
    <cfRule type="expression" dxfId="72" priority="7">
      <formula>AND(B$13&lt;&gt;"",B$13&lt;&gt;"Copy Address From")</formula>
    </cfRule>
  </conditionalFormatting>
  <conditionalFormatting sqref="C15:C17">
    <cfRule type="expression" dxfId="71" priority="6">
      <formula>AND(C$13&lt;&gt;"",C$13&lt;&gt;"Copy Address From")</formula>
    </cfRule>
  </conditionalFormatting>
  <conditionalFormatting sqref="D15:D17">
    <cfRule type="expression" dxfId="70" priority="5">
      <formula>AND(D$13&lt;&gt;"",D$13&lt;&gt;"Copy Address From")</formula>
    </cfRule>
  </conditionalFormatting>
  <conditionalFormatting sqref="E15:E17">
    <cfRule type="expression" dxfId="69" priority="4">
      <formula>AND(E$13&lt;&gt;"",E$13&lt;&gt;"Copy Address From")</formula>
    </cfRule>
  </conditionalFormatting>
  <conditionalFormatting sqref="F15:F17">
    <cfRule type="expression" dxfId="68" priority="3">
      <formula>AND(F$13&lt;&gt;"",F$13&lt;&gt;"Copy Address From")</formula>
    </cfRule>
  </conditionalFormatting>
  <conditionalFormatting sqref="G15:G17">
    <cfRule type="expression" dxfId="67" priority="2">
      <formula>AND(G$13&lt;&gt;"",G$13&lt;&gt;"Copy Address From")</formula>
    </cfRule>
  </conditionalFormatting>
  <conditionalFormatting sqref="H15:H17">
    <cfRule type="expression" dxfId="66" priority="1">
      <formula>AND(H$13&lt;&gt;"",H$13&lt;&gt;"Copy Address From")</formula>
    </cfRule>
  </conditionalFormatting>
  <dataValidations count="4">
    <dataValidation type="custom" errorStyle="information" allowBlank="1" showInputMessage="1" showErrorMessage="1" sqref="B15:H17">
      <formula1>ISBLANK(B$13)</formula1>
    </dataValidation>
    <dataValidation type="list" errorStyle="information" allowBlank="1" showInputMessage="1" showErrorMessage="1" sqref="B12:H12">
      <formula1>"Business, Company, Legal, Mailing"</formula1>
    </dataValidation>
    <dataValidation errorStyle="information" allowBlank="1" showInputMessage="1" showErrorMessage="1" sqref="B18:H31 B14:H14"/>
    <dataValidation type="list" errorStyle="information" allowBlank="1" showInputMessage="1" showErrorMessage="1" sqref="B32:H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Master!$AV$2:$AV20</xm:f>
          </x14:formula1>
          <xm:sqref>B13:H13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41"/>
  <sheetViews>
    <sheetView workbookViewId="0">
      <selection activeCell="B10" sqref="B10"/>
    </sheetView>
  </sheetViews>
  <sheetFormatPr defaultRowHeight="15" x14ac:dyDescent="0.25"/>
  <cols>
    <col min="1" max="1" width="19.5703125" bestFit="1" customWidth="1" collapsed="1"/>
    <col min="2" max="8" width="24.5703125" customWidth="1" collapsed="1"/>
  </cols>
  <sheetData>
    <row r="1" spans="1:8" s="2" customFormat="1" x14ac:dyDescent="0.25">
      <c r="A1" s="2" t="s">
        <v>3</v>
      </c>
      <c r="B1" t="s">
        <v>2794</v>
      </c>
      <c r="C1" t="s">
        <v>2794</v>
      </c>
      <c r="D1" t="s">
        <v>2794</v>
      </c>
      <c r="E1" t="s">
        <v>2794</v>
      </c>
      <c r="F1" t="s">
        <v>2794</v>
      </c>
      <c r="G1"/>
      <c r="H1"/>
    </row>
    <row r="2" spans="1:8" s="2" customFormat="1" x14ac:dyDescent="0.25">
      <c r="A2" s="2" t="s">
        <v>3389</v>
      </c>
      <c r="B2" s="2" t="s">
        <v>3464</v>
      </c>
      <c r="C2" s="2" t="s">
        <v>3464</v>
      </c>
      <c r="D2" s="2" t="s">
        <v>3464</v>
      </c>
      <c r="E2" s="2" t="s">
        <v>3464</v>
      </c>
      <c r="F2" s="2" t="s">
        <v>3464</v>
      </c>
    </row>
    <row r="3" spans="1:8" s="2" customFormat="1" x14ac:dyDescent="0.25">
      <c r="A3" s="2" t="s">
        <v>3390</v>
      </c>
      <c r="B3" s="2" t="str">
        <f>'1.CustomerDetail'!B$3</f>
        <v>LOS-011</v>
      </c>
    </row>
    <row r="4" spans="1:8" s="2" customFormat="1" x14ac:dyDescent="0.25">
      <c r="A4" s="2" t="s">
        <v>3402</v>
      </c>
      <c r="B4" s="2">
        <f t="shared" ref="B4" si="0">COUNTIFS($A$12:$A$17, "*$*",B12:B17,"")+COUNTIFS($A$19:$A$20, "*$*",B19:B20,"")</f>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0002APP20221206352</v>
      </c>
    </row>
    <row r="11" spans="1:8" s="41" customFormat="1" x14ac:dyDescent="0.25">
      <c r="A11" s="39" t="s">
        <v>3086</v>
      </c>
      <c r="B11" s="40"/>
      <c r="C11" s="40"/>
      <c r="D11" s="40"/>
      <c r="E11" s="40"/>
      <c r="F11" s="40"/>
      <c r="G11" s="40"/>
      <c r="H11" s="40"/>
    </row>
    <row r="12" spans="1:8" s="2" customFormat="1" x14ac:dyDescent="0.25">
      <c r="A12" s="29" t="s">
        <v>3410</v>
      </c>
      <c r="B12" s="2" t="s">
        <v>3469</v>
      </c>
    </row>
    <row r="13" spans="1:8" s="2" customFormat="1" x14ac:dyDescent="0.25">
      <c r="A13" s="29" t="s">
        <v>3411</v>
      </c>
      <c r="B13" s="2" t="s">
        <v>3378</v>
      </c>
    </row>
    <row r="14" spans="1:8" s="2" customFormat="1" x14ac:dyDescent="0.25">
      <c r="A14" s="2" t="s">
        <v>3412</v>
      </c>
      <c r="B14" s="2" t="s">
        <v>3384</v>
      </c>
    </row>
    <row r="15" spans="1:8" s="2" customFormat="1" x14ac:dyDescent="0.25">
      <c r="A15" s="2" t="s">
        <v>3413</v>
      </c>
      <c r="B15" s="32" t="s">
        <v>3385</v>
      </c>
      <c r="C15" s="32"/>
      <c r="D15" s="32"/>
      <c r="E15" s="32"/>
      <c r="F15" s="32"/>
      <c r="G15" s="32"/>
      <c r="H15" s="32"/>
    </row>
    <row r="16" spans="1:8" s="2" customFormat="1" x14ac:dyDescent="0.25">
      <c r="A16" s="2" t="s">
        <v>3415</v>
      </c>
      <c r="B16" s="33" t="s">
        <v>3476</v>
      </c>
      <c r="C16" s="33"/>
      <c r="D16" s="33"/>
      <c r="E16" s="33"/>
      <c r="F16" s="33"/>
      <c r="G16" s="33"/>
      <c r="H16" s="33"/>
    </row>
    <row r="17" spans="1:8" s="2" customFormat="1" x14ac:dyDescent="0.25">
      <c r="A17" s="29" t="s">
        <v>3414</v>
      </c>
      <c r="B17" s="32" t="s">
        <v>3468</v>
      </c>
      <c r="C17" s="32"/>
      <c r="D17" s="32"/>
      <c r="E17" s="32"/>
      <c r="F17" s="32"/>
      <c r="G17" s="32"/>
      <c r="H17" s="32"/>
    </row>
    <row r="18" spans="1:8" s="2" customFormat="1" x14ac:dyDescent="0.25">
      <c r="A18" s="2" t="s">
        <v>17</v>
      </c>
      <c r="B18" s="3"/>
      <c r="C18" s="3"/>
      <c r="D18" s="3"/>
      <c r="E18" s="3"/>
      <c r="F18" s="3"/>
      <c r="G18" s="3"/>
      <c r="H18" s="3"/>
    </row>
    <row r="19" spans="1:8" s="2" customFormat="1" x14ac:dyDescent="0.25">
      <c r="A19" s="29" t="s">
        <v>3416</v>
      </c>
      <c r="B19" s="2" t="s">
        <v>3477</v>
      </c>
    </row>
    <row r="20" spans="1:8" s="2" customFormat="1" x14ac:dyDescent="0.25">
      <c r="A20" s="29" t="s">
        <v>3417</v>
      </c>
      <c r="B20" s="2" t="s">
        <v>3063</v>
      </c>
    </row>
    <row r="21" spans="1:8" s="2" customFormat="1" x14ac:dyDescent="0.25">
      <c r="A21" s="2" t="s">
        <v>20</v>
      </c>
    </row>
    <row r="22" spans="1:8" s="2" customFormat="1" x14ac:dyDescent="0.25">
      <c r="A22" s="2" t="s">
        <v>21</v>
      </c>
      <c r="B22" s="4"/>
      <c r="C22" s="4"/>
      <c r="D22" s="4"/>
      <c r="E22" s="4"/>
      <c r="F22" s="4"/>
      <c r="G22" s="4"/>
      <c r="H22" s="4"/>
    </row>
    <row r="23" spans="1:8" s="2" customFormat="1" x14ac:dyDescent="0.25">
      <c r="A23" s="5" t="s">
        <v>22</v>
      </c>
    </row>
    <row r="24" spans="1:8" s="2" customFormat="1" x14ac:dyDescent="0.25">
      <c r="A24" s="2" t="s">
        <v>23</v>
      </c>
      <c r="B24" s="1"/>
      <c r="C24" s="1"/>
      <c r="D24" s="1"/>
      <c r="E24" s="1"/>
      <c r="F24" s="1"/>
      <c r="G24" s="1"/>
      <c r="H24" s="1"/>
    </row>
    <row r="25" spans="1:8" s="2" customFormat="1" x14ac:dyDescent="0.25">
      <c r="A25" s="2" t="s">
        <v>24</v>
      </c>
    </row>
    <row r="26" spans="1:8" s="41" customFormat="1" x14ac:dyDescent="0.25">
      <c r="A26" s="39" t="s">
        <v>3087</v>
      </c>
      <c r="B26" s="40"/>
      <c r="C26" s="40"/>
      <c r="D26" s="40"/>
      <c r="E26" s="40"/>
      <c r="F26" s="40"/>
      <c r="G26" s="40"/>
      <c r="H26" s="40"/>
    </row>
    <row r="27" spans="1:8" s="2" customFormat="1" x14ac:dyDescent="0.25">
      <c r="A27" s="2" t="s">
        <v>7</v>
      </c>
      <c r="B27" s="2" t="s">
        <v>3380</v>
      </c>
    </row>
    <row r="28" spans="1:8" s="2" customFormat="1" x14ac:dyDescent="0.25">
      <c r="A28" s="2" t="s">
        <v>8</v>
      </c>
      <c r="B28" s="32" t="s">
        <v>83</v>
      </c>
      <c r="C28" s="32"/>
      <c r="D28" s="32"/>
      <c r="E28" s="32"/>
      <c r="F28" s="32"/>
      <c r="G28" s="32"/>
      <c r="H28" s="32"/>
    </row>
    <row r="29" spans="1:8" s="2" customFormat="1" x14ac:dyDescent="0.25">
      <c r="A29" s="2" t="s">
        <v>9</v>
      </c>
      <c r="B29" s="32" t="s">
        <v>83</v>
      </c>
      <c r="C29" s="32"/>
      <c r="D29" s="32"/>
      <c r="E29" s="32"/>
      <c r="F29" s="32"/>
      <c r="G29" s="32"/>
      <c r="H29" s="32"/>
    </row>
    <row r="30" spans="1:8" s="2" customFormat="1" x14ac:dyDescent="0.25">
      <c r="A30" s="2" t="s">
        <v>25</v>
      </c>
      <c r="B30" s="1">
        <v>40266</v>
      </c>
      <c r="C30" s="1"/>
      <c r="D30" s="1"/>
      <c r="E30" s="1"/>
      <c r="F30" s="1"/>
      <c r="G30" s="1"/>
      <c r="H30" s="1"/>
    </row>
    <row r="31" spans="1:8" s="2" customFormat="1" x14ac:dyDescent="0.25">
      <c r="A31" s="2" t="s">
        <v>11</v>
      </c>
      <c r="B31" s="2" t="s">
        <v>3381</v>
      </c>
    </row>
    <row r="32" spans="1:8" s="2" customFormat="1" x14ac:dyDescent="0.25">
      <c r="A32" s="2" t="s">
        <v>10</v>
      </c>
      <c r="B32" s="2" t="s">
        <v>3382</v>
      </c>
    </row>
    <row r="33" spans="1:8" s="2" customFormat="1" x14ac:dyDescent="0.25">
      <c r="A33" s="2" t="s">
        <v>12</v>
      </c>
      <c r="B33" s="2" t="s">
        <v>3379</v>
      </c>
    </row>
    <row r="34" spans="1:8" s="2" customFormat="1" x14ac:dyDescent="0.25">
      <c r="A34" s="1" t="s">
        <v>3088</v>
      </c>
      <c r="B34" s="1">
        <v>123</v>
      </c>
      <c r="C34" s="1"/>
      <c r="D34" s="1"/>
      <c r="E34" s="1"/>
      <c r="F34" s="1"/>
      <c r="G34" s="1"/>
      <c r="H34" s="1"/>
    </row>
    <row r="35" spans="1:8" s="2" customFormat="1" x14ac:dyDescent="0.25">
      <c r="A35" s="1" t="s">
        <v>3089</v>
      </c>
      <c r="B35" s="1">
        <v>123</v>
      </c>
      <c r="C35" s="1"/>
      <c r="D35" s="1"/>
      <c r="E35" s="1"/>
      <c r="F35" s="1"/>
      <c r="G35" s="1"/>
      <c r="H35" s="1"/>
    </row>
    <row r="36" spans="1:8" s="2" customFormat="1" x14ac:dyDescent="0.25">
      <c r="A36" s="1" t="s">
        <v>3090</v>
      </c>
      <c r="B36" s="1">
        <v>123</v>
      </c>
      <c r="C36" s="1"/>
      <c r="D36" s="1"/>
      <c r="E36" s="1"/>
      <c r="F36" s="1"/>
      <c r="G36" s="1"/>
      <c r="H36" s="1"/>
    </row>
    <row r="37" spans="1:8" s="2" customFormat="1" x14ac:dyDescent="0.25">
      <c r="A37" s="1" t="s">
        <v>3091</v>
      </c>
      <c r="B37" s="1">
        <v>123</v>
      </c>
      <c r="C37" s="1"/>
      <c r="D37" s="1"/>
      <c r="E37" s="1"/>
      <c r="F37" s="1"/>
      <c r="G37" s="1"/>
      <c r="H37" s="1"/>
    </row>
    <row r="38" spans="1:8" s="2" customFormat="1" x14ac:dyDescent="0.25">
      <c r="A38" s="1" t="s">
        <v>3092</v>
      </c>
      <c r="B38" s="1">
        <v>123</v>
      </c>
      <c r="C38" s="1"/>
      <c r="D38" s="1"/>
      <c r="E38" s="1"/>
      <c r="F38" s="1"/>
      <c r="G38" s="1"/>
      <c r="H38" s="1"/>
    </row>
    <row r="39" spans="1:8" s="2" customFormat="1" x14ac:dyDescent="0.25">
      <c r="A39" s="1" t="s">
        <v>3093</v>
      </c>
      <c r="B39" s="1">
        <v>123</v>
      </c>
      <c r="C39" s="1"/>
      <c r="D39" s="1"/>
      <c r="E39" s="1"/>
      <c r="F39" s="1"/>
      <c r="G39" s="1"/>
      <c r="H39" s="1"/>
    </row>
    <row r="40" spans="1:8" s="2" customFormat="1" x14ac:dyDescent="0.25">
      <c r="A40" s="2" t="s">
        <v>3097</v>
      </c>
      <c r="B40" s="1">
        <v>123</v>
      </c>
      <c r="C40" s="1"/>
      <c r="D40" s="1"/>
      <c r="E40" s="1"/>
      <c r="F40" s="1"/>
      <c r="G40" s="1"/>
      <c r="H40" s="1"/>
    </row>
    <row r="41" spans="1:8" s="2" customFormat="1" x14ac:dyDescent="0.25">
      <c r="A41" s="2" t="s">
        <v>3098</v>
      </c>
      <c r="B41" s="1">
        <v>123</v>
      </c>
      <c r="C41" s="1"/>
      <c r="D41" s="1"/>
      <c r="E41" s="1"/>
      <c r="F41" s="1"/>
      <c r="G41" s="1"/>
      <c r="H41" s="1"/>
    </row>
  </sheetData>
  <conditionalFormatting sqref="A16 I16:XFD16">
    <cfRule type="expression" dxfId="65" priority="9">
      <formula>OR(A$14="AKTA",A$14="E-KTP",A$14="NPWP")</formula>
    </cfRule>
  </conditionalFormatting>
  <conditionalFormatting sqref="B16">
    <cfRule type="expression" dxfId="64" priority="7">
      <formula>OR(B$14="AKTA",B$14="E-KTP",B$14="NPWP")</formula>
    </cfRule>
  </conditionalFormatting>
  <conditionalFormatting sqref="C16">
    <cfRule type="expression" dxfId="63" priority="6">
      <formula>OR(C$14="AKTA",C$14="E-KTP",C$14="NPWP")</formula>
    </cfRule>
  </conditionalFormatting>
  <conditionalFormatting sqref="D16">
    <cfRule type="expression" dxfId="62" priority="5">
      <formula>OR(D$14="AKTA",D$14="E-KTP",D$14="NPWP")</formula>
    </cfRule>
  </conditionalFormatting>
  <conditionalFormatting sqref="E16">
    <cfRule type="expression" dxfId="61" priority="4">
      <formula>OR(E$14="AKTA",E$14="E-KTP",E$14="NPWP")</formula>
    </cfRule>
  </conditionalFormatting>
  <conditionalFormatting sqref="F16">
    <cfRule type="expression" dxfId="60" priority="3">
      <formula>OR(F$14="AKTA",F$14="E-KTP",F$14="NPWP")</formula>
    </cfRule>
  </conditionalFormatting>
  <conditionalFormatting sqref="G16">
    <cfRule type="expression" dxfId="59" priority="2">
      <formula>OR(G$14="AKTA",G$14="E-KTP",G$14="NPWP")</formula>
    </cfRule>
  </conditionalFormatting>
  <conditionalFormatting sqref="H16">
    <cfRule type="expression" dxfId="58" priority="1">
      <formula>OR(H$14="AKTA",H$14="E-KTP",H$14="NPWP")</formula>
    </cfRule>
  </conditionalFormatting>
  <dataValidations count="6">
    <dataValidation type="list" allowBlank="1" showInputMessage="1" showErrorMessage="1" sqref="B23:H23">
      <formula1>"Brother, Father, Mother, Other, Sister, Spouse"</formula1>
    </dataValidation>
    <dataValidation type="list" errorStyle="information" showInputMessage="1" showErrorMessage="1" sqref="B20:H20">
      <formula1>ListJobPosition</formula1>
    </dataValidation>
    <dataValidation type="list" errorStyle="information" allowBlank="1" showInputMessage="1" showErrorMessage="1" sqref="B14:H14">
      <formula1>"AKTA, CAT CAT, CAT IS A CAT, DESCRIPTION FOR AAA, DESCRIPTION FOR ASA, DESCRIPTION FOR KTP, E-KTP, KITAS, NPWP, SIM, KARTU TANDA MAHASISWA"</formula1>
    </dataValidation>
    <dataValidation errorStyle="information" allowBlank="1" showInputMessage="1" showErrorMessage="1" sqref="B15:H15"/>
    <dataValidation type="custom" errorStyle="information" allowBlank="1" showInputMessage="1" showErrorMessage="1" sqref="B16:H16">
      <formula1>AND(B$14&lt;&gt;"E-KTP",B$14&lt;&gt;"AKTA",B$14&lt;&gt;"NPWP")</formula1>
    </dataValidation>
    <dataValidation type="list" errorStyle="information" showInputMessage="1" showErrorMessage="1" sqref="B19:H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79"/>
  <sheetViews>
    <sheetView topLeftCell="A64" workbookViewId="0">
      <selection activeCell="C12" sqref="C12"/>
    </sheetView>
  </sheetViews>
  <sheetFormatPr defaultRowHeight="15" x14ac:dyDescent="0.25"/>
  <cols>
    <col min="1" max="1" width="49.85546875" bestFit="1" customWidth="1" collapsed="1"/>
    <col min="2" max="8" width="23.28515625" bestFit="1" customWidth="1" collapsed="1"/>
  </cols>
  <sheetData>
    <row r="1" spans="1:8" s="42" customFormat="1" x14ac:dyDescent="0.25">
      <c r="A1" s="42" t="s">
        <v>3</v>
      </c>
      <c r="B1" t="s">
        <v>2794</v>
      </c>
      <c r="C1" t="s">
        <v>2794</v>
      </c>
      <c r="D1" t="s">
        <v>2794</v>
      </c>
      <c r="E1" t="s">
        <v>2794</v>
      </c>
      <c r="F1" t="s">
        <v>2794</v>
      </c>
      <c r="G1" t="s">
        <v>2794</v>
      </c>
      <c r="H1" t="s">
        <v>2794</v>
      </c>
    </row>
    <row r="2" spans="1:8" s="2" customFormat="1" x14ac:dyDescent="0.25">
      <c r="A2" s="2" t="s">
        <v>3389</v>
      </c>
      <c r="B2" t="s">
        <v>3464</v>
      </c>
      <c r="C2" t="s">
        <v>3464</v>
      </c>
      <c r="D2" t="s">
        <v>3464</v>
      </c>
      <c r="E2" t="s">
        <v>3464</v>
      </c>
      <c r="F2" t="s">
        <v>3464</v>
      </c>
      <c r="G2" t="s">
        <v>3464</v>
      </c>
      <c r="H2" t="s">
        <v>3464</v>
      </c>
    </row>
    <row r="3" spans="1:8" s="2" customFormat="1" x14ac:dyDescent="0.25">
      <c r="A3" s="2" t="s">
        <v>3390</v>
      </c>
      <c r="B3" s="46"/>
      <c r="C3" s="46"/>
      <c r="D3" s="46"/>
      <c r="E3" s="46"/>
      <c r="F3" s="46"/>
      <c r="G3" s="46"/>
      <c r="H3" s="46"/>
    </row>
    <row r="4" spans="1:8" s="2" customFormat="1" x14ac:dyDescent="0.25">
      <c r="A4" s="2" t="s">
        <v>3402</v>
      </c>
      <c r="B4" s="46">
        <f t="shared" ref="B4:H4" si="0">COUNTIFS($A$12,"*$*",B12,"")+COUNTIFS($A$35,"*$*",B35,"")+IF(B10&lt;&gt;A10,COUNTIFS($A$53:$A$54,"*$*",B53:B54,"")+COUNTIFS($A$61:$A$62,"*$*",B61:B62,""),0)</f>
        <v>0</v>
      </c>
      <c r="C4" s="46">
        <f t="shared" si="0"/>
        <v>0</v>
      </c>
      <c r="D4" s="46">
        <f t="shared" si="0"/>
        <v>0</v>
      </c>
      <c r="E4" s="46">
        <f t="shared" si="0"/>
        <v>0</v>
      </c>
      <c r="F4" s="46">
        <f t="shared" si="0"/>
        <v>0</v>
      </c>
      <c r="G4" s="46">
        <f t="shared" si="0"/>
        <v>0</v>
      </c>
      <c r="H4" s="46">
        <f t="shared" si="0"/>
        <v>0</v>
      </c>
    </row>
    <row r="5" spans="1:8" s="2" customFormat="1" x14ac:dyDescent="0.25">
      <c r="B5" s="46"/>
      <c r="C5" s="46"/>
      <c r="D5" s="46"/>
      <c r="E5" s="46"/>
      <c r="F5" s="46"/>
      <c r="G5" s="46"/>
      <c r="H5" s="46"/>
    </row>
    <row r="6" spans="1:8" s="2" customFormat="1" x14ac:dyDescent="0.25">
      <c r="B6" s="46"/>
      <c r="C6" s="46"/>
      <c r="D6" s="46"/>
      <c r="E6" s="46"/>
      <c r="F6" s="46"/>
      <c r="G6" s="46"/>
      <c r="H6" s="46"/>
    </row>
    <row r="7" spans="1:8" s="2" customFormat="1" x14ac:dyDescent="0.25">
      <c r="B7" s="46"/>
      <c r="C7" s="46"/>
      <c r="D7" s="46"/>
      <c r="E7" s="46"/>
      <c r="F7" s="46"/>
      <c r="G7" s="46"/>
      <c r="H7" s="46"/>
    </row>
    <row r="8" spans="1:8" s="45" customFormat="1" x14ac:dyDescent="0.25">
      <c r="B8" s="47"/>
      <c r="C8" s="47"/>
      <c r="D8" s="47"/>
      <c r="E8" s="47"/>
      <c r="F8" s="47"/>
      <c r="G8" s="47"/>
      <c r="H8" s="47"/>
    </row>
    <row r="9" spans="1:8" s="2" customFormat="1" x14ac:dyDescent="0.25">
      <c r="A9" s="2" t="s">
        <v>3084</v>
      </c>
      <c r="B9" s="46" t="str">
        <f>'1.CustomerDetail'!B12</f>
        <v>0002APP20221206352</v>
      </c>
      <c r="C9" s="46" t="str">
        <f>'1.CustomerDetail'!B12</f>
        <v>0002APP20221206352</v>
      </c>
      <c r="D9" s="46">
        <f>'1.CustomerDetail'!D12</f>
        <v>0</v>
      </c>
      <c r="E9" s="46">
        <f>'1.CustomerDetail'!E12</f>
        <v>0</v>
      </c>
      <c r="F9" s="46">
        <f>'1.CustomerDetail'!F12</f>
        <v>0</v>
      </c>
      <c r="G9" s="46">
        <f>'1.CustomerDetail'!G12</f>
        <v>0</v>
      </c>
      <c r="H9" s="46">
        <f>'1.CustomerDetail'!H12</f>
        <v>0</v>
      </c>
    </row>
    <row r="10" spans="1:8" s="2" customFormat="1" x14ac:dyDescent="0.25">
      <c r="A10" s="2" t="s">
        <v>3449</v>
      </c>
      <c r="B10" s="46" t="str">
        <f>'1.CustomerDetail'!B13</f>
        <v>FT COMPANY</v>
      </c>
      <c r="C10" s="46" t="str">
        <f>'1.CustomerDetail'!B13</f>
        <v>FT COMPANY</v>
      </c>
      <c r="D10" s="46">
        <f>'1.CustomerDetail'!D13</f>
        <v>0</v>
      </c>
      <c r="E10" s="46">
        <f>'1.CustomerDetail'!E13</f>
        <v>0</v>
      </c>
      <c r="F10" s="46">
        <f>'1.CustomerDetail'!F13</f>
        <v>0</v>
      </c>
      <c r="G10" s="46">
        <f>'1.CustomerDetail'!G13</f>
        <v>0</v>
      </c>
      <c r="H10" s="46">
        <f>'1.CustomerDetail'!H13</f>
        <v>0</v>
      </c>
    </row>
    <row r="11" spans="1:8" s="41" customFormat="1" x14ac:dyDescent="0.25">
      <c r="A11" s="39" t="s">
        <v>3100</v>
      </c>
      <c r="B11" s="40"/>
      <c r="C11" s="40"/>
      <c r="D11" s="40"/>
      <c r="E11" s="40"/>
      <c r="F11" s="40"/>
      <c r="G11" s="40"/>
      <c r="H11" s="40"/>
    </row>
    <row r="12" spans="1:8" s="2" customFormat="1" x14ac:dyDescent="0.25">
      <c r="A12" s="30" t="s">
        <v>3418</v>
      </c>
      <c r="B12" s="48">
        <v>0</v>
      </c>
      <c r="C12" s="48">
        <v>0</v>
      </c>
      <c r="D12" s="48">
        <v>0</v>
      </c>
      <c r="E12" s="48">
        <v>0</v>
      </c>
      <c r="F12" s="48">
        <v>0</v>
      </c>
      <c r="G12" s="48">
        <v>0</v>
      </c>
      <c r="H12" s="48">
        <v>0</v>
      </c>
    </row>
    <row r="13" spans="1:8" s="2" customFormat="1" x14ac:dyDescent="0.25">
      <c r="A13" s="1" t="s">
        <v>3099</v>
      </c>
      <c r="B13" s="49">
        <v>0</v>
      </c>
      <c r="C13" s="49">
        <v>0</v>
      </c>
      <c r="D13" s="49">
        <v>0</v>
      </c>
      <c r="E13" s="49">
        <v>0</v>
      </c>
      <c r="F13" s="49">
        <v>0</v>
      </c>
      <c r="G13" s="49">
        <v>0</v>
      </c>
      <c r="H13" s="49">
        <v>0</v>
      </c>
    </row>
    <row r="14" spans="1:8" s="2" customFormat="1" x14ac:dyDescent="0.25">
      <c r="A14" s="1" t="s">
        <v>26</v>
      </c>
      <c r="B14" s="50">
        <v>1</v>
      </c>
      <c r="C14" s="50">
        <v>1</v>
      </c>
      <c r="D14" s="50">
        <v>1</v>
      </c>
      <c r="E14" s="50">
        <v>1</v>
      </c>
      <c r="F14" s="50">
        <v>1</v>
      </c>
      <c r="G14" s="50">
        <v>1</v>
      </c>
      <c r="H14" s="50">
        <v>1</v>
      </c>
    </row>
    <row r="15" spans="1:8" s="2" customFormat="1" x14ac:dyDescent="0.25">
      <c r="A15" s="1" t="s">
        <v>27</v>
      </c>
      <c r="B15" s="50">
        <v>1</v>
      </c>
      <c r="C15" s="50">
        <v>1</v>
      </c>
      <c r="D15" s="50">
        <v>1</v>
      </c>
      <c r="E15" s="50">
        <v>1</v>
      </c>
      <c r="F15" s="50">
        <v>1</v>
      </c>
      <c r="G15" s="50">
        <v>1</v>
      </c>
      <c r="H15" s="50">
        <v>1</v>
      </c>
    </row>
    <row r="16" spans="1:8" s="2" customFormat="1" x14ac:dyDescent="0.25">
      <c r="A16" s="1" t="s">
        <v>28</v>
      </c>
      <c r="B16" s="50">
        <v>1</v>
      </c>
      <c r="C16" s="50">
        <v>1</v>
      </c>
      <c r="D16" s="50">
        <v>1</v>
      </c>
      <c r="E16" s="50">
        <v>1</v>
      </c>
      <c r="F16" s="50">
        <v>1</v>
      </c>
      <c r="G16" s="50">
        <v>1</v>
      </c>
      <c r="H16" s="50">
        <v>1</v>
      </c>
    </row>
    <row r="17" spans="1:8" s="2" customFormat="1" x14ac:dyDescent="0.25">
      <c r="A17" s="1" t="s">
        <v>29</v>
      </c>
      <c r="B17" s="50">
        <v>1</v>
      </c>
      <c r="C17" s="50">
        <v>1</v>
      </c>
      <c r="D17" s="50">
        <v>1</v>
      </c>
      <c r="E17" s="50">
        <v>1</v>
      </c>
      <c r="F17" s="50">
        <v>1</v>
      </c>
      <c r="G17" s="50">
        <v>1</v>
      </c>
      <c r="H17" s="50">
        <v>1</v>
      </c>
    </row>
    <row r="18" spans="1:8" s="2" customFormat="1" x14ac:dyDescent="0.25">
      <c r="A18" s="1" t="s">
        <v>30</v>
      </c>
      <c r="B18" s="50">
        <v>1</v>
      </c>
      <c r="C18" s="50">
        <v>1</v>
      </c>
      <c r="D18" s="50">
        <v>1</v>
      </c>
      <c r="E18" s="50">
        <v>1</v>
      </c>
      <c r="F18" s="50">
        <v>1</v>
      </c>
      <c r="G18" s="50">
        <v>1</v>
      </c>
      <c r="H18" s="50">
        <v>1</v>
      </c>
    </row>
    <row r="19" spans="1:8" s="2" customFormat="1" x14ac:dyDescent="0.25">
      <c r="A19" s="1" t="s">
        <v>31</v>
      </c>
      <c r="B19" s="50">
        <v>1</v>
      </c>
      <c r="C19" s="50">
        <v>1</v>
      </c>
      <c r="D19" s="50">
        <v>1</v>
      </c>
      <c r="E19" s="50">
        <v>1</v>
      </c>
      <c r="F19" s="50">
        <v>1</v>
      </c>
      <c r="G19" s="50">
        <v>1</v>
      </c>
      <c r="H19" s="50">
        <v>1</v>
      </c>
    </row>
    <row r="20" spans="1:8" s="2" customFormat="1" x14ac:dyDescent="0.25">
      <c r="A20" s="1" t="s">
        <v>32</v>
      </c>
      <c r="B20" s="50">
        <v>1</v>
      </c>
      <c r="C20" s="50">
        <v>1</v>
      </c>
      <c r="D20" s="50">
        <v>1</v>
      </c>
      <c r="E20" s="50">
        <v>1</v>
      </c>
      <c r="F20" s="50">
        <v>1</v>
      </c>
      <c r="G20" s="50">
        <v>1</v>
      </c>
      <c r="H20" s="50">
        <v>1</v>
      </c>
    </row>
    <row r="21" spans="1:8" s="2" customFormat="1" x14ac:dyDescent="0.25">
      <c r="A21" s="1" t="s">
        <v>33</v>
      </c>
      <c r="B21" s="50">
        <v>1</v>
      </c>
      <c r="C21" s="50">
        <v>1</v>
      </c>
      <c r="D21" s="50">
        <v>1</v>
      </c>
      <c r="E21" s="50">
        <v>1</v>
      </c>
      <c r="F21" s="50">
        <v>1</v>
      </c>
      <c r="G21" s="50">
        <v>1</v>
      </c>
      <c r="H21" s="50">
        <v>1</v>
      </c>
    </row>
    <row r="22" spans="1:8" s="2" customFormat="1" x14ac:dyDescent="0.25">
      <c r="A22" s="1" t="s">
        <v>34</v>
      </c>
      <c r="B22" s="50">
        <v>1</v>
      </c>
      <c r="C22" s="50">
        <v>1</v>
      </c>
      <c r="D22" s="50">
        <v>1</v>
      </c>
      <c r="E22" s="50">
        <v>1</v>
      </c>
      <c r="F22" s="50">
        <v>1</v>
      </c>
      <c r="G22" s="50">
        <v>1</v>
      </c>
      <c r="H22" s="50">
        <v>1</v>
      </c>
    </row>
    <row r="23" spans="1:8" s="2" customFormat="1" x14ac:dyDescent="0.25">
      <c r="A23" s="1" t="s">
        <v>35</v>
      </c>
      <c r="B23" s="49">
        <v>0</v>
      </c>
      <c r="C23" s="49">
        <v>0</v>
      </c>
      <c r="D23" s="49">
        <v>0</v>
      </c>
      <c r="E23" s="49">
        <v>0</v>
      </c>
      <c r="F23" s="49">
        <v>0</v>
      </c>
      <c r="G23" s="49">
        <v>0</v>
      </c>
      <c r="H23" s="49">
        <v>0</v>
      </c>
    </row>
    <row r="24" spans="1:8" s="2" customFormat="1" x14ac:dyDescent="0.25">
      <c r="A24" s="1" t="s">
        <v>36</v>
      </c>
      <c r="B24" s="49">
        <v>0</v>
      </c>
      <c r="C24" s="49">
        <v>0</v>
      </c>
      <c r="D24" s="49">
        <v>0</v>
      </c>
      <c r="E24" s="49">
        <v>0</v>
      </c>
      <c r="F24" s="49">
        <v>0</v>
      </c>
      <c r="G24" s="49">
        <v>0</v>
      </c>
      <c r="H24" s="49">
        <v>0</v>
      </c>
    </row>
    <row r="25" spans="1:8" s="2" customFormat="1" x14ac:dyDescent="0.25">
      <c r="A25" s="1" t="s">
        <v>37</v>
      </c>
      <c r="B25" s="49">
        <v>0</v>
      </c>
      <c r="C25" s="49">
        <v>0</v>
      </c>
      <c r="D25" s="49">
        <v>0</v>
      </c>
      <c r="E25" s="49">
        <v>0</v>
      </c>
      <c r="F25" s="49">
        <v>0</v>
      </c>
      <c r="G25" s="49">
        <v>0</v>
      </c>
      <c r="H25" s="49">
        <v>0</v>
      </c>
    </row>
    <row r="26" spans="1:8" s="2" customFormat="1" x14ac:dyDescent="0.25">
      <c r="A26" s="1" t="s">
        <v>38</v>
      </c>
      <c r="B26" s="49">
        <v>0</v>
      </c>
      <c r="C26" s="49">
        <v>0</v>
      </c>
      <c r="D26" s="49">
        <v>0</v>
      </c>
      <c r="E26" s="49">
        <v>0</v>
      </c>
      <c r="F26" s="49">
        <v>0</v>
      </c>
      <c r="G26" s="49">
        <v>0</v>
      </c>
      <c r="H26" s="49">
        <v>0</v>
      </c>
    </row>
    <row r="27" spans="1:8" s="2" customFormat="1" x14ac:dyDescent="0.25">
      <c r="A27" s="1" t="s">
        <v>39</v>
      </c>
      <c r="B27" s="49">
        <v>0</v>
      </c>
      <c r="C27" s="49">
        <v>0</v>
      </c>
      <c r="D27" s="49">
        <v>0</v>
      </c>
      <c r="E27" s="49">
        <v>0</v>
      </c>
      <c r="F27" s="49">
        <v>0</v>
      </c>
      <c r="G27" s="49">
        <v>0</v>
      </c>
      <c r="H27" s="49">
        <v>0</v>
      </c>
    </row>
    <row r="28" spans="1:8" s="2" customFormat="1" x14ac:dyDescent="0.25">
      <c r="A28" s="1" t="s">
        <v>40</v>
      </c>
      <c r="B28" s="49">
        <v>0</v>
      </c>
      <c r="C28" s="49">
        <v>0</v>
      </c>
      <c r="D28" s="49">
        <v>0</v>
      </c>
      <c r="E28" s="49">
        <v>0</v>
      </c>
      <c r="F28" s="49">
        <v>0</v>
      </c>
      <c r="G28" s="49">
        <v>0</v>
      </c>
      <c r="H28" s="49">
        <v>0</v>
      </c>
    </row>
    <row r="29" spans="1:8" s="2" customFormat="1" x14ac:dyDescent="0.25">
      <c r="A29" s="1" t="s">
        <v>41</v>
      </c>
      <c r="B29" s="49">
        <v>0</v>
      </c>
      <c r="C29" s="49">
        <v>0</v>
      </c>
      <c r="D29" s="49">
        <v>0</v>
      </c>
      <c r="E29" s="49">
        <v>0</v>
      </c>
      <c r="F29" s="49">
        <v>0</v>
      </c>
      <c r="G29" s="49">
        <v>0</v>
      </c>
      <c r="H29" s="49">
        <v>0</v>
      </c>
    </row>
    <row r="30" spans="1:8" s="2" customFormat="1" x14ac:dyDescent="0.25">
      <c r="A30" s="1" t="s">
        <v>42</v>
      </c>
      <c r="B30" s="49">
        <v>0</v>
      </c>
      <c r="C30" s="49">
        <v>0</v>
      </c>
      <c r="D30" s="49">
        <v>0</v>
      </c>
      <c r="E30" s="49">
        <v>0</v>
      </c>
      <c r="F30" s="49">
        <v>0</v>
      </c>
      <c r="G30" s="49">
        <v>0</v>
      </c>
      <c r="H30" s="49">
        <v>0</v>
      </c>
    </row>
    <row r="31" spans="1:8" s="2" customFormat="1" x14ac:dyDescent="0.25">
      <c r="A31" s="1" t="s">
        <v>43</v>
      </c>
      <c r="B31" s="49">
        <v>0</v>
      </c>
      <c r="C31" s="49">
        <v>0</v>
      </c>
      <c r="D31" s="49">
        <v>0</v>
      </c>
      <c r="E31" s="49">
        <v>0</v>
      </c>
      <c r="F31" s="49">
        <v>0</v>
      </c>
      <c r="G31" s="49">
        <v>0</v>
      </c>
      <c r="H31" s="49">
        <v>0</v>
      </c>
    </row>
    <row r="32" spans="1:8" s="2" customFormat="1" x14ac:dyDescent="0.25">
      <c r="A32" s="1" t="s">
        <v>44</v>
      </c>
      <c r="B32" s="49">
        <v>0</v>
      </c>
      <c r="C32" s="49">
        <v>0</v>
      </c>
      <c r="D32" s="49">
        <v>0</v>
      </c>
      <c r="E32" s="49">
        <v>0</v>
      </c>
      <c r="F32" s="49">
        <v>0</v>
      </c>
      <c r="G32" s="49">
        <v>0</v>
      </c>
      <c r="H32" s="49">
        <v>0</v>
      </c>
    </row>
    <row r="33" spans="1:8" s="2" customFormat="1" x14ac:dyDescent="0.25">
      <c r="A33" s="1" t="s">
        <v>45</v>
      </c>
      <c r="B33" s="49">
        <v>0</v>
      </c>
      <c r="C33" s="49">
        <v>0</v>
      </c>
      <c r="D33" s="49">
        <v>0</v>
      </c>
      <c r="E33" s="49">
        <v>0</v>
      </c>
      <c r="F33" s="49">
        <v>0</v>
      </c>
      <c r="G33" s="49">
        <v>0</v>
      </c>
      <c r="H33" s="49">
        <v>0</v>
      </c>
    </row>
    <row r="34" spans="1:8" s="2" customFormat="1" x14ac:dyDescent="0.25">
      <c r="A34" s="1" t="s">
        <v>46</v>
      </c>
      <c r="B34" s="49">
        <v>0</v>
      </c>
      <c r="C34" s="49">
        <v>0</v>
      </c>
      <c r="D34" s="49">
        <v>0</v>
      </c>
      <c r="E34" s="49">
        <v>0</v>
      </c>
      <c r="F34" s="49">
        <v>0</v>
      </c>
      <c r="G34" s="49">
        <v>0</v>
      </c>
      <c r="H34" s="49">
        <v>0</v>
      </c>
    </row>
    <row r="35" spans="1:8" s="2" customFormat="1" x14ac:dyDescent="0.25">
      <c r="A35" s="30" t="s">
        <v>3419</v>
      </c>
      <c r="B35" s="51" t="s">
        <v>3479</v>
      </c>
      <c r="C35" s="51" t="s">
        <v>3493</v>
      </c>
      <c r="D35" s="51" t="s">
        <v>3479</v>
      </c>
      <c r="E35" s="51" t="s">
        <v>3479</v>
      </c>
      <c r="F35" s="51" t="s">
        <v>3479</v>
      </c>
      <c r="G35" s="51" t="s">
        <v>3479</v>
      </c>
      <c r="H35" s="51" t="s">
        <v>3479</v>
      </c>
    </row>
    <row r="36" spans="1:8" s="41" customFormat="1" x14ac:dyDescent="0.25">
      <c r="A36" s="39" t="s">
        <v>3101</v>
      </c>
      <c r="B36" s="40"/>
      <c r="C36" s="40"/>
      <c r="D36" s="40"/>
      <c r="E36" s="40"/>
      <c r="F36" s="40"/>
      <c r="G36" s="40"/>
      <c r="H36" s="40"/>
    </row>
    <row r="37" spans="1:8" s="2" customFormat="1" x14ac:dyDescent="0.25">
      <c r="A37" s="2" t="s">
        <v>47</v>
      </c>
      <c r="B37" s="48" t="s">
        <v>3471</v>
      </c>
      <c r="C37" s="48" t="s">
        <v>3471</v>
      </c>
      <c r="D37" s="48" t="s">
        <v>3471</v>
      </c>
      <c r="E37" s="48" t="s">
        <v>3471</v>
      </c>
      <c r="F37" s="48" t="s">
        <v>3471</v>
      </c>
      <c r="G37" s="48" t="s">
        <v>3471</v>
      </c>
      <c r="H37" s="48" t="s">
        <v>3471</v>
      </c>
    </row>
    <row r="38" spans="1:8" s="2" customFormat="1" x14ac:dyDescent="0.25">
      <c r="A38" s="2" t="s">
        <v>48</v>
      </c>
      <c r="B38" s="48">
        <v>0</v>
      </c>
      <c r="C38" s="48">
        <v>0</v>
      </c>
      <c r="D38" s="48">
        <v>0</v>
      </c>
      <c r="E38" s="48">
        <v>0</v>
      </c>
      <c r="F38" s="48">
        <v>0</v>
      </c>
      <c r="G38" s="48">
        <v>0</v>
      </c>
      <c r="H38" s="48">
        <v>0</v>
      </c>
    </row>
    <row r="39" spans="1:8" s="2" customFormat="1" x14ac:dyDescent="0.25">
      <c r="A39" s="2" t="s">
        <v>49</v>
      </c>
      <c r="B39" s="48">
        <v>0</v>
      </c>
      <c r="C39" s="48">
        <v>0</v>
      </c>
      <c r="D39" s="48">
        <v>0</v>
      </c>
      <c r="E39" s="48">
        <v>0</v>
      </c>
      <c r="F39" s="48">
        <v>0</v>
      </c>
      <c r="G39" s="48">
        <v>0</v>
      </c>
      <c r="H39" s="48">
        <v>0</v>
      </c>
    </row>
    <row r="40" spans="1:8" s="2" customFormat="1" x14ac:dyDescent="0.25">
      <c r="A40" s="2" t="s">
        <v>50</v>
      </c>
      <c r="B40" s="48">
        <v>0</v>
      </c>
      <c r="C40" s="48">
        <v>0</v>
      </c>
      <c r="D40" s="48">
        <v>0</v>
      </c>
      <c r="E40" s="48">
        <v>0</v>
      </c>
      <c r="F40" s="48">
        <v>0</v>
      </c>
      <c r="G40" s="48">
        <v>0</v>
      </c>
      <c r="H40" s="48">
        <v>0</v>
      </c>
    </row>
    <row r="41" spans="1:8" s="2" customFormat="1" x14ac:dyDescent="0.25">
      <c r="A41" s="2" t="s">
        <v>51</v>
      </c>
      <c r="B41" s="48">
        <v>0</v>
      </c>
      <c r="C41" s="48">
        <v>0</v>
      </c>
      <c r="D41" s="48">
        <v>0</v>
      </c>
      <c r="E41" s="48">
        <v>0</v>
      </c>
      <c r="F41" s="48">
        <v>0</v>
      </c>
      <c r="G41" s="48">
        <v>0</v>
      </c>
      <c r="H41" s="48">
        <v>0</v>
      </c>
    </row>
    <row r="42" spans="1:8" s="2" customFormat="1" x14ac:dyDescent="0.25">
      <c r="A42" s="2" t="s">
        <v>52</v>
      </c>
      <c r="B42" s="48">
        <v>0</v>
      </c>
      <c r="C42" s="48">
        <v>0</v>
      </c>
      <c r="D42" s="48">
        <v>0</v>
      </c>
      <c r="E42" s="48">
        <v>0</v>
      </c>
      <c r="F42" s="48">
        <v>0</v>
      </c>
      <c r="G42" s="48">
        <v>0</v>
      </c>
      <c r="H42" s="48">
        <v>0</v>
      </c>
    </row>
    <row r="43" spans="1:8" s="2" customFormat="1" x14ac:dyDescent="0.25">
      <c r="A43" s="2" t="s">
        <v>53</v>
      </c>
      <c r="B43" s="48">
        <v>0</v>
      </c>
      <c r="C43" s="48">
        <v>0</v>
      </c>
      <c r="D43" s="48">
        <v>0</v>
      </c>
      <c r="E43" s="48">
        <v>0</v>
      </c>
      <c r="F43" s="48">
        <v>0</v>
      </c>
      <c r="G43" s="48">
        <v>0</v>
      </c>
      <c r="H43" s="48">
        <v>0</v>
      </c>
    </row>
    <row r="44" spans="1:8" s="2" customFormat="1" x14ac:dyDescent="0.25">
      <c r="A44" s="2" t="s">
        <v>54</v>
      </c>
      <c r="B44" s="48">
        <v>0</v>
      </c>
      <c r="C44" s="48">
        <v>0</v>
      </c>
      <c r="D44" s="48">
        <v>0</v>
      </c>
      <c r="E44" s="48">
        <v>0</v>
      </c>
      <c r="F44" s="48">
        <v>0</v>
      </c>
      <c r="G44" s="48">
        <v>0</v>
      </c>
      <c r="H44" s="48">
        <v>0</v>
      </c>
    </row>
    <row r="45" spans="1:8" s="2" customFormat="1" x14ac:dyDescent="0.25">
      <c r="A45" s="2" t="s">
        <v>55</v>
      </c>
      <c r="B45" s="48">
        <v>0</v>
      </c>
      <c r="C45" s="48">
        <v>0</v>
      </c>
      <c r="D45" s="48">
        <v>0</v>
      </c>
      <c r="E45" s="48">
        <v>0</v>
      </c>
      <c r="F45" s="48">
        <v>0</v>
      </c>
      <c r="G45" s="48">
        <v>0</v>
      </c>
      <c r="H45" s="48">
        <v>0</v>
      </c>
    </row>
    <row r="46" spans="1:8" s="2" customFormat="1" x14ac:dyDescent="0.25">
      <c r="A46" s="2" t="s">
        <v>56</v>
      </c>
      <c r="B46" s="48">
        <v>0</v>
      </c>
      <c r="C46" s="48">
        <v>0</v>
      </c>
      <c r="D46" s="48">
        <v>0</v>
      </c>
      <c r="E46" s="48">
        <v>0</v>
      </c>
      <c r="F46" s="48">
        <v>0</v>
      </c>
      <c r="G46" s="48">
        <v>0</v>
      </c>
      <c r="H46" s="48">
        <v>0</v>
      </c>
    </row>
    <row r="47" spans="1:8" s="2" customFormat="1" x14ac:dyDescent="0.25">
      <c r="A47" s="2" t="s">
        <v>57</v>
      </c>
      <c r="B47" s="48">
        <v>0</v>
      </c>
      <c r="C47" s="48">
        <v>0</v>
      </c>
      <c r="D47" s="48">
        <v>0</v>
      </c>
      <c r="E47" s="48">
        <v>0</v>
      </c>
      <c r="F47" s="48">
        <v>0</v>
      </c>
      <c r="G47" s="48">
        <v>0</v>
      </c>
      <c r="H47" s="48">
        <v>0</v>
      </c>
    </row>
    <row r="48" spans="1:8" s="2" customFormat="1" x14ac:dyDescent="0.25">
      <c r="A48" s="2" t="s">
        <v>58</v>
      </c>
      <c r="B48" s="48">
        <v>0</v>
      </c>
      <c r="C48" s="48">
        <v>0</v>
      </c>
      <c r="D48" s="48">
        <v>0</v>
      </c>
      <c r="E48" s="48">
        <v>0</v>
      </c>
      <c r="F48" s="48">
        <v>0</v>
      </c>
      <c r="G48" s="48">
        <v>0</v>
      </c>
      <c r="H48" s="48">
        <v>0</v>
      </c>
    </row>
    <row r="49" spans="1:8" s="2" customFormat="1" x14ac:dyDescent="0.25">
      <c r="A49" s="2" t="s">
        <v>59</v>
      </c>
      <c r="B49" s="48">
        <v>0</v>
      </c>
      <c r="C49" s="48">
        <v>0</v>
      </c>
      <c r="D49" s="48">
        <v>0</v>
      </c>
      <c r="E49" s="48">
        <v>0</v>
      </c>
      <c r="F49" s="48">
        <v>0</v>
      </c>
      <c r="G49" s="48">
        <v>0</v>
      </c>
      <c r="H49" s="48">
        <v>0</v>
      </c>
    </row>
    <row r="50" spans="1:8" s="2" customFormat="1" x14ac:dyDescent="0.25">
      <c r="A50" s="2" t="s">
        <v>60</v>
      </c>
      <c r="B50" s="48">
        <v>0</v>
      </c>
      <c r="C50" s="48">
        <v>0</v>
      </c>
      <c r="D50" s="48">
        <v>0</v>
      </c>
      <c r="E50" s="48">
        <v>0</v>
      </c>
      <c r="F50" s="48">
        <v>0</v>
      </c>
      <c r="G50" s="48">
        <v>0</v>
      </c>
      <c r="H50" s="48">
        <v>0</v>
      </c>
    </row>
    <row r="51" spans="1:8" s="2" customFormat="1" x14ac:dyDescent="0.25">
      <c r="A51" s="2" t="s">
        <v>61</v>
      </c>
      <c r="B51" s="48">
        <v>0</v>
      </c>
      <c r="C51" s="48">
        <v>0</v>
      </c>
      <c r="D51" s="48">
        <v>0</v>
      </c>
      <c r="E51" s="48">
        <v>0</v>
      </c>
      <c r="F51" s="48">
        <v>0</v>
      </c>
      <c r="G51" s="48">
        <v>0</v>
      </c>
      <c r="H51" s="48">
        <v>0</v>
      </c>
    </row>
    <row r="52" spans="1:8" s="2" customFormat="1" x14ac:dyDescent="0.25">
      <c r="A52" s="2" t="s">
        <v>62</v>
      </c>
      <c r="B52" s="48">
        <v>0</v>
      </c>
      <c r="C52" s="48">
        <v>0</v>
      </c>
      <c r="D52" s="48">
        <v>0</v>
      </c>
      <c r="E52" s="48">
        <v>0</v>
      </c>
      <c r="F52" s="48">
        <v>0</v>
      </c>
      <c r="G52" s="48">
        <v>0</v>
      </c>
      <c r="H52" s="48">
        <v>0</v>
      </c>
    </row>
    <row r="53" spans="1:8" s="2" customFormat="1" x14ac:dyDescent="0.25">
      <c r="A53" s="29" t="s">
        <v>3444</v>
      </c>
      <c r="B53" s="48">
        <v>10</v>
      </c>
      <c r="C53" s="48">
        <v>10</v>
      </c>
      <c r="D53" s="48">
        <v>10</v>
      </c>
      <c r="E53" s="48">
        <v>10</v>
      </c>
      <c r="F53" s="48">
        <v>10</v>
      </c>
      <c r="G53" s="48">
        <v>10</v>
      </c>
      <c r="H53" s="48">
        <v>10</v>
      </c>
    </row>
    <row r="54" spans="1:8" s="2" customFormat="1" x14ac:dyDescent="0.25">
      <c r="A54" s="29" t="s">
        <v>3445</v>
      </c>
      <c r="B54" s="48">
        <v>10</v>
      </c>
      <c r="C54" s="48">
        <v>10</v>
      </c>
      <c r="D54" s="48">
        <v>10</v>
      </c>
      <c r="E54" s="48">
        <v>10</v>
      </c>
      <c r="F54" s="48">
        <v>10</v>
      </c>
      <c r="G54" s="48">
        <v>10</v>
      </c>
      <c r="H54" s="48">
        <v>10</v>
      </c>
    </row>
    <row r="55" spans="1:8" s="2" customFormat="1" x14ac:dyDescent="0.25">
      <c r="A55" s="2" t="s">
        <v>63</v>
      </c>
      <c r="B55" s="48">
        <v>0</v>
      </c>
      <c r="C55" s="48">
        <v>0</v>
      </c>
      <c r="D55" s="48">
        <v>0</v>
      </c>
      <c r="E55" s="48">
        <v>0</v>
      </c>
      <c r="F55" s="48">
        <v>0</v>
      </c>
      <c r="G55" s="48">
        <v>0</v>
      </c>
      <c r="H55" s="48">
        <v>0</v>
      </c>
    </row>
    <row r="56" spans="1:8" s="2" customFormat="1" x14ac:dyDescent="0.25">
      <c r="A56" s="2" t="s">
        <v>64</v>
      </c>
      <c r="B56" s="48">
        <v>0</v>
      </c>
      <c r="C56" s="48">
        <v>0</v>
      </c>
      <c r="D56" s="48">
        <v>0</v>
      </c>
      <c r="E56" s="48">
        <v>0</v>
      </c>
      <c r="F56" s="48">
        <v>0</v>
      </c>
      <c r="G56" s="48">
        <v>0</v>
      </c>
      <c r="H56" s="48">
        <v>0</v>
      </c>
    </row>
    <row r="57" spans="1:8" s="2" customFormat="1" x14ac:dyDescent="0.25">
      <c r="A57" s="2" t="s">
        <v>65</v>
      </c>
      <c r="B57" s="48">
        <v>0</v>
      </c>
      <c r="C57" s="48">
        <v>0</v>
      </c>
      <c r="D57" s="48">
        <v>0</v>
      </c>
      <c r="E57" s="48">
        <v>0</v>
      </c>
      <c r="F57" s="48">
        <v>0</v>
      </c>
      <c r="G57" s="48">
        <v>0</v>
      </c>
      <c r="H57" s="48">
        <v>0</v>
      </c>
    </row>
    <row r="58" spans="1:8" s="2" customFormat="1" x14ac:dyDescent="0.25">
      <c r="A58" s="2" t="s">
        <v>66</v>
      </c>
      <c r="B58" s="48">
        <v>0</v>
      </c>
      <c r="C58" s="48">
        <v>0</v>
      </c>
      <c r="D58" s="48">
        <v>0</v>
      </c>
      <c r="E58" s="48">
        <v>0</v>
      </c>
      <c r="F58" s="48">
        <v>0</v>
      </c>
      <c r="G58" s="48">
        <v>0</v>
      </c>
      <c r="H58" s="48">
        <v>0</v>
      </c>
    </row>
    <row r="59" spans="1:8" s="2" customFormat="1" x14ac:dyDescent="0.25">
      <c r="A59" s="2" t="s">
        <v>67</v>
      </c>
      <c r="B59" s="48">
        <v>0</v>
      </c>
      <c r="C59" s="48">
        <v>0</v>
      </c>
      <c r="D59" s="48">
        <v>0</v>
      </c>
      <c r="E59" s="48">
        <v>0</v>
      </c>
      <c r="F59" s="48">
        <v>0</v>
      </c>
      <c r="G59" s="48">
        <v>0</v>
      </c>
      <c r="H59" s="48">
        <v>0</v>
      </c>
    </row>
    <row r="60" spans="1:8" s="2" customFormat="1" x14ac:dyDescent="0.25">
      <c r="A60" s="2" t="s">
        <v>68</v>
      </c>
      <c r="B60" s="48">
        <v>0</v>
      </c>
      <c r="C60" s="48">
        <v>0</v>
      </c>
      <c r="D60" s="48">
        <v>0</v>
      </c>
      <c r="E60" s="48">
        <v>0</v>
      </c>
      <c r="F60" s="48">
        <v>0</v>
      </c>
      <c r="G60" s="48">
        <v>0</v>
      </c>
      <c r="H60" s="48">
        <v>0</v>
      </c>
    </row>
    <row r="61" spans="1:8" s="2" customFormat="1" x14ac:dyDescent="0.25">
      <c r="A61" s="29" t="s">
        <v>3446</v>
      </c>
      <c r="B61" s="48">
        <v>10</v>
      </c>
      <c r="C61" s="48">
        <v>10</v>
      </c>
      <c r="D61" s="48">
        <v>10</v>
      </c>
      <c r="E61" s="48">
        <v>10</v>
      </c>
      <c r="F61" s="48">
        <v>10</v>
      </c>
      <c r="G61" s="48">
        <v>10</v>
      </c>
      <c r="H61" s="48">
        <v>10</v>
      </c>
    </row>
    <row r="62" spans="1:8" s="2" customFormat="1" x14ac:dyDescent="0.25">
      <c r="A62" s="29" t="s">
        <v>3447</v>
      </c>
      <c r="B62" s="48">
        <v>10</v>
      </c>
      <c r="C62" s="48">
        <v>10</v>
      </c>
      <c r="D62" s="48">
        <v>10</v>
      </c>
      <c r="E62" s="48">
        <v>10</v>
      </c>
      <c r="F62" s="48">
        <v>10</v>
      </c>
      <c r="G62" s="48">
        <v>10</v>
      </c>
      <c r="H62" s="48">
        <v>10</v>
      </c>
    </row>
    <row r="63" spans="1:8" s="2" customFormat="1" x14ac:dyDescent="0.25">
      <c r="A63" s="2" t="s">
        <v>69</v>
      </c>
      <c r="B63" s="48">
        <v>0</v>
      </c>
      <c r="C63" s="48">
        <v>0</v>
      </c>
      <c r="D63" s="48">
        <v>0</v>
      </c>
      <c r="E63" s="48">
        <v>0</v>
      </c>
      <c r="F63" s="48">
        <v>0</v>
      </c>
      <c r="G63" s="48">
        <v>0</v>
      </c>
      <c r="H63" s="48">
        <v>0</v>
      </c>
    </row>
    <row r="64" spans="1:8" s="2" customFormat="1" x14ac:dyDescent="0.25">
      <c r="A64" s="2" t="s">
        <v>70</v>
      </c>
      <c r="B64" s="48">
        <v>0</v>
      </c>
      <c r="C64" s="48">
        <v>0</v>
      </c>
      <c r="D64" s="48">
        <v>0</v>
      </c>
      <c r="E64" s="48">
        <v>0</v>
      </c>
      <c r="F64" s="48">
        <v>0</v>
      </c>
      <c r="G64" s="48">
        <v>0</v>
      </c>
      <c r="H64" s="48">
        <v>0</v>
      </c>
    </row>
    <row r="65" spans="1:8" s="41" customFormat="1" x14ac:dyDescent="0.25">
      <c r="A65" s="39" t="s">
        <v>3102</v>
      </c>
      <c r="B65" s="40"/>
      <c r="C65" s="40"/>
      <c r="D65" s="40"/>
      <c r="E65" s="40"/>
      <c r="F65" s="40"/>
      <c r="G65" s="40"/>
      <c r="H65" s="40"/>
    </row>
    <row r="66" spans="1:8" s="2" customFormat="1" x14ac:dyDescent="0.25">
      <c r="A66" s="31" t="s">
        <v>71</v>
      </c>
      <c r="B66" s="52" t="str">
        <f>VLOOKUP(B$67,Master!$AS:$AT,2,FALSE)</f>
        <v>014</v>
      </c>
      <c r="C66" s="52" t="str">
        <f>VLOOKUP(C$67,Master!$AS:$AT,2,FALSE)</f>
        <v>014</v>
      </c>
      <c r="D66" s="52" t="str">
        <f>VLOOKUP(D$67,Master!$AS:$AT,2,FALSE)</f>
        <v>014</v>
      </c>
      <c r="E66" s="52" t="str">
        <f>VLOOKUP(E$67,Master!$AS:$AT,2,FALSE)</f>
        <v>014</v>
      </c>
      <c r="F66" s="52" t="str">
        <f>VLOOKUP(F$67,Master!$AS:$AT,2,FALSE)</f>
        <v>014</v>
      </c>
      <c r="G66" s="52" t="str">
        <f>VLOOKUP(G$67,Master!$AS:$AT,2,FALSE)</f>
        <v>014</v>
      </c>
      <c r="H66" s="52" t="str">
        <f>VLOOKUP(H$67,Master!$AS:$AT,2,FALSE)</f>
        <v>014</v>
      </c>
    </row>
    <row r="67" spans="1:8" s="2" customFormat="1" x14ac:dyDescent="0.25">
      <c r="A67" s="30" t="s">
        <v>72</v>
      </c>
      <c r="B67" s="52" t="s">
        <v>3123</v>
      </c>
      <c r="C67" s="52" t="s">
        <v>3123</v>
      </c>
      <c r="D67" s="52" t="s">
        <v>3123</v>
      </c>
      <c r="E67" s="52" t="s">
        <v>3123</v>
      </c>
      <c r="F67" s="52" t="s">
        <v>3123</v>
      </c>
      <c r="G67" s="52" t="s">
        <v>3123</v>
      </c>
      <c r="H67" s="52" t="s">
        <v>3123</v>
      </c>
    </row>
    <row r="68" spans="1:8" s="2" customFormat="1" x14ac:dyDescent="0.25">
      <c r="A68" s="30" t="s">
        <v>73</v>
      </c>
      <c r="B68" s="52" t="s">
        <v>3478</v>
      </c>
      <c r="C68" s="52" t="s">
        <v>3478</v>
      </c>
      <c r="D68" s="52" t="s">
        <v>3478</v>
      </c>
      <c r="E68" s="52" t="s">
        <v>3478</v>
      </c>
      <c r="F68" s="52" t="s">
        <v>3478</v>
      </c>
      <c r="G68" s="52" t="s">
        <v>3478</v>
      </c>
      <c r="H68" s="52" t="s">
        <v>3478</v>
      </c>
    </row>
    <row r="69" spans="1:8" s="2" customFormat="1" x14ac:dyDescent="0.25">
      <c r="A69" s="30" t="s">
        <v>74</v>
      </c>
      <c r="B69" s="52" t="s">
        <v>3473</v>
      </c>
      <c r="C69" s="52" t="s">
        <v>3490</v>
      </c>
      <c r="D69" s="52" t="s">
        <v>3473</v>
      </c>
      <c r="E69" s="52" t="s">
        <v>3473</v>
      </c>
      <c r="F69" s="52" t="s">
        <v>3473</v>
      </c>
      <c r="G69" s="52" t="s">
        <v>3473</v>
      </c>
      <c r="H69" s="52" t="s">
        <v>3473</v>
      </c>
    </row>
    <row r="70" spans="1:8" s="2" customFormat="1" x14ac:dyDescent="0.25">
      <c r="A70" s="30" t="s">
        <v>75</v>
      </c>
      <c r="B70" s="53" t="s">
        <v>3387</v>
      </c>
      <c r="C70" s="53">
        <v>2187491284</v>
      </c>
      <c r="D70" s="53" t="s">
        <v>3387</v>
      </c>
      <c r="E70" s="53" t="s">
        <v>3387</v>
      </c>
      <c r="F70" s="53" t="s">
        <v>3387</v>
      </c>
      <c r="G70" s="53" t="s">
        <v>3387</v>
      </c>
      <c r="H70" s="53" t="s">
        <v>3387</v>
      </c>
    </row>
    <row r="71" spans="1:8" s="2" customFormat="1" x14ac:dyDescent="0.25">
      <c r="A71" s="2" t="s">
        <v>76</v>
      </c>
      <c r="B71" s="46" t="s">
        <v>3388</v>
      </c>
      <c r="C71" s="46" t="s">
        <v>3388</v>
      </c>
      <c r="D71" s="46" t="s">
        <v>3388</v>
      </c>
      <c r="E71" s="46" t="s">
        <v>3388</v>
      </c>
      <c r="F71" s="46" t="s">
        <v>3388</v>
      </c>
      <c r="G71" s="46" t="s">
        <v>3388</v>
      </c>
      <c r="H71" s="46" t="s">
        <v>3388</v>
      </c>
    </row>
    <row r="72" spans="1:8" s="2" customFormat="1" x14ac:dyDescent="0.25">
      <c r="A72" s="2" t="s">
        <v>77</v>
      </c>
      <c r="B72" s="46" t="s">
        <v>3388</v>
      </c>
      <c r="C72" s="46" t="s">
        <v>3388</v>
      </c>
      <c r="D72" s="46" t="s">
        <v>3388</v>
      </c>
      <c r="E72" s="46" t="s">
        <v>3388</v>
      </c>
      <c r="F72" s="46" t="s">
        <v>3388</v>
      </c>
      <c r="G72" s="46" t="s">
        <v>3388</v>
      </c>
      <c r="H72" s="46" t="s">
        <v>3388</v>
      </c>
    </row>
    <row r="73" spans="1:8" s="2" customFormat="1" x14ac:dyDescent="0.25">
      <c r="A73" s="30" t="s">
        <v>78</v>
      </c>
      <c r="B73" s="54">
        <v>10000000</v>
      </c>
      <c r="C73" s="54">
        <v>10000000</v>
      </c>
      <c r="D73" s="54">
        <v>10000000</v>
      </c>
      <c r="E73" s="54">
        <v>10000000</v>
      </c>
      <c r="F73" s="54">
        <v>10000000</v>
      </c>
      <c r="G73" s="54">
        <v>10000000</v>
      </c>
      <c r="H73" s="54">
        <v>10000000</v>
      </c>
    </row>
    <row r="74" spans="1:8" s="2" customFormat="1" x14ac:dyDescent="0.25">
      <c r="A74" s="30" t="s">
        <v>3455</v>
      </c>
      <c r="B74" s="46" t="s">
        <v>3461</v>
      </c>
      <c r="C74" s="46" t="s">
        <v>3461</v>
      </c>
      <c r="D74" s="46" t="s">
        <v>3461</v>
      </c>
      <c r="E74" s="46" t="s">
        <v>3461</v>
      </c>
      <c r="F74" s="46" t="s">
        <v>3461</v>
      </c>
      <c r="G74" s="46" t="s">
        <v>3461</v>
      </c>
      <c r="H74" s="46" t="s">
        <v>3461</v>
      </c>
    </row>
    <row r="75" spans="1:8" s="2" customFormat="1" x14ac:dyDescent="0.25">
      <c r="A75" s="30" t="s">
        <v>3456</v>
      </c>
      <c r="B75" s="46" t="s">
        <v>3462</v>
      </c>
      <c r="C75" s="46" t="s">
        <v>3462</v>
      </c>
      <c r="D75" s="46" t="s">
        <v>3462</v>
      </c>
      <c r="E75" s="46" t="s">
        <v>3462</v>
      </c>
      <c r="F75" s="46" t="s">
        <v>3462</v>
      </c>
      <c r="G75" s="46" t="s">
        <v>3462</v>
      </c>
      <c r="H75" s="46" t="s">
        <v>3462</v>
      </c>
    </row>
    <row r="76" spans="1:8" s="2" customFormat="1" x14ac:dyDescent="0.25">
      <c r="A76" s="30" t="s">
        <v>3457</v>
      </c>
      <c r="B76" s="46" t="s">
        <v>3472</v>
      </c>
      <c r="C76" s="46" t="s">
        <v>3472</v>
      </c>
      <c r="D76" s="46" t="s">
        <v>3472</v>
      </c>
      <c r="E76" s="46" t="s">
        <v>3472</v>
      </c>
      <c r="F76" s="46" t="s">
        <v>3472</v>
      </c>
      <c r="G76" s="46" t="s">
        <v>3472</v>
      </c>
      <c r="H76" s="46" t="s">
        <v>3472</v>
      </c>
    </row>
    <row r="77" spans="1:8" s="2" customFormat="1" x14ac:dyDescent="0.25">
      <c r="A77" s="30" t="s">
        <v>3458</v>
      </c>
      <c r="B77" s="46" t="s">
        <v>3453</v>
      </c>
      <c r="C77" s="46" t="s">
        <v>3453</v>
      </c>
      <c r="D77" s="46" t="s">
        <v>3453</v>
      </c>
      <c r="E77" s="46" t="s">
        <v>3453</v>
      </c>
      <c r="F77" s="46" t="s">
        <v>3453</v>
      </c>
      <c r="G77" s="46" t="s">
        <v>3453</v>
      </c>
      <c r="H77" s="46" t="s">
        <v>3453</v>
      </c>
    </row>
    <row r="78" spans="1:8" s="2" customFormat="1" x14ac:dyDescent="0.25">
      <c r="A78" s="30" t="s">
        <v>3459</v>
      </c>
      <c r="B78" s="46" t="s">
        <v>3472</v>
      </c>
      <c r="C78" s="46" t="s">
        <v>3472</v>
      </c>
      <c r="D78" s="46" t="s">
        <v>3472</v>
      </c>
      <c r="E78" s="46" t="s">
        <v>3472</v>
      </c>
      <c r="F78" s="46" t="s">
        <v>3472</v>
      </c>
      <c r="G78" s="46" t="s">
        <v>3472</v>
      </c>
      <c r="H78" s="46" t="s">
        <v>3472</v>
      </c>
    </row>
    <row r="79" spans="1:8" s="2" customFormat="1" x14ac:dyDescent="0.25">
      <c r="A79" s="30" t="s">
        <v>3460</v>
      </c>
      <c r="B79" s="46" t="s">
        <v>3463</v>
      </c>
      <c r="C79" s="46" t="s">
        <v>3463</v>
      </c>
      <c r="D79" s="46" t="s">
        <v>3463</v>
      </c>
      <c r="E79" s="46" t="s">
        <v>3463</v>
      </c>
      <c r="F79" s="46" t="s">
        <v>3463</v>
      </c>
      <c r="G79" s="46" t="s">
        <v>3463</v>
      </c>
      <c r="H79" s="46" t="s">
        <v>3463</v>
      </c>
    </row>
  </sheetData>
  <dataValidations count="6">
    <dataValidation type="whole" errorStyle="information" allowBlank="1" showInputMessage="1" showErrorMessage="1" sqref="B12:H12">
      <formula1>0</formula1>
      <formula2>9.99999999999999E+33</formula2>
    </dataValidation>
    <dataValidation type="whole" errorStyle="information" allowBlank="1" showInputMessage="1" showErrorMessage="1" sqref="B73:H73">
      <formula1>0</formula1>
      <formula2>9.99999999999999E+30</formula2>
    </dataValidation>
    <dataValidation type="list" errorStyle="information" allowBlank="1" showInputMessage="1" showErrorMessage="1" sqref="B67:H67">
      <formula1>ListBank</formula1>
    </dataValidation>
    <dataValidation errorStyle="information" allowBlank="1" showInputMessage="1" showErrorMessage="1" sqref="B13:H35 B68:H69"/>
    <dataValidation type="whole" errorStyle="information" allowBlank="1" showInputMessage="1" showErrorMessage="1" sqref="B37:H64">
      <formula1>0</formula1>
      <formula2>9.99999999999999E+25</formula2>
    </dataValidation>
    <dataValidation type="list" errorStyle="information" allowBlank="1" showInputMessage="1" showErrorMessage="1" sqref="B71:H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6"/>
  <sheetViews>
    <sheetView workbookViewId="0">
      <selection activeCell="C3" sqref="B3:H3"/>
    </sheetView>
  </sheetViews>
  <sheetFormatPr defaultRowHeight="15" x14ac:dyDescent="0.25"/>
  <cols>
    <col min="1" max="1" width="16.140625" bestFit="1" customWidth="1" collapsed="1"/>
    <col min="2" max="8" width="33.5703125" bestFit="1" customWidth="1" collapsed="1"/>
  </cols>
  <sheetData>
    <row r="1" spans="1:8" s="2" customFormat="1" x14ac:dyDescent="0.25">
      <c r="A1" s="2" t="s">
        <v>3</v>
      </c>
      <c r="B1" t="s">
        <v>2794</v>
      </c>
      <c r="C1" t="s">
        <v>2794</v>
      </c>
      <c r="D1" t="s">
        <v>2794</v>
      </c>
      <c r="E1" t="s">
        <v>2794</v>
      </c>
      <c r="F1" t="s">
        <v>2794</v>
      </c>
      <c r="G1" t="s">
        <v>2794</v>
      </c>
      <c r="H1" t="s">
        <v>2794</v>
      </c>
    </row>
    <row r="2" spans="1:8" s="2" customFormat="1" x14ac:dyDescent="0.25">
      <c r="A2" s="2" t="s">
        <v>3389</v>
      </c>
      <c r="B2" t="s">
        <v>3464</v>
      </c>
      <c r="C2" s="2" t="s">
        <v>3464</v>
      </c>
      <c r="D2" s="2" t="s">
        <v>3464</v>
      </c>
      <c r="E2" s="2" t="s">
        <v>3464</v>
      </c>
      <c r="F2" s="2" t="s">
        <v>3464</v>
      </c>
      <c r="G2" s="2" t="s">
        <v>3464</v>
      </c>
      <c r="H2" s="2" t="s">
        <v>3464</v>
      </c>
    </row>
    <row r="3" spans="1:8" s="2" customFormat="1" x14ac:dyDescent="0.25">
      <c r="A3" s="2" t="s">
        <v>3390</v>
      </c>
    </row>
    <row r="4" spans="1:8" s="2" customFormat="1" x14ac:dyDescent="0.25">
      <c r="A4" s="2" t="s">
        <v>3402</v>
      </c>
      <c r="B4" s="2">
        <f t="shared" ref="B4:H4" si="0">IF(B12="Yes",COUNTIFS($A$13:$A$16,"*$*",B13:B16,""),0)</f>
        <v>0</v>
      </c>
      <c r="C4" s="2">
        <f t="shared" si="0"/>
        <v>0</v>
      </c>
      <c r="D4" s="2">
        <f t="shared" si="0"/>
        <v>0</v>
      </c>
      <c r="E4" s="2">
        <f t="shared" si="0"/>
        <v>0</v>
      </c>
      <c r="F4" s="2">
        <f t="shared" si="0"/>
        <v>0</v>
      </c>
      <c r="G4" s="2">
        <f t="shared" si="0"/>
        <v>0</v>
      </c>
      <c r="H4" s="2">
        <f t="shared" si="0"/>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0002APP20221206352</v>
      </c>
      <c r="C10" s="2">
        <f>'1.CustomerDetail'!C$12</f>
        <v>0</v>
      </c>
      <c r="D10" s="2">
        <f>'1.CustomerDetail'!D$12</f>
        <v>0</v>
      </c>
      <c r="E10" s="2">
        <f>'1.CustomerDetail'!E$12</f>
        <v>0</v>
      </c>
      <c r="F10" s="2">
        <f>'1.CustomerDetail'!F$12</f>
        <v>0</v>
      </c>
      <c r="G10" s="2">
        <f>'1.CustomerDetail'!G$12</f>
        <v>0</v>
      </c>
      <c r="H10" s="2">
        <f>'1.CustomerDetail'!H$12</f>
        <v>0</v>
      </c>
    </row>
    <row r="11" spans="1:8" s="38" customFormat="1" x14ac:dyDescent="0.25">
      <c r="B11" s="37"/>
      <c r="C11" s="37"/>
      <c r="D11" s="37"/>
      <c r="E11" s="37"/>
      <c r="F11" s="37"/>
      <c r="G11" s="37"/>
      <c r="H11" s="37"/>
    </row>
    <row r="12" spans="1:8" s="43" customFormat="1" x14ac:dyDescent="0.25">
      <c r="A12" s="43" t="s">
        <v>3454</v>
      </c>
      <c r="B12" s="44" t="s">
        <v>3388</v>
      </c>
      <c r="C12" s="44" t="s">
        <v>3388</v>
      </c>
      <c r="D12" s="44" t="s">
        <v>3388</v>
      </c>
      <c r="E12" s="44" t="s">
        <v>3388</v>
      </c>
      <c r="F12" s="44" t="s">
        <v>3388</v>
      </c>
      <c r="G12" s="44" t="s">
        <v>3388</v>
      </c>
      <c r="H12" s="44" t="s">
        <v>3388</v>
      </c>
    </row>
    <row r="13" spans="1:8" s="2" customFormat="1" x14ac:dyDescent="0.25">
      <c r="A13" s="30" t="s">
        <v>3450</v>
      </c>
      <c r="B13" s="2" t="s">
        <v>3474</v>
      </c>
      <c r="C13" s="2" t="s">
        <v>3474</v>
      </c>
      <c r="D13" s="2" t="s">
        <v>3474</v>
      </c>
      <c r="E13" s="2" t="s">
        <v>3474</v>
      </c>
      <c r="F13" s="2" t="s">
        <v>3474</v>
      </c>
      <c r="G13" s="2" t="s">
        <v>3474</v>
      </c>
      <c r="H13" s="2" t="s">
        <v>3474</v>
      </c>
    </row>
    <row r="14" spans="1:8" s="2" customFormat="1" x14ac:dyDescent="0.25">
      <c r="A14" s="2" t="s">
        <v>79</v>
      </c>
      <c r="B14" s="2" t="s">
        <v>3475</v>
      </c>
      <c r="C14" s="2" t="s">
        <v>3475</v>
      </c>
      <c r="D14" s="2" t="s">
        <v>3475</v>
      </c>
      <c r="E14" s="2" t="s">
        <v>3475</v>
      </c>
      <c r="F14" s="2" t="s">
        <v>3475</v>
      </c>
      <c r="G14" s="2" t="s">
        <v>3475</v>
      </c>
      <c r="H14" s="2" t="s">
        <v>3475</v>
      </c>
    </row>
    <row r="15" spans="1:8" s="2" customFormat="1" x14ac:dyDescent="0.25">
      <c r="A15" s="30" t="s">
        <v>3451</v>
      </c>
      <c r="B15" s="55" t="s">
        <v>3488</v>
      </c>
      <c r="C15" s="55" t="s">
        <v>3488</v>
      </c>
      <c r="D15" s="55" t="s">
        <v>3488</v>
      </c>
      <c r="E15" s="55" t="s">
        <v>3488</v>
      </c>
      <c r="F15" s="55" t="s">
        <v>3488</v>
      </c>
      <c r="G15" s="55" t="s">
        <v>3488</v>
      </c>
      <c r="H15" s="55" t="s">
        <v>3488</v>
      </c>
    </row>
    <row r="16" spans="1:8" s="2" customFormat="1" x14ac:dyDescent="0.25">
      <c r="A16" s="30" t="s">
        <v>3452</v>
      </c>
      <c r="B16" s="4" t="s">
        <v>3489</v>
      </c>
      <c r="C16" s="4" t="s">
        <v>3489</v>
      </c>
      <c r="D16" s="4" t="s">
        <v>3489</v>
      </c>
      <c r="E16" s="4" t="s">
        <v>3489</v>
      </c>
      <c r="F16" s="4" t="s">
        <v>3489</v>
      </c>
      <c r="G16" s="4" t="s">
        <v>3489</v>
      </c>
      <c r="H16" s="4" t="s">
        <v>3489</v>
      </c>
    </row>
  </sheetData>
  <dataValidations count="2">
    <dataValidation errorStyle="information" allowBlank="1" showInputMessage="1" showErrorMessage="1" sqref="B14:H16"/>
    <dataValidation errorStyle="information" showInputMessage="1" showErrorMessage="1" sqref="B13:H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20"/>
  <sheetViews>
    <sheetView workbookViewId="0">
      <selection activeCell="B18" sqref="B18"/>
    </sheetView>
  </sheetViews>
  <sheetFormatPr defaultRowHeight="15" x14ac:dyDescent="0.25"/>
  <cols>
    <col min="1" max="1" width="15" bestFit="1" customWidth="1" collapsed="1"/>
    <col min="2" max="9" width="30" customWidth="1" collapsed="1"/>
  </cols>
  <sheetData>
    <row r="1" spans="1:8" s="42" customFormat="1" x14ac:dyDescent="0.25">
      <c r="A1" s="42" t="s">
        <v>3</v>
      </c>
      <c r="B1" t="s">
        <v>2794</v>
      </c>
      <c r="C1" t="s">
        <v>2794</v>
      </c>
      <c r="D1" t="s">
        <v>2794</v>
      </c>
      <c r="E1" t="s">
        <v>2794</v>
      </c>
      <c r="F1" t="s">
        <v>2794</v>
      </c>
      <c r="G1" t="s">
        <v>2794</v>
      </c>
      <c r="H1" t="s">
        <v>2794</v>
      </c>
    </row>
    <row r="2" spans="1:8" s="2" customFormat="1" x14ac:dyDescent="0.25">
      <c r="A2" s="2" t="s">
        <v>3389</v>
      </c>
      <c r="B2" s="2" t="s">
        <v>3464</v>
      </c>
      <c r="C2" s="2" t="s">
        <v>3464</v>
      </c>
      <c r="D2" s="2" t="s">
        <v>3464</v>
      </c>
      <c r="E2" s="2" t="s">
        <v>3464</v>
      </c>
      <c r="F2" s="2" t="s">
        <v>3464</v>
      </c>
      <c r="G2" s="2" t="s">
        <v>3464</v>
      </c>
      <c r="H2" s="2" t="s">
        <v>3464</v>
      </c>
    </row>
    <row r="3" spans="1:8" s="2" customFormat="1" x14ac:dyDescent="0.25">
      <c r="A3" s="2" t="s">
        <v>3390</v>
      </c>
    </row>
    <row r="4" spans="1:8" s="2" customFormat="1" x14ac:dyDescent="0.25">
      <c r="A4" s="2" t="s">
        <v>3402</v>
      </c>
      <c r="B4" s="2">
        <f t="shared" ref="B4:H4" si="0">COUNTIFS($A$12:$A$18,"*$*",B12:B18,"")</f>
        <v>0</v>
      </c>
      <c r="C4" s="2">
        <f t="shared" si="0"/>
        <v>0</v>
      </c>
      <c r="D4" s="2">
        <f t="shared" si="0"/>
        <v>0</v>
      </c>
      <c r="E4" s="2">
        <f t="shared" si="0"/>
        <v>0</v>
      </c>
      <c r="F4" s="2">
        <f t="shared" si="0"/>
        <v>0</v>
      </c>
      <c r="G4" s="2">
        <f t="shared" si="0"/>
        <v>0</v>
      </c>
      <c r="H4" s="2">
        <f t="shared" si="0"/>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0002APP20221206352</v>
      </c>
      <c r="C10" s="2">
        <f>'1.CustomerDetail'!C$12</f>
        <v>0</v>
      </c>
      <c r="D10" s="2">
        <f>'1.CustomerDetail'!D$12</f>
        <v>0</v>
      </c>
      <c r="E10" s="2">
        <f>'1.CustomerDetail'!E$12</f>
        <v>0</v>
      </c>
      <c r="F10" s="2">
        <f>'1.CustomerDetail'!F$12</f>
        <v>0</v>
      </c>
      <c r="G10" s="2">
        <f>'1.CustomerDetail'!G$12</f>
        <v>0</v>
      </c>
      <c r="H10" s="2">
        <f>'1.CustomerDetail'!H$12</f>
        <v>0</v>
      </c>
    </row>
    <row r="11" spans="1:8" s="38" customFormat="1" x14ac:dyDescent="0.25">
      <c r="B11" s="37"/>
      <c r="C11" s="37"/>
      <c r="D11" s="37"/>
      <c r="E11" s="37"/>
      <c r="F11" s="37"/>
      <c r="G11" s="37"/>
      <c r="H11" s="37"/>
    </row>
    <row r="12" spans="1:8" s="2" customFormat="1" x14ac:dyDescent="0.25">
      <c r="A12" s="29" t="s">
        <v>3420</v>
      </c>
      <c r="B12" s="2" t="s">
        <v>3480</v>
      </c>
      <c r="C12" s="2" t="s">
        <v>3480</v>
      </c>
      <c r="D12" s="2" t="s">
        <v>3480</v>
      </c>
      <c r="E12" s="2" t="s">
        <v>3480</v>
      </c>
      <c r="F12" s="2" t="s">
        <v>3480</v>
      </c>
      <c r="G12" s="2" t="s">
        <v>3480</v>
      </c>
      <c r="H12" s="2" t="s">
        <v>3480</v>
      </c>
    </row>
    <row r="13" spans="1:8" s="2" customFormat="1" x14ac:dyDescent="0.25">
      <c r="A13" s="29" t="s">
        <v>3421</v>
      </c>
      <c r="B13" s="36" t="s">
        <v>3481</v>
      </c>
      <c r="C13" s="36" t="s">
        <v>3481</v>
      </c>
      <c r="D13" s="36" t="s">
        <v>3481</v>
      </c>
      <c r="E13" s="36" t="s">
        <v>3481</v>
      </c>
      <c r="F13" s="36" t="s">
        <v>3481</v>
      </c>
      <c r="G13" s="36" t="s">
        <v>3481</v>
      </c>
      <c r="H13" s="36" t="s">
        <v>3481</v>
      </c>
    </row>
    <row r="14" spans="1:8" s="2" customFormat="1" x14ac:dyDescent="0.25">
      <c r="A14" s="29" t="s">
        <v>3422</v>
      </c>
      <c r="B14" s="4" t="s">
        <v>3482</v>
      </c>
      <c r="C14" s="4" t="s">
        <v>3482</v>
      </c>
      <c r="D14" s="4" t="s">
        <v>3482</v>
      </c>
      <c r="E14" s="4" t="s">
        <v>3482</v>
      </c>
      <c r="F14" s="4" t="s">
        <v>3482</v>
      </c>
      <c r="G14" s="4" t="s">
        <v>3482</v>
      </c>
      <c r="H14" s="4" t="s">
        <v>3482</v>
      </c>
    </row>
    <row r="15" spans="1:8" s="2" customFormat="1" x14ac:dyDescent="0.25">
      <c r="A15" s="2" t="s">
        <v>80</v>
      </c>
      <c r="B15" s="4" t="s">
        <v>3483</v>
      </c>
      <c r="C15" s="4" t="s">
        <v>3483</v>
      </c>
      <c r="D15" s="4" t="s">
        <v>3483</v>
      </c>
      <c r="E15" s="4" t="s">
        <v>3483</v>
      </c>
      <c r="F15" s="4" t="s">
        <v>3483</v>
      </c>
      <c r="G15" s="4" t="s">
        <v>3483</v>
      </c>
      <c r="H15" s="4" t="s">
        <v>3483</v>
      </c>
    </row>
    <row r="16" spans="1:8" s="2" customFormat="1" x14ac:dyDescent="0.25">
      <c r="A16" s="2" t="s">
        <v>81</v>
      </c>
      <c r="B16" s="2" t="s">
        <v>3484</v>
      </c>
      <c r="C16" s="2" t="s">
        <v>3484</v>
      </c>
      <c r="D16" s="2" t="s">
        <v>3484</v>
      </c>
      <c r="E16" s="2" t="s">
        <v>3484</v>
      </c>
      <c r="F16" s="2" t="s">
        <v>3484</v>
      </c>
      <c r="G16" s="2" t="s">
        <v>3484</v>
      </c>
      <c r="H16" s="2" t="s">
        <v>3484</v>
      </c>
    </row>
    <row r="17" spans="1:9" s="2" customFormat="1" x14ac:dyDescent="0.25">
      <c r="A17" s="2" t="s">
        <v>82</v>
      </c>
      <c r="B17" s="2" t="s">
        <v>3485</v>
      </c>
      <c r="C17" s="2" t="s">
        <v>3485</v>
      </c>
      <c r="D17" s="2" t="s">
        <v>3485</v>
      </c>
      <c r="E17" s="2" t="s">
        <v>3485</v>
      </c>
      <c r="F17" s="2" t="s">
        <v>3485</v>
      </c>
      <c r="G17" s="2" t="s">
        <v>3485</v>
      </c>
      <c r="H17" s="2" t="s">
        <v>3485</v>
      </c>
    </row>
    <row r="18" spans="1:9" s="2" customFormat="1" x14ac:dyDescent="0.25">
      <c r="A18" s="2" t="s">
        <v>13</v>
      </c>
      <c r="B18" s="2" t="s">
        <v>3486</v>
      </c>
      <c r="C18" s="2" t="s">
        <v>3486</v>
      </c>
      <c r="D18" s="2" t="s">
        <v>3486</v>
      </c>
      <c r="E18" s="2" t="s">
        <v>3486</v>
      </c>
      <c r="F18" s="2" t="s">
        <v>3486</v>
      </c>
      <c r="G18" s="2" t="s">
        <v>3486</v>
      </c>
      <c r="H18" s="2" t="s">
        <v>3486</v>
      </c>
    </row>
    <row r="20" spans="1:9" ht="90" x14ac:dyDescent="0.25">
      <c r="A20" s="12" t="s">
        <v>2795</v>
      </c>
      <c r="B20" s="8" t="s">
        <v>2796</v>
      </c>
      <c r="C20" s="8"/>
      <c r="D20" s="8"/>
      <c r="E20" s="8"/>
      <c r="F20" s="8"/>
      <c r="G20" s="8"/>
      <c r="H20" s="8"/>
      <c r="I20" s="8"/>
    </row>
  </sheetData>
  <dataValidations count="1">
    <dataValidation errorStyle="information" allowBlank="1" showInputMessage="1" showErrorMessage="1" sqref="B12:H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39"/>
  <sheetViews>
    <sheetView topLeftCell="B30" workbookViewId="0">
      <selection activeCell="D39" sqref="D1:H39"/>
    </sheetView>
  </sheetViews>
  <sheetFormatPr defaultRowHeight="15" x14ac:dyDescent="0.25"/>
  <cols>
    <col min="1" max="1" width="34.5703125" style="11" bestFit="1" customWidth="1" collapsed="1"/>
    <col min="2" max="8" width="25" style="9" customWidth="1" collapsed="1"/>
  </cols>
  <sheetData>
    <row r="1" spans="1:8" s="2" customFormat="1" x14ac:dyDescent="0.25">
      <c r="A1" s="1" t="s">
        <v>3</v>
      </c>
      <c r="B1" t="s">
        <v>2794</v>
      </c>
      <c r="C1" s="2" t="s">
        <v>2794</v>
      </c>
      <c r="D1" s="2" t="s">
        <v>2794</v>
      </c>
      <c r="E1" s="2" t="s">
        <v>2794</v>
      </c>
      <c r="F1" s="2" t="s">
        <v>2794</v>
      </c>
    </row>
    <row r="2" spans="1:8" s="2" customFormat="1" x14ac:dyDescent="0.25">
      <c r="A2" s="2" t="s">
        <v>3389</v>
      </c>
      <c r="B2" t="s">
        <v>3464</v>
      </c>
      <c r="C2" s="2" t="s">
        <v>3464</v>
      </c>
      <c r="D2" s="2" t="s">
        <v>3464</v>
      </c>
      <c r="E2" s="2" t="s">
        <v>3464</v>
      </c>
      <c r="F2" s="2" t="s">
        <v>3464</v>
      </c>
    </row>
    <row r="3" spans="1:8" s="2" customFormat="1" x14ac:dyDescent="0.25">
      <c r="A3" s="2" t="s">
        <v>3390</v>
      </c>
    </row>
    <row r="4" spans="1:8" s="2" customFormat="1" x14ac:dyDescent="0.25">
      <c r="A4" s="2" t="s">
        <v>3402</v>
      </c>
      <c r="B4" s="2">
        <f t="shared" ref="B4:C4" si="0">COUNTIFS($A$12:$A$39,"*$*",B12:B39,"")</f>
        <v>0</v>
      </c>
      <c r="C4" s="2">
        <f t="shared" si="0"/>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0002APP20221206352</v>
      </c>
      <c r="C10" s="2">
        <f>'1.CustomerDetail'!C$12</f>
        <v>0</v>
      </c>
    </row>
    <row r="11" spans="1:8" s="41" customFormat="1" x14ac:dyDescent="0.25">
      <c r="A11" s="39" t="s">
        <v>3103</v>
      </c>
      <c r="B11" s="40"/>
      <c r="C11" s="40"/>
      <c r="D11" s="40"/>
      <c r="E11" s="40"/>
      <c r="F11" s="40"/>
      <c r="G11" s="40"/>
      <c r="H11" s="40"/>
    </row>
    <row r="12" spans="1:8" s="2" customFormat="1" x14ac:dyDescent="0.25">
      <c r="A12" s="31" t="s">
        <v>3423</v>
      </c>
      <c r="B12" s="10" t="str">
        <f>VLOOKUP(B13,Master!$A:$B,2,FALSE)</f>
        <v>01</v>
      </c>
      <c r="C12" s="10" t="str">
        <f>VLOOKUP(C13,Master!$A:$B,2,FALSE)</f>
        <v>01</v>
      </c>
      <c r="D12" s="10"/>
      <c r="E12" s="10"/>
      <c r="F12" s="10"/>
      <c r="G12" s="10"/>
      <c r="H12" s="10"/>
    </row>
    <row r="13" spans="1:8" s="2" customFormat="1" x14ac:dyDescent="0.25">
      <c r="A13" s="29" t="s">
        <v>3424</v>
      </c>
      <c r="B13" s="10" t="s">
        <v>97</v>
      </c>
      <c r="C13" s="10" t="s">
        <v>97</v>
      </c>
      <c r="D13" s="10"/>
      <c r="E13" s="10"/>
      <c r="F13" s="10"/>
      <c r="G13" s="10"/>
      <c r="H13" s="10"/>
    </row>
    <row r="14" spans="1:8" s="2" customFormat="1" x14ac:dyDescent="0.25">
      <c r="A14" s="31" t="s">
        <v>3425</v>
      </c>
      <c r="B14" s="10" t="str">
        <f>VLOOKUP(B15,Master!$D:$E,2,FALSE)</f>
        <v>4</v>
      </c>
      <c r="C14" s="10" t="str">
        <f>VLOOKUP(C15,Master!$D:$E,2,FALSE)</f>
        <v>4</v>
      </c>
      <c r="D14" s="10"/>
      <c r="E14" s="10"/>
      <c r="F14" s="10"/>
      <c r="G14" s="10"/>
      <c r="H14" s="10"/>
    </row>
    <row r="15" spans="1:8" s="2" customFormat="1" x14ac:dyDescent="0.25">
      <c r="A15" s="29" t="s">
        <v>3426</v>
      </c>
      <c r="B15" s="6" t="s">
        <v>161</v>
      </c>
      <c r="C15" s="6" t="s">
        <v>161</v>
      </c>
      <c r="D15" s="6"/>
      <c r="E15" s="6"/>
      <c r="F15" s="6"/>
      <c r="G15" s="6"/>
      <c r="H15" s="6"/>
    </row>
    <row r="16" spans="1:8" s="2" customFormat="1" x14ac:dyDescent="0.25">
      <c r="A16" s="31" t="s">
        <v>3427</v>
      </c>
      <c r="B16" s="10" t="str">
        <f>VLOOKUP(B17,Master!$G:$H,2,FALSE)</f>
        <v>e2955</v>
      </c>
      <c r="C16" s="10" t="str">
        <f>VLOOKUP(C17,Master!$G:$H,2,FALSE)</f>
        <v>e2955</v>
      </c>
      <c r="D16" s="10"/>
      <c r="E16" s="10"/>
      <c r="F16" s="10"/>
      <c r="G16" s="10"/>
      <c r="H16" s="10"/>
    </row>
    <row r="17" spans="1:8" s="2" customFormat="1" ht="75" x14ac:dyDescent="0.25">
      <c r="A17" s="29" t="s">
        <v>3428</v>
      </c>
      <c r="B17" s="6" t="s">
        <v>3383</v>
      </c>
      <c r="C17" s="6" t="s">
        <v>3383</v>
      </c>
      <c r="D17" s="6"/>
      <c r="E17" s="6"/>
      <c r="F17" s="6"/>
      <c r="G17" s="6"/>
      <c r="H17" s="6"/>
    </row>
    <row r="18" spans="1:8" s="2" customFormat="1" x14ac:dyDescent="0.25">
      <c r="A18" s="31" t="s">
        <v>3429</v>
      </c>
      <c r="B18" s="10" t="str">
        <f>VLOOKUP(B19,Master!$J:$K,2,FALSE)</f>
        <v>e3820</v>
      </c>
      <c r="C18" s="10" t="str">
        <f>VLOOKUP(C19,Master!$J:$K,2,FALSE)</f>
        <v>e3820</v>
      </c>
      <c r="D18" s="10"/>
      <c r="E18" s="10"/>
      <c r="F18" s="10"/>
      <c r="G18" s="10"/>
      <c r="H18" s="10"/>
    </row>
    <row r="19" spans="1:8" s="2" customFormat="1" x14ac:dyDescent="0.25">
      <c r="A19" s="29" t="s">
        <v>3430</v>
      </c>
      <c r="B19" s="6" t="s">
        <v>123</v>
      </c>
      <c r="C19" s="6" t="s">
        <v>123</v>
      </c>
      <c r="D19" s="6"/>
      <c r="E19" s="6"/>
      <c r="F19" s="6"/>
      <c r="G19" s="6"/>
      <c r="H19" s="6"/>
    </row>
    <row r="20" spans="1:8" s="41" customFormat="1" x14ac:dyDescent="0.25">
      <c r="A20" s="39" t="s">
        <v>3104</v>
      </c>
      <c r="B20" s="40"/>
      <c r="C20" s="40"/>
      <c r="D20" s="40"/>
      <c r="E20" s="40"/>
      <c r="F20" s="40"/>
      <c r="G20" s="40"/>
      <c r="H20" s="40"/>
    </row>
    <row r="21" spans="1:8" s="2" customFormat="1" x14ac:dyDescent="0.25">
      <c r="A21" s="1" t="s">
        <v>86</v>
      </c>
      <c r="B21" s="6" t="s">
        <v>2786</v>
      </c>
      <c r="C21" s="6" t="s">
        <v>2786</v>
      </c>
      <c r="D21" s="6"/>
      <c r="E21" s="6"/>
      <c r="F21" s="6"/>
      <c r="G21" s="6"/>
      <c r="H21" s="6"/>
    </row>
    <row r="22" spans="1:8" s="2" customFormat="1" x14ac:dyDescent="0.25">
      <c r="A22" s="31" t="s">
        <v>3431</v>
      </c>
      <c r="B22" s="10" t="str">
        <f>VLOOKUP(B23,Master!$M:$N,2,FALSE)</f>
        <v>0010</v>
      </c>
      <c r="C22" s="10" t="str">
        <f>VLOOKUP(C23,Master!$M:$N,2,FALSE)</f>
        <v>0010</v>
      </c>
      <c r="D22" s="10"/>
      <c r="E22" s="10"/>
      <c r="F22" s="10"/>
      <c r="G22" s="10"/>
      <c r="H22" s="10"/>
    </row>
    <row r="23" spans="1:8" s="2" customFormat="1" ht="30" x14ac:dyDescent="0.25">
      <c r="A23" s="29" t="s">
        <v>3432</v>
      </c>
      <c r="B23" s="6" t="s">
        <v>103</v>
      </c>
      <c r="C23" s="6" t="s">
        <v>103</v>
      </c>
      <c r="D23" s="6"/>
      <c r="E23" s="6"/>
      <c r="F23" s="6"/>
      <c r="G23" s="6"/>
      <c r="H23" s="6"/>
    </row>
    <row r="24" spans="1:8" s="2" customFormat="1" x14ac:dyDescent="0.25">
      <c r="A24" s="1" t="s">
        <v>87</v>
      </c>
      <c r="B24" s="6" t="s">
        <v>2786</v>
      </c>
      <c r="C24" s="6" t="s">
        <v>2786</v>
      </c>
      <c r="D24" s="6"/>
      <c r="E24" s="6"/>
      <c r="F24" s="6"/>
      <c r="G24" s="6"/>
      <c r="H24" s="6"/>
    </row>
    <row r="25" spans="1:8" s="2" customFormat="1" x14ac:dyDescent="0.25">
      <c r="A25" s="1" t="s">
        <v>88</v>
      </c>
      <c r="B25" s="6" t="s">
        <v>2786</v>
      </c>
      <c r="C25" s="6" t="s">
        <v>2786</v>
      </c>
      <c r="D25" s="6"/>
      <c r="E25" s="6"/>
      <c r="F25" s="6"/>
      <c r="G25" s="6"/>
      <c r="H25" s="6"/>
    </row>
    <row r="26" spans="1:8" s="2" customFormat="1" x14ac:dyDescent="0.25">
      <c r="A26" s="1" t="s">
        <v>89</v>
      </c>
      <c r="B26" s="6" t="s">
        <v>3470</v>
      </c>
      <c r="C26" s="6" t="s">
        <v>3470</v>
      </c>
      <c r="D26" s="6"/>
      <c r="E26" s="6"/>
      <c r="F26" s="6"/>
      <c r="G26" s="6"/>
      <c r="H26" s="6"/>
    </row>
    <row r="27" spans="1:8" s="2" customFormat="1" x14ac:dyDescent="0.25">
      <c r="A27" s="31" t="s">
        <v>3433</v>
      </c>
      <c r="B27" s="10" t="str">
        <f>VLOOKUP(B28,Master!$AN:$AO,2,FALSE)</f>
        <v>10</v>
      </c>
      <c r="C27" s="10" t="str">
        <f>VLOOKUP(C28,Master!$AN:$AO,2,FALSE)</f>
        <v>10</v>
      </c>
      <c r="D27" s="10"/>
      <c r="E27" s="10"/>
      <c r="F27" s="10"/>
      <c r="G27" s="10"/>
      <c r="H27" s="10"/>
    </row>
    <row r="28" spans="1:8" s="2" customFormat="1" x14ac:dyDescent="0.25">
      <c r="A28" s="1" t="s">
        <v>90</v>
      </c>
      <c r="B28" s="6" t="s">
        <v>2787</v>
      </c>
      <c r="C28" s="6" t="s">
        <v>2787</v>
      </c>
      <c r="D28" s="6"/>
      <c r="E28" s="6"/>
      <c r="F28" s="6"/>
      <c r="G28" s="6"/>
      <c r="H28" s="6"/>
    </row>
    <row r="29" spans="1:8" s="2" customFormat="1" x14ac:dyDescent="0.25">
      <c r="A29" s="1" t="s">
        <v>91</v>
      </c>
      <c r="B29" s="34" t="s">
        <v>3471</v>
      </c>
      <c r="C29" s="34" t="s">
        <v>3471</v>
      </c>
      <c r="D29" s="34"/>
      <c r="E29" s="34"/>
      <c r="F29" s="34"/>
      <c r="G29" s="34"/>
      <c r="H29" s="34"/>
    </row>
    <row r="30" spans="1:8" s="2" customFormat="1" x14ac:dyDescent="0.25">
      <c r="A30" s="31" t="s">
        <v>3434</v>
      </c>
      <c r="B30" s="10" t="str">
        <f>VLOOKUP(B31,Master!$P:$Q,2,FALSE)</f>
        <v>0110</v>
      </c>
      <c r="C30" s="10" t="str">
        <f>VLOOKUP(C31,Master!$P:$Q,2,FALSE)</f>
        <v>0110</v>
      </c>
      <c r="D30" s="10"/>
      <c r="E30" s="10"/>
      <c r="F30" s="10"/>
      <c r="G30" s="10"/>
      <c r="H30" s="10"/>
    </row>
    <row r="31" spans="1:8" s="2" customFormat="1" ht="30" x14ac:dyDescent="0.25">
      <c r="A31" s="29" t="s">
        <v>3436</v>
      </c>
      <c r="B31" s="6" t="s">
        <v>105</v>
      </c>
      <c r="C31" s="6" t="s">
        <v>105</v>
      </c>
      <c r="D31" s="6"/>
      <c r="E31" s="6"/>
      <c r="F31" s="6"/>
      <c r="G31" s="6"/>
      <c r="H31" s="6"/>
    </row>
    <row r="32" spans="1:8" s="2" customFormat="1" x14ac:dyDescent="0.25">
      <c r="A32" s="29" t="s">
        <v>3437</v>
      </c>
      <c r="B32" s="6" t="s">
        <v>2786</v>
      </c>
      <c r="C32" s="6" t="s">
        <v>2786</v>
      </c>
      <c r="D32" s="6"/>
      <c r="E32" s="6"/>
      <c r="F32" s="6"/>
      <c r="G32" s="6"/>
      <c r="H32" s="6"/>
    </row>
    <row r="33" spans="1:8" s="2" customFormat="1" x14ac:dyDescent="0.25">
      <c r="A33" s="31" t="s">
        <v>3435</v>
      </c>
      <c r="B33" s="10" t="str">
        <f>VLOOKUP(B34,Master!$V:$W,2,FALSE)</f>
        <v>00055</v>
      </c>
      <c r="C33" s="10" t="str">
        <f>VLOOKUP(C34,Master!$V:$W,2,FALSE)</f>
        <v>00055</v>
      </c>
      <c r="D33" s="10"/>
      <c r="E33" s="10"/>
      <c r="F33" s="10"/>
      <c r="G33" s="10"/>
      <c r="H33" s="10"/>
    </row>
    <row r="34" spans="1:8" s="2" customFormat="1" x14ac:dyDescent="0.25">
      <c r="A34" s="29" t="s">
        <v>3438</v>
      </c>
      <c r="B34" s="6" t="s">
        <v>109</v>
      </c>
      <c r="C34" s="6" t="s">
        <v>109</v>
      </c>
      <c r="D34" s="6"/>
      <c r="E34" s="6"/>
      <c r="F34" s="6"/>
      <c r="G34" s="6"/>
      <c r="H34" s="6"/>
    </row>
    <row r="35" spans="1:8" s="2" customFormat="1" ht="30" x14ac:dyDescent="0.25">
      <c r="A35" s="31" t="s">
        <v>3440</v>
      </c>
      <c r="B35" s="10" t="str">
        <f>VLOOKUP(B36,Master!$Y:$Z,2,FALSE)</f>
        <v>PAYMENT_TYPEX_AUTOPAYMENT</v>
      </c>
      <c r="C35" s="10" t="str">
        <f>VLOOKUP(C36,Master!$Y:$Z,2,FALSE)</f>
        <v>PAYMENT_TYPEX_AUTOPAYMENT</v>
      </c>
      <c r="D35" s="10"/>
      <c r="E35" s="10"/>
      <c r="F35" s="10"/>
      <c r="G35" s="10"/>
      <c r="H35" s="10"/>
    </row>
    <row r="36" spans="1:8" s="2" customFormat="1" x14ac:dyDescent="0.25">
      <c r="A36" s="29" t="s">
        <v>3439</v>
      </c>
      <c r="B36" s="6" t="s">
        <v>111</v>
      </c>
      <c r="C36" s="6" t="s">
        <v>111</v>
      </c>
      <c r="D36" s="6"/>
      <c r="E36" s="6"/>
      <c r="F36" s="6"/>
      <c r="G36" s="6"/>
      <c r="H36" s="6"/>
    </row>
    <row r="37" spans="1:8" s="2" customFormat="1" x14ac:dyDescent="0.25">
      <c r="A37" s="31" t="s">
        <v>3442</v>
      </c>
      <c r="B37" s="10" t="str">
        <f>VLOOKUP(B38,Master!$AE:$AF,2,FALSE)</f>
        <v>BISNIS_SENDIRI</v>
      </c>
      <c r="C37" s="10" t="str">
        <f>VLOOKUP(C38,Master!$AE:$AF,2,FALSE)</f>
        <v>BISNIS_SENDIRI</v>
      </c>
      <c r="D37" s="10"/>
      <c r="E37" s="10"/>
      <c r="F37" s="10"/>
      <c r="G37" s="10"/>
      <c r="H37" s="10"/>
    </row>
    <row r="38" spans="1:8" s="2" customFormat="1" x14ac:dyDescent="0.25">
      <c r="A38" s="29" t="s">
        <v>3441</v>
      </c>
      <c r="B38" s="6" t="s">
        <v>115</v>
      </c>
      <c r="C38" s="6" t="s">
        <v>115</v>
      </c>
      <c r="D38" s="6"/>
      <c r="E38" s="6"/>
      <c r="F38" s="6"/>
      <c r="G38" s="6"/>
      <c r="H38" s="6"/>
    </row>
    <row r="39" spans="1:8" s="2" customFormat="1" x14ac:dyDescent="0.25">
      <c r="A39" s="29" t="s">
        <v>3443</v>
      </c>
      <c r="B39" s="34" t="s">
        <v>3386</v>
      </c>
      <c r="C39" s="34" t="s">
        <v>3386</v>
      </c>
      <c r="D39" s="34"/>
      <c r="E39" s="34"/>
      <c r="F39" s="34"/>
      <c r="G39" s="34"/>
      <c r="H39" s="34"/>
    </row>
  </sheetData>
  <dataValidations count="12">
    <dataValidation type="list" errorStyle="information" allowBlank="1" showInputMessage="1" showErrorMessage="1" sqref="B13:H13">
      <formula1>ListDebtGroup</formula1>
    </dataValidation>
    <dataValidation type="list" errorStyle="information" allowBlank="1" showInputMessage="1" showErrorMessage="1" sqref="B15:H15">
      <formula1>ListDebtorBusinessScale</formula1>
    </dataValidation>
    <dataValidation type="list" errorStyle="information" allowBlank="1" showInputMessage="1" showErrorMessage="1" sqref="B17:H17">
      <formula1>ListCounterpart</formula1>
    </dataValidation>
    <dataValidation type="list" errorStyle="information" allowBlank="1" showInputMessage="1" showErrorMessage="1" sqref="B19:H19">
      <formula1>ListSusFinBus</formula1>
    </dataValidation>
    <dataValidation type="list" errorStyle="information" allowBlank="1" showInputMessage="1" showErrorMessage="1" sqref="B23:H23">
      <formula1>ListDebtGroupSLIK</formula1>
    </dataValidation>
    <dataValidation type="list" errorStyle="information" allowBlank="1" showInputMessage="1" showErrorMessage="1" sqref="B31:H31">
      <formula1>ListAfWiMult</formula1>
    </dataValidation>
    <dataValidation type="list" errorStyle="information" allowBlank="1" showInputMessage="1" showErrorMessage="1" sqref="B34:H34">
      <formula1>ListCSPUSL</formula1>
    </dataValidation>
    <dataValidation type="list" errorStyle="information" allowBlank="1" showInputMessage="1" showErrorMessage="1" sqref="B36:H36">
      <formula1>ListPaymentTypeAML</formula1>
    </dataValidation>
    <dataValidation type="list" errorStyle="information" allowBlank="1" showInputMessage="1" showErrorMessage="1" sqref="B38:H38">
      <formula1>ListBusinessSource</formula1>
    </dataValidation>
    <dataValidation type="list" errorStyle="information" allowBlank="1" showInputMessage="1" showErrorMessage="1" sqref="B28:H28">
      <formula1>ListRating</formula1>
    </dataValidation>
    <dataValidation type="list" errorStyle="information" allowBlank="1" showInputMessage="1" showErrorMessage="1" sqref="B21:H21 B24:H25 B32:H32">
      <formula1>"YES, NO"</formula1>
    </dataValidation>
    <dataValidation errorStyle="information" allowBlank="1" showInputMessage="1" showErrorMessage="1" sqref="B39:H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4" customWidth="1" collapsed="1"/>
    <col min="2" max="2" width="36.85546875" style="14" customWidth="1" collapsed="1"/>
    <col min="3" max="3" width="9.140625" style="14" collapsed="1"/>
    <col min="4" max="4" width="54.42578125" style="14" customWidth="1" collapsed="1"/>
    <col min="5" max="5" width="33" style="14" customWidth="1" collapsed="1"/>
    <col min="6" max="6" width="9.140625" style="14" customWidth="1" collapsed="1"/>
    <col min="7" max="7" width="255.7109375" style="14" customWidth="1" collapsed="1"/>
    <col min="8" max="8" width="22.85546875" style="14" customWidth="1" collapsed="1"/>
    <col min="10" max="10" width="142.7109375" style="22" customWidth="1" collapsed="1"/>
    <col min="11" max="11" width="21.85546875" style="14" customWidth="1" collapsed="1"/>
    <col min="12" max="12" width="9.140625" style="14" collapsed="1"/>
    <col min="13" max="13" width="115" style="23" customWidth="1" collapsed="1"/>
    <col min="14" max="14" width="44.28515625" style="17" customWidth="1" collapsed="1"/>
    <col min="15" max="15" width="9.140625" style="14" collapsed="1"/>
    <col min="16" max="16" width="108.85546875" style="23" customWidth="1" collapsed="1"/>
    <col min="17" max="17" width="14.7109375" style="17" customWidth="1" collapsed="1"/>
    <col min="19" max="19" width="105.42578125" style="14" customWidth="1" collapsed="1"/>
    <col min="20" max="20" width="40.5703125" style="14" customWidth="1" collapsed="1"/>
    <col min="21" max="21" width="9.140625" style="14" collapsed="1"/>
    <col min="22" max="22" width="38.7109375" style="14" customWidth="1" collapsed="1"/>
    <col min="23" max="23" width="46.7109375" style="17" customWidth="1" collapsed="1"/>
    <col min="24" max="24" width="9.140625" style="14" collapsed="1"/>
    <col min="25" max="25" width="34.28515625" style="14" customWidth="1" collapsed="1"/>
    <col min="26" max="26" width="38.28515625" style="14" bestFit="1" customWidth="1" collapsed="1"/>
    <col min="27" max="27" width="9.140625" style="14" collapsed="1"/>
    <col min="28" max="28" width="29.28515625" style="14" customWidth="1" collapsed="1"/>
    <col min="29" max="29" width="30.85546875" style="14" customWidth="1" collapsed="1"/>
    <col min="31" max="31" width="40.140625" style="14" customWidth="1" collapsed="1"/>
    <col min="32" max="32" width="15" style="14" customWidth="1" collapsed="1"/>
    <col min="33" max="33" width="9.140625" style="14" collapsed="1"/>
    <col min="34" max="34" width="20.28515625" style="14" customWidth="1" collapsed="1"/>
    <col min="35" max="35" width="28.7109375" style="14" customWidth="1" collapsed="1"/>
    <col min="36" max="36" width="9.140625" style="14" collapsed="1"/>
    <col min="37" max="37" width="112.5703125" style="14" customWidth="1" collapsed="1"/>
    <col min="38" max="38" width="36.85546875" style="14"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3105</v>
      </c>
      <c r="AT1" s="19" t="s">
        <v>3106</v>
      </c>
      <c r="AV1" s="19" t="s">
        <v>3367</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3107</v>
      </c>
      <c r="AT2" s="25" t="s">
        <v>3108</v>
      </c>
      <c r="AV2" s="25" t="s">
        <v>3370</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3109</v>
      </c>
      <c r="AT3" s="25" t="s">
        <v>3110</v>
      </c>
      <c r="AV3" s="25" t="s">
        <v>3371</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3111</v>
      </c>
      <c r="AT4" s="25" t="s">
        <v>3112</v>
      </c>
      <c r="AV4" s="25" t="s">
        <v>3372</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3113</v>
      </c>
      <c r="AT5" s="25" t="s">
        <v>3114</v>
      </c>
      <c r="AV5" s="25" t="s">
        <v>3373</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3115</v>
      </c>
      <c r="AT6" s="25" t="s">
        <v>3116</v>
      </c>
      <c r="AV6" s="25" t="s">
        <v>3374</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3117</v>
      </c>
      <c r="AT7" s="25" t="s">
        <v>3118</v>
      </c>
      <c r="AV7" s="25" t="s">
        <v>3375</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3119</v>
      </c>
      <c r="AT8" s="25" t="s">
        <v>3120</v>
      </c>
      <c r="AV8" s="25" t="s">
        <v>3376</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3121</v>
      </c>
      <c r="AT9" s="25" t="s">
        <v>3122</v>
      </c>
      <c r="AV9" s="25" t="s">
        <v>3368</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3123</v>
      </c>
      <c r="AT10" s="25" t="s">
        <v>3124</v>
      </c>
      <c r="AV10" s="25" t="s">
        <v>3377</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3125</v>
      </c>
      <c r="AT11" s="25" t="s">
        <v>3126</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3127</v>
      </c>
      <c r="AT12" s="25" t="s">
        <v>3128</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3129</v>
      </c>
      <c r="AT13" s="25" t="s">
        <v>3130</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3131</v>
      </c>
      <c r="AT14" s="25" t="s">
        <v>3132</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3133</v>
      </c>
      <c r="AT15" s="25" t="s">
        <v>3134</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3135</v>
      </c>
      <c r="AT16" s="25" t="s">
        <v>3136</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3137</v>
      </c>
      <c r="AT17" s="25" t="s">
        <v>3138</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3139</v>
      </c>
      <c r="AT18" s="25" t="s">
        <v>3140</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3141</v>
      </c>
      <c r="AT19" s="25" t="s">
        <v>3142</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3143</v>
      </c>
      <c r="AT20" s="25" t="s">
        <v>3144</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3145</v>
      </c>
      <c r="AT21" s="25" t="s">
        <v>3146</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3147</v>
      </c>
      <c r="AT22" s="25" t="s">
        <v>3148</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3149</v>
      </c>
      <c r="AT23" s="25" t="s">
        <v>3150</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3151</v>
      </c>
      <c r="AT24" s="25" t="s">
        <v>3152</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3153</v>
      </c>
      <c r="AT25" s="25" t="s">
        <v>3154</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3155</v>
      </c>
      <c r="AT26" s="25" t="s">
        <v>3156</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3157</v>
      </c>
      <c r="AT27" s="25" t="s">
        <v>3158</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3159</v>
      </c>
      <c r="AT28" s="25" t="s">
        <v>3160</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3161</v>
      </c>
      <c r="AT29" s="25" t="s">
        <v>3162</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3163</v>
      </c>
      <c r="AT30" s="25" t="s">
        <v>3164</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3165</v>
      </c>
      <c r="AT31" s="25" t="s">
        <v>3166</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3167</v>
      </c>
      <c r="AT32" s="25" t="s">
        <v>3168</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3169</v>
      </c>
      <c r="AT33" s="25" t="s">
        <v>3170</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3171</v>
      </c>
      <c r="AT34" s="25" t="s">
        <v>3172</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3173</v>
      </c>
      <c r="AT35" s="25" t="s">
        <v>3174</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3175</v>
      </c>
      <c r="AT36" s="25" t="s">
        <v>3176</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3177</v>
      </c>
      <c r="AT37" s="25" t="s">
        <v>3178</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3179</v>
      </c>
      <c r="AT38" s="25" t="s">
        <v>3180</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3181</v>
      </c>
      <c r="AT39" s="25" t="s">
        <v>3182</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3183</v>
      </c>
      <c r="AT40" s="25" t="s">
        <v>3184</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3185</v>
      </c>
      <c r="AT41" s="25" t="s">
        <v>3186</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3187</v>
      </c>
      <c r="AT42" s="25" t="s">
        <v>3188</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3189</v>
      </c>
      <c r="AT43" s="25" t="s">
        <v>3190</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3191</v>
      </c>
      <c r="AT44" s="25" t="s">
        <v>3192</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3193</v>
      </c>
      <c r="AT45" s="25" t="s">
        <v>3194</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3195</v>
      </c>
      <c r="AT46" s="25" t="s">
        <v>3196</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3197</v>
      </c>
      <c r="AT47" s="25" t="s">
        <v>3198</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3199</v>
      </c>
      <c r="AT48" s="25" t="s">
        <v>3200</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3201</v>
      </c>
      <c r="AT49" s="25" t="s">
        <v>3202</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3203</v>
      </c>
      <c r="AT50" s="25" t="s">
        <v>3204</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3205</v>
      </c>
      <c r="AT51" s="25" t="s">
        <v>3206</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3207</v>
      </c>
      <c r="AT52" s="25" t="s">
        <v>3208</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3209</v>
      </c>
      <c r="AT53" s="25" t="s">
        <v>3210</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3211</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3212</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3213</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3214</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3215</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3216</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3217</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3218</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3219</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3220</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3221</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3222</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3223</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3224</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3225</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3226</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3227</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3228</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3229</v>
      </c>
      <c r="AT72" s="25" t="s">
        <v>3230</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3231</v>
      </c>
      <c r="AT73" s="25" t="s">
        <v>3232</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3233</v>
      </c>
      <c r="AT74" s="25" t="s">
        <v>3234</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3235</v>
      </c>
      <c r="AT75" s="25" t="s">
        <v>3236</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3237</v>
      </c>
      <c r="AT76" s="25" t="s">
        <v>3238</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3239</v>
      </c>
      <c r="AT77" s="25" t="s">
        <v>3240</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3241</v>
      </c>
      <c r="AT78" s="25" t="s">
        <v>3242</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3243</v>
      </c>
      <c r="AT79" s="25" t="s">
        <v>3244</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3245</v>
      </c>
      <c r="AT80" s="25" t="s">
        <v>3246</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3247</v>
      </c>
      <c r="AT81" s="25" t="s">
        <v>3248</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3249</v>
      </c>
      <c r="AT82" s="25" t="s">
        <v>3250</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3251</v>
      </c>
      <c r="AT83" s="25" t="s">
        <v>3252</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3253</v>
      </c>
      <c r="AT84" s="25" t="s">
        <v>3254</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3255</v>
      </c>
      <c r="AT85" s="25" t="s">
        <v>3256</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3257</v>
      </c>
      <c r="AT86" s="25" t="s">
        <v>3258</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3259</v>
      </c>
      <c r="AT87" s="25" t="s">
        <v>3260</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3261</v>
      </c>
      <c r="AT88" s="25" t="s">
        <v>3262</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3263</v>
      </c>
      <c r="AT89" s="25" t="s">
        <v>3264</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3265</v>
      </c>
      <c r="AT90" s="25" t="s">
        <v>3266</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3267</v>
      </c>
      <c r="AT91" s="25" t="s">
        <v>3268</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3269</v>
      </c>
      <c r="AT92" s="25" t="s">
        <v>3270</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3271</v>
      </c>
      <c r="AT93" s="25" t="s">
        <v>3272</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3273</v>
      </c>
      <c r="AT94" s="25" t="s">
        <v>3274</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3275</v>
      </c>
      <c r="AT95" s="25" t="s">
        <v>3276</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3277</v>
      </c>
      <c r="AT96" s="25" t="s">
        <v>3278</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3111</v>
      </c>
      <c r="AT97" s="25" t="s">
        <v>3279</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3113</v>
      </c>
      <c r="AT98" s="25" t="s">
        <v>3280</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3281</v>
      </c>
      <c r="AT99" s="25" t="s">
        <v>3282</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3283</v>
      </c>
      <c r="AT100" s="25" t="s">
        <v>3284</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3285</v>
      </c>
      <c r="AT101" s="25" t="s">
        <v>3286</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3287</v>
      </c>
      <c r="AT102" s="25" t="s">
        <v>3288</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3289</v>
      </c>
      <c r="AT103" s="25" t="s">
        <v>3290</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3123</v>
      </c>
      <c r="AT104" s="25" t="s">
        <v>3291</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3292</v>
      </c>
      <c r="AT105" s="25" t="s">
        <v>3293</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3294</v>
      </c>
      <c r="AT106" s="25" t="s">
        <v>3295</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3296</v>
      </c>
      <c r="AT107" s="25" t="s">
        <v>3297</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3298</v>
      </c>
      <c r="AT108" s="25" t="s">
        <v>3299</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3163</v>
      </c>
      <c r="AT109" s="25" t="s">
        <v>3300</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3214</v>
      </c>
      <c r="AT110" s="25" t="s">
        <v>3301</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3302</v>
      </c>
      <c r="AT111" s="25" t="s">
        <v>3303</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3304</v>
      </c>
      <c r="AT112" s="25" t="s">
        <v>3305</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3306</v>
      </c>
      <c r="AT113" s="25" t="s">
        <v>3307</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3233</v>
      </c>
      <c r="AT114" s="25" t="s">
        <v>3308</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3309</v>
      </c>
      <c r="AT115" s="25" t="s">
        <v>3310</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3311</v>
      </c>
      <c r="AT116" s="25" t="s">
        <v>3312</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3313</v>
      </c>
      <c r="AT117" s="25" t="s">
        <v>3314</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3315</v>
      </c>
      <c r="AT118" s="25" t="s">
        <v>3316</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3277</v>
      </c>
      <c r="AT119" s="25" t="s">
        <v>3317</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3318</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3318</v>
      </c>
      <c r="AT121" s="25" t="s">
        <v>3319</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3320</v>
      </c>
      <c r="AT122" s="25" t="s">
        <v>3321</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3322</v>
      </c>
      <c r="AT123" s="25" t="s">
        <v>3323</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3324</v>
      </c>
      <c r="AT124" s="25" t="s">
        <v>3325</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3326</v>
      </c>
      <c r="AT125" s="25" t="s">
        <v>3327</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3328</v>
      </c>
      <c r="AT126" s="25" t="s">
        <v>3329</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3330</v>
      </c>
      <c r="AT127" s="25" t="s">
        <v>3331</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3332</v>
      </c>
      <c r="AT128" s="25" t="s">
        <v>3333</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3334</v>
      </c>
      <c r="AT129" s="25" t="s">
        <v>3335</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3336</v>
      </c>
      <c r="AT130" s="25" t="s">
        <v>3337</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3338</v>
      </c>
      <c r="AT131" s="25" t="s">
        <v>3339</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3340</v>
      </c>
      <c r="AT132" s="25" t="s">
        <v>3340</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3341</v>
      </c>
      <c r="AT133" s="25" t="s">
        <v>3342</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3343</v>
      </c>
      <c r="AT134" s="25" t="s">
        <v>3344</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3345</v>
      </c>
      <c r="AT135" s="25" t="s">
        <v>3346</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3347</v>
      </c>
      <c r="AT136" s="25" t="s">
        <v>3348</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3349</v>
      </c>
      <c r="AT137" s="25" t="s">
        <v>3350</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3351</v>
      </c>
      <c r="AT138" s="25" t="s">
        <v>3352</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3353</v>
      </c>
      <c r="AT139" s="25" t="s">
        <v>3354</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3355</v>
      </c>
      <c r="AT140" s="25" t="s">
        <v>3356</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3357</v>
      </c>
      <c r="AT141" s="25" t="s">
        <v>3358</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3359</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3360</v>
      </c>
      <c r="AT143" s="25" t="s">
        <v>3361</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3362</v>
      </c>
      <c r="AT144" s="25" t="s">
        <v>3362</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3363</v>
      </c>
      <c r="AT145" s="25" t="s">
        <v>3364</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3365</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3366</v>
      </c>
      <c r="AT147" s="25" t="s">
        <v>3366</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2023-01-05T08:32:47Z</cp:lastPrinted>
  <dcterms:created xsi:type="dcterms:W3CDTF">2022-05-18T03:15:26Z</dcterms:created>
  <dcterms:modified xsi:type="dcterms:W3CDTF">2023-02-22T07:20:14Z</dcterms:modified>
</cp:coreProperties>
</file>