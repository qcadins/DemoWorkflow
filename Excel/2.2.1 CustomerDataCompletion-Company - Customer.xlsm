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
    </mc:Choice>
  </mc:AlternateContent>
  <bookViews>
    <workbookView activeTab="3" firstSheet="2" windowHeight="5850" windowWidth="20490" xWindow="0" yWindow="0"/>
  </bookViews>
  <sheets>
    <sheet name="1.CustomerDetail" r:id="rId1" sheetId="1"/>
    <sheet name="2.AddressInformation" r:id="rId2" sheetId="2"/>
    <sheet name="3.ContactInformation" r:id="rId3" sheetId="3"/>
    <sheet name="4.FinancialData" r:id="rId4" sheetId="4"/>
    <sheet name="5.CustomerAsset" r:id="rId5" sheetId="5"/>
    <sheet name="6.LegalDocument" r:id="rId6" sheetId="6"/>
    <sheet name="7.OtherAttribute" r:id="rId7" sheetId="7"/>
    <sheet name="Master" r:id="rId8" sheetId="8"/>
  </sheets>
  <externalReferences>
    <externalReference r:id="rId9"/>
  </externalReferences>
  <definedNames>
    <definedName hidden="1" localSheetId="7" name="ExternalData_1">Master!$A$1:$B$315</definedName>
    <definedName hidden="1" localSheetId="7" name="ExternalData_10">Master!$AB$1:$AC$9</definedName>
    <definedName hidden="1" localSheetId="7" name="ExternalData_11">Master!$AE$1:$AF$2</definedName>
    <definedName hidden="1" localSheetId="7" name="ExternalData_12">Master!$AH$1:$AI$8</definedName>
    <definedName hidden="1" localSheetId="7" name="ExternalData_13">Master!$AK$1:$AL$261</definedName>
    <definedName hidden="1" localSheetId="7" name="ExternalData_14">Master!$AN$1:$AO$8</definedName>
    <definedName hidden="1" localSheetId="7" name="ExternalData_15">Master!$AQ$1:$AQ$30</definedName>
    <definedName hidden="1" localSheetId="7" name="ExternalData_16">Master!$AS$1:$AT$147</definedName>
    <definedName hidden="1" localSheetId="7" name="ExternalData_17">Master!$AV$1:$AV$10</definedName>
    <definedName hidden="1" localSheetId="7" name="ExternalData_2">Master!$D$1:$E$6</definedName>
    <definedName hidden="1" localSheetId="7" name="ExternalData_3">Master!$G$1:$H$175</definedName>
    <definedName hidden="1" localSheetId="7" name="ExternalData_4">Master!$J$1:$K$14</definedName>
    <definedName hidden="1" localSheetId="7" name="ExternalData_5">Master!$M$1:$N$193</definedName>
    <definedName hidden="1" localSheetId="7" name="ExternalData_6">Master!$P$1:$Q$16</definedName>
    <definedName hidden="1" localSheetId="7" name="ExternalData_7">Master!$S$1:$T$492</definedName>
    <definedName hidden="1" localSheetId="7" name="ExternalData_8">Master!$V$1:$W$10</definedName>
    <definedName hidden="1" localSheetId="7" name="ExternalData_9">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uri="{140A7094-0E35-4892-8432-C4D2E57EDEB5}">
      <x15:workbookPr chartTrackingRefBase="1"/>
    </ext>
  </extLst>
</workbook>
</file>

<file path=xl/calcChain.xml><?xml version="1.0" encoding="utf-8"?>
<calcChain xmlns="http://schemas.openxmlformats.org/spreadsheetml/2006/main">
  <c i="4" l="1" r="C10"/>
  <c i="4" r="B10"/>
  <c i="2" l="1" r="D10"/>
  <c i="2" r="C10"/>
  <c i="2" r="D4"/>
  <c i="4" l="1" r="B4"/>
  <c i="4" r="D4"/>
  <c i="4" r="E4"/>
  <c i="4" r="C4"/>
  <c i="5" l="1" r="B4"/>
  <c i="2" l="1" r="C4"/>
  <c i="2" l="1" r="B4"/>
  <c i="1" r="B4"/>
  <c i="6" l="1" r="B4"/>
  <c i="3" r="B4"/>
  <c i="7" l="1" r="C12"/>
  <c i="7" r="C14"/>
  <c i="7" r="C16"/>
  <c i="7" r="C18"/>
  <c i="7" r="C22"/>
  <c i="7" r="C27"/>
  <c i="7" r="C30"/>
  <c i="7" r="C33"/>
  <c i="7" r="C35"/>
  <c i="7" r="C37"/>
  <c i="4" r="C66"/>
  <c i="4" r="D66"/>
  <c i="4" r="E66"/>
  <c i="1" r="C20"/>
  <c i="1" r="B12"/>
  <c i="4" l="1" r="C9"/>
  <c i="4" r="B9"/>
  <c i="2" r="D9"/>
  <c i="2" r="C9"/>
  <c i="4" r="B66"/>
  <c i="7" l="1" r="B12"/>
  <c i="7" r="B22"/>
  <c i="1" l="1" r="B20"/>
  <c i="7" r="B18"/>
  <c i="7" l="1" r="B27"/>
  <c i="7" r="B4" s="1"/>
  <c i="7" l="1" r="B35"/>
  <c i="7" r="B37"/>
  <c i="7" r="B33"/>
  <c i="7" r="B30"/>
  <c i="7" r="B16"/>
  <c i="7" r="B14"/>
</calcChain>
</file>

<file path=xl/comments1.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23"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16" shapeId="0">
      <text>
        <r>
          <rPr>
            <b/>
            <sz val="9"/>
            <color indexed="81"/>
            <rFont val="Tahoma"/>
            <family val="2"/>
          </rPr>
          <t>Jeremy Andreas:</t>
        </r>
        <r>
          <rPr>
            <sz val="9"/>
            <color indexed="81"/>
            <rFont val="Tahoma"/>
            <family val="2"/>
          </rPr>
          <t xml:space="preserve">
Format date dalam MM/DD/YYYY</t>
        </r>
      </text>
    </comment>
    <comment authorId="0" ref="A22"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35"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15"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authorId="0" ref="A29" shapeId="0">
      <text>
        <r>
          <rPr>
            <b/>
            <sz val="9"/>
            <color indexed="81"/>
            <rFont val="Tahoma"/>
            <family val="2"/>
          </rPr>
          <t>Jeremy Andreas:</t>
        </r>
        <r>
          <rPr>
            <sz val="9"/>
            <color indexed="81"/>
            <rFont val="Tahoma"/>
            <family val="2"/>
          </rPr>
          <t xml:space="preserve">
Format MM/DD/YYYY</t>
        </r>
      </text>
    </comment>
    <comment authorId="0" ref="A39"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<sst xmlns="http://schemas.openxmlformats.org/spreadsheetml/2006/main" count="3783" uniqueCount="3518">
  <si>
    <t>Customer Group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</si>
  <si>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</si>
  <si>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</si>
  <si>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</si>
  <si>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</si>
  <si>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</si>
  <si>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</si>
  <si>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</si>
  <si>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</si>
  <si>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</si>
  <si>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</si>
  <si>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</si>
  <si>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</si>
  <si>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</si>
  <si>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</si>
  <si>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</si>
  <si>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</si>
  <si>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</si>
  <si>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</si>
  <si>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</si>
  <si>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</si>
  <si>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</si>
  <si>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</si>
  <si>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</si>
  <si>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</si>
  <si>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</si>
  <si>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</si>
  <si>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</si>
  <si>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</si>
  <si>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</si>
  <si>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</si>
  <si>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</si>
  <si>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</si>
  <si>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</si>
  <si>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</si>
  <si>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</si>
  <si>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</si>
  <si>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</si>
  <si>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</si>
  <si>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</si>
  <si>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</si>
  <si>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</si>
  <si>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</si>
  <si>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</si>
  <si>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</si>
  <si>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</si>
  <si>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</si>
  <si>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</si>
  <si>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</si>
  <si>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</si>
  <si>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</si>
  <si>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</si>
  <si>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</si>
  <si>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</si>
  <si>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</si>
  <si>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</si>
  <si>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</si>
  <si>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</si>
  <si>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</si>
  <si>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</si>
  <si>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</si>
  <si>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</si>
  <si>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</si>
  <si>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</si>
  <si>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</si>
  <si>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</si>
  <si>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</si>
  <si>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</si>
  <si>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</si>
  <si>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</si>
  <si>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</si>
  <si>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</si>
  <si>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Bank Name</t>
  </si>
  <si>
    <t>Bank Branch</t>
  </si>
  <si>
    <t>Account Name</t>
  </si>
  <si>
    <t>Account No</t>
  </si>
  <si>
    <t>is Default</t>
  </si>
  <si>
    <t>is Active</t>
  </si>
  <si>
    <t>Beginning Balance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</si>
  <si>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</si>
  <si>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</si>
  <si>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</si>
  <si>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</si>
  <si>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</si>
  <si>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</si>
  <si>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</si>
  <si>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</si>
  <si>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</si>
  <si>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</si>
  <si>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</si>
  <si>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</si>
  <si>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</si>
  <si>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</si>
  <si>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</si>
  <si>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</si>
  <si>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</si>
  <si>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</si>
  <si>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</si>
  <si>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</si>
  <si>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</si>
  <si>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</si>
  <si>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</si>
  <si>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</si>
  <si>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</si>
  <si>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</si>
  <si>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</si>
  <si>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</si>
  <si>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</si>
  <si>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</si>
  <si>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</si>
  <si>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</si>
  <si>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</si>
  <si>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</si>
  <si>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</si>
  <si>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</si>
  <si>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</si>
  <si>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</si>
  <si>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</si>
  <si>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</si>
  <si>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</si>
  <si>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</si>
  <si>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</si>
  <si>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</si>
  <si>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</si>
  <si>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</si>
  <si>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</si>
  <si>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</si>
  <si>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</si>
  <si>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</si>
  <si>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</si>
  <si>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</si>
  <si>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</si>
  <si>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</si>
  <si>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</si>
  <si>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</si>
  <si>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</si>
  <si>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</si>
  <si>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</si>
  <si>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</si>
  <si>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</si>
  <si>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</si>
  <si>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</si>
  <si>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</si>
  <si>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</si>
  <si>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</si>
  <si>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</si>
  <si>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</si>
  <si>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</si>
  <si>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</si>
  <si>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</si>
  <si>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</si>
  <si>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</si>
  <si>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</si>
  <si>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</si>
  <si>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</si>
  <si>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</si>
  <si>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</si>
  <si>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</si>
  <si>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</si>
  <si>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</si>
  <si>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</si>
  <si>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</si>
  <si>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</si>
  <si>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</si>
  <si>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</si>
  <si>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</si>
  <si>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</si>
  <si>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</si>
  <si>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</si>
  <si>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</si>
  <si>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</si>
  <si>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</si>
  <si>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</si>
  <si>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</si>
  <si>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</si>
  <si>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</si>
  <si>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</si>
  <si>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</si>
  <si>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</si>
  <si>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</si>
  <si>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</si>
  <si>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</si>
  <si>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</si>
  <si>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</si>
  <si>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</si>
  <si>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</si>
  <si>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</si>
  <si>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</si>
  <si>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</si>
  <si>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</si>
  <si>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</si>
  <si>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</si>
  <si>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</si>
  <si>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</si>
  <si>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</si>
  <si>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</si>
  <si>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</si>
  <si>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</si>
  <si>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</si>
  <si>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</si>
  <si>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</si>
  <si>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</si>
  <si>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</si>
  <si>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</si>
  <si>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</si>
  <si>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</si>
  <si>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</si>
  <si>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</si>
  <si>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</si>
  <si>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</si>
  <si>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</si>
  <si>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</si>
  <si>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</si>
  <si>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</si>
  <si>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</si>
  <si>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</si>
  <si>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</si>
  <si>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</si>
  <si>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</si>
  <si>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</si>
  <si>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</si>
  <si>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</si>
  <si>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</si>
  <si>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</si>
  <si>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</si>
  <si>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</si>
  <si>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</si>
  <si>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</si>
  <si>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</si>
  <si>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</si>
  <si>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</si>
  <si>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</si>
  <si>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</si>
  <si>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</si>
  <si>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</si>
  <si>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</si>
  <si>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</si>
  <si>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</si>
  <si>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</si>
  <si>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</si>
  <si>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</si>
  <si>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</si>
  <si>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</si>
  <si>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</si>
  <si>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</si>
  <si>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</si>
  <si>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</si>
  <si>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</si>
  <si>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</si>
  <si>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</si>
  <si>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</si>
  <si>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</si>
  <si>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</si>
  <si>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</si>
  <si>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</si>
  <si>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</si>
  <si>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</si>
  <si>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</si>
  <si>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</si>
  <si>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</si>
  <si>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</si>
  <si>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</si>
  <si>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</si>
  <si>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</si>
  <si>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</si>
  <si>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</si>
  <si>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</si>
  <si>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</si>
  <si>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</si>
  <si>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</si>
  <si>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</si>
  <si>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</si>
  <si>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</si>
  <si>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</si>
  <si>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</si>
  <si>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</si>
  <si>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</si>
  <si>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</si>
  <si>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</si>
  <si>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</si>
  <si>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</si>
  <si>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</si>
  <si>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</si>
  <si>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</si>
  <si>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</si>
  <si>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</si>
  <si>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</si>
  <si>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</si>
  <si>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</si>
  <si>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</si>
  <si>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</si>
  <si>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</si>
  <si>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</si>
  <si>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</si>
  <si>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</si>
  <si>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</si>
  <si>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</si>
  <si>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</si>
  <si>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</si>
  <si>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</si>
  <si>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</si>
  <si>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</si>
  <si>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</si>
  <si>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</si>
  <si>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</si>
  <si>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</si>
  <si>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</si>
  <si>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</si>
  <si>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</si>
  <si>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</si>
  <si>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</si>
  <si>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</si>
  <si>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</si>
  <si>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</si>
  <si>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</si>
  <si>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</si>
  <si>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</si>
  <si>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</si>
  <si>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</si>
  <si>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</si>
  <si>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</si>
  <si>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</si>
  <si>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</si>
  <si>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</si>
  <si>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</si>
  <si>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</si>
  <si>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</si>
  <si>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</si>
  <si>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</si>
  <si>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</si>
  <si>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</si>
  <si>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</si>
  <si>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</si>
  <si>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</si>
  <si>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</si>
  <si>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</si>
  <si>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</si>
  <si>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</si>
  <si>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</si>
  <si>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</si>
  <si>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</si>
  <si>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</si>
  <si>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</si>
  <si>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</si>
  <si>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</si>
  <si>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</si>
  <si>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</si>
  <si>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</si>
  <si>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</si>
  <si>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</si>
  <si>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</si>
  <si>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</si>
  <si>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</si>
  <si>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</si>
  <si>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</si>
  <si>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</si>
  <si>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</si>
  <si>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</si>
  <si>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</si>
  <si>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</si>
  <si>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</si>
  <si>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</si>
  <si>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</si>
  <si>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</si>
  <si>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</si>
  <si>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</si>
  <si>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</si>
  <si>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</si>
  <si>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</si>
  <si>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</si>
  <si>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</si>
  <si>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</si>
  <si>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</si>
  <si>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</si>
  <si>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</si>
  <si>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</si>
  <si>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</si>
  <si>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</si>
  <si>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</si>
  <si>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</si>
  <si>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</si>
  <si>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</si>
  <si>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</si>
  <si>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</si>
  <si>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</si>
  <si>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</si>
  <si>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</si>
  <si>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</si>
  <si>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</si>
  <si>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</si>
  <si>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</si>
  <si>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</si>
  <si>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</si>
  <si>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</si>
  <si>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</si>
  <si>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</si>
  <si>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</si>
  <si>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</si>
  <si>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</si>
  <si>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</si>
  <si>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</si>
  <si>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</si>
  <si>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</si>
  <si>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</si>
  <si>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</si>
  <si>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</si>
  <si>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</si>
  <si>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</si>
  <si>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</si>
  <si>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</si>
  <si>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</si>
  <si>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</si>
  <si>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</si>
  <si>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</si>
  <si>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</si>
  <si>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</si>
  <si>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</si>
  <si>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</si>
  <si>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</si>
  <si>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</si>
  <si>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</si>
  <si>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</si>
  <si>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</si>
  <si>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</si>
  <si>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</si>
  <si>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</si>
  <si>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</si>
  <si>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</si>
  <si>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</si>
  <si>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</si>
  <si>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</si>
  <si>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</si>
  <si>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</si>
  <si>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</si>
  <si>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</si>
  <si>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</si>
  <si>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</si>
  <si>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</si>
  <si>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</si>
  <si>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</si>
  <si>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</si>
  <si>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</si>
  <si>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</si>
  <si>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</si>
  <si>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</si>
  <si>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</si>
  <si>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</si>
  <si>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</si>
  <si>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</si>
  <si>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</si>
  <si>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</si>
  <si>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</si>
  <si>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</si>
  <si>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</si>
  <si>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</si>
  <si>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</si>
  <si>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</si>
  <si>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</si>
  <si>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</si>
  <si>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</si>
  <si>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</si>
  <si>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</si>
  <si>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</si>
  <si>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</si>
  <si>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</si>
  <si>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</si>
  <si>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</si>
  <si>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</si>
  <si>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</si>
  <si>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</si>
  <si>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</si>
  <si>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</si>
  <si>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</si>
  <si>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</si>
  <si>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</si>
  <si>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</si>
  <si>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</si>
  <si>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</si>
  <si>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</si>
  <si>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</si>
  <si>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</si>
  <si>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</si>
  <si>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</si>
  <si>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</si>
  <si>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</si>
  <si>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</si>
  <si>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</si>
  <si>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</si>
  <si>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</si>
  <si>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</si>
  <si>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</si>
  <si>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</si>
  <si>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</si>
  <si>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</si>
  <si>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</si>
  <si>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</si>
  <si>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</si>
  <si>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</si>
  <si>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</si>
  <si>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</si>
  <si>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</si>
  <si>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</si>
  <si>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</si>
  <si>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</si>
  <si>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</si>
  <si>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</si>
  <si>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</si>
  <si>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</si>
  <si>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</si>
  <si>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</si>
  <si>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</si>
  <si>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</si>
  <si>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</si>
  <si>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</si>
  <si>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</si>
  <si>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</si>
  <si>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</si>
  <si>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</si>
  <si>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</si>
  <si>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</si>
  <si>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</si>
  <si>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</si>
  <si>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</si>
  <si>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</si>
  <si>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</si>
  <si>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</si>
  <si>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</si>
  <si>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</si>
  <si>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</si>
  <si>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</si>
  <si>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</si>
  <si>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</si>
  <si>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</si>
  <si>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</si>
  <si>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</si>
  <si>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</si>
  <si>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</si>
  <si>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</si>
  <si>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</si>
  <si>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</si>
  <si>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</si>
  <si>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</si>
  <si>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</si>
  <si>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</si>
  <si>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</si>
  <si>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</si>
  <si>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</si>
  <si>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</si>
  <si>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</si>
  <si>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</si>
  <si>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</si>
  <si>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</si>
  <si>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</si>
  <si>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</si>
  <si>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</si>
  <si>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</si>
  <si>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</si>
  <si>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</si>
  <si>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</si>
  <si>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</si>
  <si>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</si>
  <si>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</si>
  <si>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</si>
  <si>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</si>
  <si>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</si>
  <si>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</si>
  <si>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</si>
  <si>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</si>
  <si>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</si>
  <si>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</si>
  <si>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</si>
  <si>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</si>
  <si>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</si>
  <si>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</si>
  <si>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</si>
  <si>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</si>
  <si>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</si>
  <si>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</si>
  <si>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</si>
  <si>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</si>
  <si>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</si>
  <si>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</si>
  <si>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</si>
  <si>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</si>
  <si>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</si>
  <si>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</si>
  <si>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</si>
  <si>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</si>
  <si>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</si>
  <si>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</si>
  <si>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</si>
  <si>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</si>
  <si>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</si>
  <si>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</si>
  <si>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</si>
  <si>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</si>
  <si>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</si>
  <si>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</si>
  <si>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</si>
  <si>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</si>
  <si>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</si>
  <si>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</si>
  <si>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</si>
  <si>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</si>
  <si>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</si>
  <si>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</si>
  <si>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</si>
  <si>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</si>
  <si>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</si>
  <si>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</si>
  <si>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</si>
  <si>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</si>
  <si>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</si>
  <si>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</si>
  <si>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</si>
  <si>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</si>
  <si>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</si>
  <si>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</si>
  <si>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</si>
  <si>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</si>
  <si>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</si>
  <si>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</si>
  <si>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</si>
  <si>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</si>
  <si>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</si>
  <si>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</si>
  <si>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</si>
  <si>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</si>
  <si>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</si>
  <si>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</si>
  <si>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</si>
  <si>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</si>
  <si>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</si>
  <si>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</si>
  <si>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</si>
  <si>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</si>
  <si>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</si>
  <si>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</si>
  <si>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</si>
  <si>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</si>
  <si>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</si>
  <si>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</si>
  <si>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</si>
  <si>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</si>
  <si>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</si>
  <si>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</si>
  <si>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</si>
  <si>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</si>
  <si>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</si>
  <si>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</si>
  <si>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</si>
  <si>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</si>
  <si>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</si>
  <si>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</si>
  <si>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</si>
  <si>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</si>
  <si>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</si>
  <si>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</si>
  <si>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</si>
  <si>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</si>
  <si>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</si>
  <si>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</si>
  <si>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</si>
  <si>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</si>
  <si>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</si>
  <si>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</si>
  <si>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</si>
  <si>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</si>
  <si>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</si>
  <si>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</si>
  <si>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</si>
  <si>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</si>
  <si>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</si>
  <si>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</si>
  <si>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</si>
  <si>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</si>
  <si>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</si>
  <si>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</si>
  <si>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</si>
  <si>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</si>
  <si>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</si>
  <si>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</si>
  <si>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</si>
  <si>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</si>
  <si>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</si>
  <si>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</si>
  <si>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</si>
  <si>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</si>
  <si>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</si>
  <si>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</si>
  <si>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</si>
  <si>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</si>
  <si>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</si>
  <si>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</si>
  <si>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</si>
  <si>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</si>
  <si>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</si>
  <si>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</si>
  <si>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</si>
  <si>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</si>
  <si>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</si>
  <si>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</si>
  <si>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</si>
  <si>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</si>
  <si>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</si>
  <si>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</si>
  <si>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</si>
  <si>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</si>
  <si>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</si>
  <si>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</si>
  <si>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</si>
  <si>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</si>
  <si>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</si>
  <si>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</si>
  <si>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</si>
  <si>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</si>
  <si>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</si>
  <si>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</si>
  <si>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</si>
  <si>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</si>
  <si>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</si>
  <si>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</si>
  <si>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</si>
  <si>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</si>
  <si>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</si>
  <si>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</si>
  <si>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</si>
  <si>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</si>
  <si>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</si>
  <si>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</si>
  <si>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</si>
  <si>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</si>
  <si>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</si>
  <si>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</si>
  <si>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</si>
  <si>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</si>
  <si>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</si>
  <si>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</si>
  <si>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</si>
  <si>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</si>
  <si>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</si>
  <si>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</si>
  <si>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</si>
  <si>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</si>
  <si>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</si>
  <si>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</si>
  <si>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</si>
  <si>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</si>
  <si>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</si>
  <si>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</si>
  <si>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</si>
  <si>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</si>
  <si>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</si>
  <si>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</si>
  <si>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</si>
  <si>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</si>
  <si>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</si>
  <si>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</si>
  <si>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</si>
  <si>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</si>
  <si>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</si>
  <si>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</si>
  <si>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</si>
  <si>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</si>
  <si>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</si>
  <si>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</si>
  <si>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</si>
  <si>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</si>
  <si>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</si>
  <si>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</si>
  <si>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</si>
  <si>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</si>
  <si>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</si>
  <si>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</si>
  <si>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</si>
  <si>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</si>
  <si>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</si>
  <si>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</si>
  <si>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</si>
  <si>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</si>
  <si>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</si>
  <si>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</si>
  <si>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</si>
  <si>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</si>
  <si>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</si>
  <si>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</si>
  <si>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</si>
  <si>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</si>
  <si>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</si>
  <si>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</si>
  <si>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</si>
  <si>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</si>
  <si>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</si>
  <si>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</si>
  <si>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</si>
  <si>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</si>
  <si>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</si>
  <si>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</si>
  <si>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</si>
  <si>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</si>
  <si>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</si>
  <si>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</si>
  <si>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</si>
  <si>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</si>
  <si>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</si>
  <si>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</si>
  <si>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</si>
  <si>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</si>
  <si>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</si>
  <si>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</si>
  <si>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</si>
  <si>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</si>
  <si>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</si>
  <si>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</si>
  <si>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</si>
  <si>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</si>
  <si>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</si>
  <si>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</si>
  <si>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</si>
  <si>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</si>
  <si>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</si>
  <si>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</si>
  <si>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</si>
  <si>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</si>
  <si>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</si>
  <si>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</si>
  <si>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</si>
  <si>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</si>
  <si>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</si>
  <si>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</si>
  <si>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</si>
  <si>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</si>
  <si>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</si>
  <si>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</si>
  <si>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</si>
  <si>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</si>
  <si>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</si>
  <si>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</si>
  <si>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</si>
  <si>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</si>
  <si>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</si>
  <si>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</si>
  <si>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</si>
  <si>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</si>
  <si>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</si>
  <si>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</si>
  <si>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</si>
  <si>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</si>
  <si>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</si>
  <si>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</si>
  <si>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</si>
  <si>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</si>
  <si>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</si>
  <si>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</si>
  <si>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</si>
  <si>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</si>
  <si>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</si>
  <si>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</si>
  <si>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</si>
  <si>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</si>
  <si>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</si>
  <si>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</si>
  <si>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</si>
  <si>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</si>
  <si>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</si>
  <si>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</si>
  <si>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</si>
  <si>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</si>
  <si>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</si>
  <si>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</si>
  <si>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</si>
  <si>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</si>
  <si>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</si>
  <si>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</si>
  <si>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</si>
  <si>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</si>
  <si>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</si>
  <si>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</si>
  <si>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</si>
  <si>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</si>
  <si>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</si>
  <si>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</si>
  <si>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</si>
  <si>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</si>
  <si>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</si>
  <si>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</si>
  <si>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</si>
  <si>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</si>
  <si>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</si>
  <si>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</si>
  <si>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</si>
  <si>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</si>
  <si>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</si>
  <si>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</si>
  <si>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</si>
  <si>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</si>
  <si>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</si>
  <si>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</si>
  <si>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</si>
  <si>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</si>
  <si>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</si>
  <si>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</si>
  <si>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</si>
  <si>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</si>
  <si>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</si>
  <si>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</si>
  <si>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</si>
  <si>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</si>
  <si>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</si>
  <si>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</si>
  <si>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</si>
  <si>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</si>
  <si>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</si>
  <si>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</si>
  <si>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</si>
  <si>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</si>
  <si>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</si>
  <si>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</si>
  <si>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</si>
  <si>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</si>
  <si>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</si>
  <si>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</si>
  <si>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</si>
  <si>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</si>
  <si>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</si>
  <si>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</si>
  <si>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</si>
  <si>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</si>
  <si>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</si>
  <si>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</si>
  <si>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</si>
  <si>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</si>
  <si>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</si>
  <si>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</si>
  <si>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</si>
  <si>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</si>
  <si>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</si>
  <si>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</si>
  <si>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</si>
  <si>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</si>
  <si>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</si>
  <si>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</si>
  <si>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</si>
  <si>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</si>
  <si>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</si>
  <si>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</si>
  <si>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</si>
  <si>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</si>
  <si>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</si>
  <si>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</si>
  <si>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</si>
  <si>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</si>
  <si>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</si>
  <si>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</si>
  <si>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</si>
  <si>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</si>
  <si>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</si>
  <si>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</si>
  <si>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</si>
  <si>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</si>
  <si>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</si>
  <si>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</si>
  <si>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</si>
  <si>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</si>
  <si>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</si>
  <si>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</si>
  <si>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</si>
  <si>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</si>
  <si>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</si>
  <si>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</si>
  <si>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</si>
  <si>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</si>
  <si>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</si>
  <si>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</si>
  <si>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</si>
  <si>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</si>
  <si>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</si>
  <si>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</si>
  <si>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</si>
  <si>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</si>
  <si>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</si>
  <si>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</si>
  <si>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</si>
  <si>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</si>
  <si>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</si>
  <si>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</si>
  <si>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</si>
  <si>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</si>
  <si>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</si>
  <si>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</si>
  <si>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</si>
  <si>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</si>
  <si>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</si>
  <si>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</si>
  <si>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</si>
  <si>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</si>
  <si>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</si>
  <si>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</si>
  <si>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</si>
  <si>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</si>
  <si>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</si>
  <si>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</si>
  <si>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</si>
  <si>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</si>
  <si>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</si>
  <si>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</si>
  <si>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</si>
  <si>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</si>
  <si>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</si>
  <si>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</si>
  <si>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</si>
  <si>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</si>
  <si>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</si>
  <si>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</si>
  <si>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</si>
  <si>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</si>
  <si>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</si>
  <si>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</si>
  <si>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</si>
  <si>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</si>
  <si>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</si>
  <si>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</si>
  <si>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</si>
  <si>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</si>
  <si>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</si>
  <si>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</si>
  <si>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</si>
  <si>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</si>
  <si>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</si>
  <si>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</si>
  <si>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</si>
  <si>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</si>
  <si>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</si>
  <si>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</si>
  <si>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</si>
  <si>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</si>
  <si>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</si>
  <si>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</si>
  <si>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</si>
  <si>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</si>
  <si>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</si>
  <si>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</si>
  <si>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</si>
  <si>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</si>
  <si>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</si>
  <si>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</si>
  <si>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</si>
  <si>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</si>
  <si>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</si>
  <si>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</si>
  <si>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</si>
  <si>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</si>
  <si>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</si>
  <si>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</si>
  <si>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</si>
  <si>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</si>
  <si>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</si>
  <si>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</si>
  <si>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</si>
  <si>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</si>
  <si>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</si>
  <si>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</si>
  <si>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</si>
  <si>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</si>
  <si>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</si>
  <si>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</si>
  <si>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</si>
  <si>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</si>
  <si>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</si>
  <si>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</si>
  <si>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</si>
  <si>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</si>
  <si>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</si>
  <si>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</si>
  <si>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</si>
  <si>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</si>
  <si>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</si>
  <si>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</si>
  <si>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</si>
  <si>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</si>
  <si>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</si>
  <si>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</si>
  <si>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</si>
  <si>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</si>
  <si>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</si>
  <si>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</si>
  <si>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</si>
  <si>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</si>
  <si>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</si>
  <si>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</si>
  <si>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</si>
  <si>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</si>
  <si>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</si>
  <si>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</si>
  <si>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</si>
  <si>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</si>
  <si>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</si>
  <si>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</si>
  <si>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</si>
  <si>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</si>
  <si>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</si>
  <si>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</si>
  <si>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</si>
  <si>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</si>
  <si>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</si>
  <si>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</si>
  <si>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</si>
  <si>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</si>
  <si>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</si>
  <si>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</si>
  <si>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</si>
  <si>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</si>
  <si>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</si>
  <si>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</si>
  <si>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</si>
  <si>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</si>
  <si>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</si>
  <si>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</si>
  <si>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</si>
  <si>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</si>
  <si>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</si>
  <si>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</si>
  <si>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</si>
  <si>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</si>
  <si>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</si>
  <si>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</si>
  <si>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</si>
  <si>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</si>
  <si>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</si>
  <si>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</si>
  <si>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</si>
  <si>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</si>
  <si>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</si>
  <si>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</si>
  <si>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</si>
  <si>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</si>
  <si>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</si>
  <si>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</si>
  <si>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</si>
  <si>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</si>
  <si>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</si>
  <si>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</si>
  <si>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</si>
  <si>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</si>
  <si>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</si>
  <si>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</si>
  <si>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</si>
  <si>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</si>
  <si>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</si>
  <si>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</si>
  <si>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</si>
  <si>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</si>
  <si>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</si>
  <si>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</si>
  <si>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</si>
  <si>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</si>
  <si>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</si>
  <si>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</si>
  <si>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</si>
  <si>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</si>
  <si>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</si>
  <si>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</si>
  <si>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</si>
  <si>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</si>
  <si>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</si>
  <si>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</si>
  <si>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</si>
  <si>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</si>
  <si>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</si>
  <si>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</si>
  <si>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</si>
  <si>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</si>
  <si>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</si>
  <si>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</si>
  <si>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</si>
  <si>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</si>
  <si>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</si>
  <si>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</si>
  <si>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</si>
  <si>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</si>
  <si>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</si>
  <si>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</si>
  <si>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</si>
  <si>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</si>
  <si>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</si>
  <si>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</si>
  <si>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</si>
  <si>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</si>
  <si>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</si>
  <si>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</si>
  <si>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</si>
  <si>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</si>
  <si>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</si>
  <si>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</si>
  <si>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</si>
  <si>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</si>
  <si>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</si>
  <si>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</si>
  <si>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</si>
  <si>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</si>
  <si>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</si>
  <si>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</si>
  <si>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</si>
  <si>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</si>
  <si>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</si>
  <si>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</si>
  <si>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</si>
  <si>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</si>
  <si>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</si>
  <si>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</si>
  <si>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</si>
  <si>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</si>
  <si>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</si>
  <si>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</si>
  <si>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</si>
  <si>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</si>
  <si>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</si>
  <si>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</si>
  <si>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</si>
  <si>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</si>
  <si>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</si>
  <si>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</si>
  <si>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</si>
  <si>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</si>
  <si>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</si>
  <si>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</si>
  <si>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</si>
  <si>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</si>
  <si>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</si>
  <si>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</si>
  <si>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</si>
  <si>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</si>
  <si>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</si>
  <si>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</si>
  <si>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</si>
  <si>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</si>
  <si>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</si>
  <si>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</si>
  <si>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</si>
  <si>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</si>
  <si>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</si>
  <si>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</si>
  <si>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</si>
  <si>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</si>
  <si>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</si>
  <si>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</si>
  <si>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</si>
  <si>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</si>
  <si>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</si>
  <si>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</si>
  <si>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</si>
  <si>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</si>
  <si>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</si>
  <si>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</si>
  <si>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</si>
  <si>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</si>
  <si>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</si>
  <si>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</si>
  <si>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</si>
  <si>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</si>
  <si>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</si>
  <si>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</si>
  <si>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</si>
  <si>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</si>
  <si>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</si>
  <si>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</si>
  <si>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</si>
  <si>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</si>
  <si>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</si>
  <si>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</si>
  <si>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</si>
  <si>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</si>
  <si>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</si>
  <si>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</si>
  <si>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</si>
  <si>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</si>
  <si>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</si>
  <si>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</si>
  <si>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</si>
  <si>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</si>
  <si>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</si>
  <si>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</si>
  <si>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</si>
  <si>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</si>
  <si>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</si>
  <si>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</si>
  <si>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</si>
  <si>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</si>
  <si>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</si>
  <si>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</si>
  <si>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</si>
  <si>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</si>
  <si>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</si>
  <si>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</si>
  <si>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</si>
  <si>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</si>
  <si>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</si>
  <si>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</si>
  <si>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</si>
  <si>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</si>
  <si>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</si>
  <si>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</si>
  <si>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</si>
  <si>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</si>
  <si>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</si>
  <si>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</si>
  <si>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</si>
  <si>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</si>
  <si>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</si>
  <si>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</si>
  <si>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</si>
  <si>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</si>
  <si>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</si>
  <si>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</si>
  <si>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</si>
  <si>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</si>
  <si>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</si>
  <si>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</si>
  <si>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</si>
  <si>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</si>
  <si>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</si>
  <si>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</si>
  <si>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</si>
  <si>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</si>
  <si>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</si>
  <si>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</si>
  <si>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</si>
  <si>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</si>
  <si>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</si>
  <si>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</si>
  <si>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</si>
  <si>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</si>
  <si>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</si>
  <si>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</si>
  <si>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</si>
  <si>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</si>
  <si>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</si>
  <si>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</si>
  <si>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</si>
  <si>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</si>
  <si>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</si>
  <si>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</si>
  <si>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</si>
  <si>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</si>
  <si>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</si>
  <si>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</si>
  <si>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</si>
  <si>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</si>
  <si>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</si>
  <si>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</si>
  <si>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</si>
  <si>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</si>
  <si>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</si>
  <si>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</si>
  <si>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</si>
  <si>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</si>
  <si>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</si>
  <si>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</si>
  <si>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</si>
  <si>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</si>
  <si>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</si>
  <si>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</si>
  <si>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</si>
  <si>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</si>
  <si>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</si>
  <si>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</si>
  <si>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</si>
  <si>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</si>
  <si>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</si>
  <si>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</si>
  <si>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</si>
  <si>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</si>
  <si>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</si>
  <si>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</si>
  <si>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</si>
  <si>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</si>
  <si>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</si>
  <si>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</si>
  <si>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</si>
  <si>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</si>
  <si>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</si>
  <si>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</si>
  <si>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</si>
  <si>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</si>
  <si>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</si>
  <si>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</si>
  <si>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</si>
  <si>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</si>
  <si>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</si>
  <si>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</si>
  <si>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</si>
  <si>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</si>
  <si>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</si>
  <si>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</si>
  <si>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</si>
  <si>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</si>
  <si>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</si>
  <si>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</si>
  <si>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</si>
  <si>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</si>
  <si>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</si>
  <si>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</si>
  <si>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</si>
  <si>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</si>
  <si>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</si>
  <si>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</si>
  <si>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</si>
  <si>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</si>
  <si>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</si>
  <si>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</si>
  <si>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</si>
  <si>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</si>
  <si>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</si>
  <si>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</si>
  <si>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</si>
  <si>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</si>
  <si>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</si>
  <si>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</si>
  <si>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</si>
  <si>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</si>
  <si>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</si>
  <si>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</si>
  <si>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</si>
  <si>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</si>
  <si>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</si>
  <si>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</si>
  <si>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</si>
  <si>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</si>
  <si>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</si>
  <si>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</si>
  <si>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</si>
  <si>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</si>
  <si>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</si>
  <si>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</si>
  <si>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</si>
  <si>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</si>
  <si>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</si>
  <si>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</si>
  <si>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</si>
  <si>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</si>
  <si>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</si>
  <si>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</si>
  <si>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</si>
  <si>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</si>
  <si>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</si>
  <si>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</si>
  <si>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</si>
  <si>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</si>
  <si>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</si>
  <si>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</si>
  <si>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</si>
  <si>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</si>
  <si>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</si>
  <si>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</si>
  <si>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</si>
  <si>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</si>
  <si>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</si>
  <si>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</si>
  <si>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</si>
  <si>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</si>
  <si>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</si>
  <si>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</si>
  <si>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</si>
  <si>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</si>
  <si>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</si>
  <si>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</si>
  <si>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</si>
  <si>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</si>
  <si>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</si>
  <si>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</si>
  <si>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</si>
  <si>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</si>
  <si>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</si>
  <si>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</si>
  <si>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</si>
  <si>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</si>
  <si>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</si>
  <si>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</si>
  <si>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</si>
  <si>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</si>
  <si>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</si>
  <si>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</si>
  <si>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</si>
  <si>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</si>
  <si>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</si>
  <si>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</si>
  <si>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</si>
  <si>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</si>
  <si>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</si>
  <si>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</si>
  <si>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</si>
  <si>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</si>
  <si>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</si>
  <si>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</si>
  <si>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</si>
  <si>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</si>
  <si>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</si>
  <si>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</si>
  <si>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</si>
  <si>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</si>
  <si>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</si>
  <si>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</si>
  <si>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</si>
  <si>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</si>
  <si>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</si>
  <si>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</si>
  <si>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</si>
  <si>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</si>
  <si>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</si>
  <si>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</si>
  <si>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</si>
  <si>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</si>
  <si>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</si>
  <si>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</si>
  <si>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</si>
  <si>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</si>
  <si>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</si>
  <si>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</si>
  <si>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</si>
  <si>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</si>
  <si>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</si>
  <si>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</si>
  <si>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</si>
  <si>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</si>
  <si>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</si>
  <si>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</si>
  <si>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</si>
  <si>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</si>
  <si>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</si>
  <si>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</si>
  <si>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</si>
  <si>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</si>
  <si>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</si>
  <si>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</si>
  <si>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</si>
  <si>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</si>
  <si>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</si>
  <si>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</si>
  <si>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</si>
  <si>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</si>
  <si>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</si>
  <si>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</si>
  <si>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</si>
  <si>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</si>
  <si>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</si>
  <si>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</si>
  <si>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</si>
  <si>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</si>
  <si>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</si>
  <si>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</si>
  <si>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</si>
  <si>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</si>
  <si>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</si>
  <si>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</si>
  <si>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</si>
  <si>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</si>
  <si>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</si>
  <si>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</si>
  <si>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</si>
  <si>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</si>
  <si>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</si>
  <si>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</si>
  <si>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</si>
  <si>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</si>
  <si>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</si>
  <si>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</si>
  <si>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</si>
  <si>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</si>
  <si>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</si>
  <si>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</si>
  <si>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</si>
  <si>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</si>
  <si>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</si>
  <si>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</si>
  <si>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</si>
  <si>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</si>
  <si>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</si>
  <si>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</si>
  <si>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</si>
  <si>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</si>
  <si>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</si>
  <si>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</si>
  <si>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</si>
  <si>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</si>
  <si>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</si>
  <si>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</si>
  <si>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</si>
  <si>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</si>
  <si>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</si>
  <si>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</si>
  <si>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</si>
  <si>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</si>
  <si>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</si>
  <si>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</si>
  <si>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</si>
  <si>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</si>
  <si>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</si>
  <si>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</si>
  <si>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</si>
  <si>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</si>
  <si>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</si>
  <si>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</si>
  <si>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</si>
  <si>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</si>
  <si>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</si>
  <si>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</si>
  <si>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</si>
  <si>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</si>
  <si>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</si>
  <si>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</si>
  <si>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</si>
  <si>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</si>
  <si>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</si>
  <si>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</si>
  <si>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</si>
  <si>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</si>
  <si>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</si>
  <si>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</si>
  <si>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</si>
  <si>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</si>
  <si>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</si>
  <si>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</si>
  <si>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</si>
  <si>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</si>
  <si>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</si>
  <si>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</si>
  <si>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</si>
  <si>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</si>
  <si>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</si>
  <si>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</si>
  <si>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</si>
  <si>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</si>
  <si>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</si>
  <si>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</si>
  <si>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</si>
  <si>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</si>
  <si>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</si>
  <si>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</si>
  <si>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</si>
  <si>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</si>
  <si>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</si>
  <si>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</si>
  <si>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</si>
  <si>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</si>
  <si>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</si>
  <si>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</si>
  <si>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</si>
  <si>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</si>
  <si>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</si>
  <si>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</si>
  <si>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</si>
  <si>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</si>
  <si>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</si>
  <si>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</si>
  <si>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</si>
  <si>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</si>
  <si>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</si>
  <si>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</si>
  <si>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</si>
  <si>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</si>
  <si>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</si>
  <si>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</si>
  <si>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</si>
  <si>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</si>
  <si>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</si>
  <si>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</si>
  <si>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</si>
  <si>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</si>
  <si>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</si>
  <si>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</si>
  <si>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</si>
  <si>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</si>
  <si>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</si>
  <si>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</si>
  <si>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</si>
  <si>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</si>
  <si>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</si>
  <si>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</si>
  <si>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</si>
  <si>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</si>
  <si>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</si>
  <si>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</si>
  <si>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</si>
  <si>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</si>
  <si>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</si>
  <si>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</si>
  <si>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</si>
  <si>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</si>
  <si>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</si>
  <si>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</si>
  <si>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</si>
  <si>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</si>
  <si>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</si>
  <si>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</si>
  <si>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</si>
  <si>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</si>
  <si>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</si>
  <si>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</si>
  <si>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</si>
  <si>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</si>
  <si>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</si>
  <si>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</si>
  <si>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</si>
  <si>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</si>
  <si>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</si>
  <si>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</si>
  <si>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</si>
  <si>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</si>
  <si>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</si>
  <si>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</si>
  <si>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</si>
  <si>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</si>
  <si>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</si>
  <si>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</si>
  <si>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</si>
  <si>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</si>
  <si>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</si>
  <si>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</si>
  <si>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</si>
  <si>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</si>
  <si>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</si>
  <si>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</si>
  <si>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</si>
  <si>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</si>
  <si>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</si>
  <si>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</si>
  <si>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</si>
  <si>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</si>
  <si>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</si>
  <si>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</si>
  <si>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</si>
  <si>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</si>
  <si>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</si>
  <si>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</si>
  <si>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</si>
  <si>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</si>
  <si>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</si>
  <si>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</si>
  <si>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</si>
  <si>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</si>
  <si>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</si>
  <si>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</si>
  <si>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</si>
  <si>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</si>
  <si>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</si>
  <si>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</si>
  <si>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</si>
  <si>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</si>
  <si>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</si>
  <si>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</si>
  <si>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</si>
  <si>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</si>
  <si>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</si>
  <si>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</si>
  <si>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</si>
  <si>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</si>
  <si>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</si>
  <si>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</si>
  <si>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</si>
  <si>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</si>
  <si>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</si>
  <si>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</si>
  <si>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</si>
  <si>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</si>
  <si>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</si>
  <si>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</si>
  <si>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</si>
  <si>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</si>
  <si>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</si>
  <si>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</si>
  <si>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</si>
  <si>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</si>
  <si>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</si>
  <si>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</si>
  <si>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</si>
  <si>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</si>
  <si>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</si>
  <si>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</si>
  <si>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</si>
  <si>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</si>
  <si>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</si>
  <si>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</si>
  <si>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</si>
  <si>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</si>
  <si>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</si>
  <si>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</si>
  <si>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</si>
  <si>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</si>
  <si>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</si>
  <si>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</si>
  <si>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</si>
  <si>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</si>
  <si>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</si>
  <si>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</si>
  <si>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</si>
  <si>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</si>
  <si>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</si>
  <si>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</si>
  <si>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</si>
  <si>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</si>
  <si>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</si>
  <si>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</si>
  <si>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</si>
  <si>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</si>
  <si>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</si>
  <si>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</si>
  <si>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</si>
  <si>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</si>
  <si>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</si>
  <si>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</si>
  <si>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</si>
  <si>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</si>
  <si>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</si>
  <si>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</si>
  <si>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</si>
  <si>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</si>
  <si>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</si>
  <si>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</si>
  <si>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</si>
  <si>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</si>
  <si>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</si>
  <si>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</si>
  <si>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</si>
  <si>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</si>
  <si>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</si>
  <si>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</si>
  <si>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</si>
  <si>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</si>
  <si>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</si>
  <si>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</si>
  <si>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</si>
  <si>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</si>
  <si>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</si>
  <si>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</si>
  <si>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</si>
  <si>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</si>
  <si>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</si>
  <si>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</si>
  <si>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</si>
  <si>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</si>
  <si>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</si>
  <si>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</si>
  <si>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</si>
  <si>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</si>
  <si>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</si>
  <si>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</si>
  <si>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</si>
  <si>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</si>
  <si>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</si>
  <si>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</si>
  <si>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</si>
  <si>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</si>
  <si>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</si>
  <si>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</si>
  <si>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</si>
  <si>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</si>
  <si>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</si>
  <si>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</si>
  <si>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</si>
  <si>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</si>
  <si>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</si>
  <si>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</si>
  <si>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</si>
  <si>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</si>
  <si>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</si>
  <si>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</si>
  <si>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</si>
  <si>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</si>
  <si>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</si>
  <si>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</si>
  <si>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</si>
  <si>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</si>
  <si>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</si>
  <si>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</si>
  <si>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</si>
  <si>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</si>
  <si>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</si>
  <si>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</si>
  <si>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</si>
  <si>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</si>
  <si>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</si>
  <si>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</si>
  <si>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</si>
  <si>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</si>
  <si>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</si>
  <si>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</si>
  <si>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</si>
  <si>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</si>
  <si>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</si>
  <si>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</si>
  <si>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</si>
  <si>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</si>
  <si>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</si>
  <si>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</si>
  <si>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</si>
  <si>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</si>
  <si>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</si>
  <si>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</si>
  <si>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</si>
  <si>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</si>
  <si>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</si>
  <si>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</si>
  <si>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</si>
  <si>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</si>
  <si>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</si>
  <si>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</si>
  <si>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</si>
  <si>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</si>
  <si>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</si>
  <si>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</si>
  <si>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</si>
  <si>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</si>
  <si>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</si>
  <si>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</si>
  <si>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</si>
  <si>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</si>
  <si>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</si>
  <si>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</si>
  <si>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</si>
  <si>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</si>
  <si>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</si>
  <si>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</si>
  <si>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</si>
  <si>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</si>
  <si>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</si>
  <si>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</si>
  <si>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</si>
  <si>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</si>
  <si>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</si>
  <si>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</si>
  <si>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</si>
  <si>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</si>
  <si>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</si>
  <si>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</si>
  <si>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</si>
  <si>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</si>
  <si>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</si>
  <si>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</si>
  <si>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</si>
  <si>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</si>
  <si>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</si>
  <si>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</si>
  <si>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</si>
  <si>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</si>
  <si>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</si>
  <si>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</si>
  <si>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</si>
  <si>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</si>
  <si>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</si>
  <si>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</si>
  <si>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</si>
  <si>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</si>
  <si>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</si>
  <si>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</si>
  <si>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</si>
  <si>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</si>
  <si>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</si>
  <si>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</si>
  <si>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</si>
  <si>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</si>
  <si>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</si>
  <si>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</si>
  <si>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</si>
  <si>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</si>
  <si>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</si>
  <si>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</si>
  <si>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</si>
  <si>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</si>
  <si>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</si>
  <si>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</si>
  <si>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</si>
  <si>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</si>
  <si>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</si>
  <si>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</si>
  <si>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</si>
  <si>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</si>
  <si>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</si>
  <si>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</si>
  <si>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</si>
  <si>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</si>
  <si>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</si>
  <si>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</si>
  <si>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</si>
  <si>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</si>
  <si>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</si>
  <si>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</si>
  <si>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</si>
  <si>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</si>
  <si>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</si>
  <si>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</si>
  <si>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</si>
  <si>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</si>
  <si>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</si>
  <si>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</si>
  <si>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</si>
  <si>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</si>
  <si>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</si>
  <si>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</si>
  <si>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</si>
  <si>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</si>
  <si>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</si>
  <si>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</si>
  <si>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</si>
  <si>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</si>
  <si>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</si>
  <si>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</si>
  <si>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</si>
  <si>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</si>
  <si>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</si>
  <si>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</si>
  <si>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</si>
  <si>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</si>
  <si>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</si>
  <si>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</si>
  <si>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</si>
  <si>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</si>
  <si>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</si>
  <si>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</si>
  <si>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</si>
  <si>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</si>
  <si>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</si>
  <si>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</si>
  <si>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</si>
  <si>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</si>
  <si>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</si>
  <si>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</si>
  <si>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</si>
  <si>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</si>
  <si>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</si>
  <si>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</si>
  <si>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</si>
  <si>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</si>
  <si>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</si>
  <si>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</si>
  <si>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</si>
  <si>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</si>
  <si>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</si>
  <si>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</si>
  <si>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</si>
  <si>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</si>
  <si>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</si>
  <si>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</si>
  <si>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</si>
  <si>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</si>
  <si>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</si>
  <si>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</si>
  <si>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</si>
  <si>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</si>
  <si>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</si>
  <si>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</si>
  <si>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</si>
  <si>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</si>
  <si>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</si>
  <si>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</si>
  <si>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</si>
  <si>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</si>
  <si>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</si>
  <si>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</si>
  <si>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</si>
  <si>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</si>
  <si>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</si>
  <si>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</si>
  <si>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</si>
  <si>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</si>
  <si>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</si>
  <si>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</si>
  <si>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</si>
  <si>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</si>
  <si>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</si>
  <si>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</si>
  <si>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</si>
  <si>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</si>
  <si>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</si>
  <si>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</si>
  <si>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</si>
  <si>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</si>
  <si>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</si>
  <si>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</si>
  <si>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</si>
  <si>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</si>
  <si>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</si>
  <si>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</si>
  <si>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</si>
  <si>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</si>
  <si>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</si>
  <si>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</si>
  <si>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</si>
  <si>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</si>
  <si>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</si>
  <si>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</si>
  <si>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</si>
  <si>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</si>
  <si>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</si>
  <si>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</si>
  <si>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</si>
  <si>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</si>
  <si>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</si>
  <si>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</si>
  <si>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</si>
  <si>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</si>
  <si>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</si>
  <si>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</si>
  <si>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</si>
  <si>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</si>
  <si>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</si>
  <si>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</si>
  <si>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</si>
  <si>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</si>
  <si>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</si>
  <si>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</si>
  <si>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</si>
  <si>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</si>
  <si>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</si>
  <si>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</si>
  <si>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</si>
  <si>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</si>
  <si>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</si>
  <si>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</si>
  <si>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</si>
  <si>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</si>
  <si>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</si>
  <si>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</si>
  <si>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</si>
  <si>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</si>
  <si>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</si>
  <si>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</si>
  <si>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</si>
  <si>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</si>
  <si>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</si>
  <si>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</si>
  <si>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</si>
  <si>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</si>
  <si>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</si>
  <si>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</si>
  <si>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</si>
  <si>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</si>
  <si>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</si>
  <si>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</si>
  <si>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</si>
  <si>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</si>
  <si>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</si>
  <si>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</si>
  <si>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</si>
  <si>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</si>
  <si>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</si>
  <si>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</si>
  <si>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</si>
  <si>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</si>
  <si>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</si>
  <si>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</si>
  <si>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</si>
  <si>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</si>
  <si>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</si>
  <si>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</si>
  <si>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</si>
  <si>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</si>
  <si>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</si>
  <si>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</si>
  <si>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</si>
  <si>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</si>
  <si>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</si>
  <si>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</si>
  <si>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</si>
  <si>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</si>
  <si>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</si>
  <si>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</si>
  <si>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</si>
  <si>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</si>
  <si>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</si>
  <si>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</si>
  <si>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</si>
  <si>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</si>
  <si>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</si>
  <si>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</si>
  <si>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</si>
  <si>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</si>
  <si>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</si>
  <si>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</si>
  <si>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</si>
  <si>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</si>
  <si>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</si>
  <si>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</si>
  <si>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</si>
  <si>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</si>
  <si>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</si>
  <si>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</si>
  <si>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</si>
  <si>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</si>
  <si>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</si>
  <si>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</si>
  <si>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</si>
  <si>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</si>
  <si>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</si>
  <si>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</si>
  <si>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</si>
  <si>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</si>
  <si>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</si>
  <si>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</si>
  <si>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</si>
  <si>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</si>
  <si>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</si>
  <si>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</si>
  <si>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</si>
  <si>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</si>
  <si>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</si>
  <si>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</si>
  <si>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</si>
  <si>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</si>
  <si>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</si>
  <si>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</si>
  <si>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</si>
  <si>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</si>
  <si>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</si>
  <si>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</si>
  <si>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</si>
  <si>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</si>
  <si>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</si>
  <si>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</si>
  <si>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</si>
  <si>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</si>
  <si>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</si>
  <si>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</si>
  <si>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</si>
  <si>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</si>
  <si>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</si>
  <si>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</si>
  <si>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</si>
  <si>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</si>
  <si>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</si>
  <si>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</si>
  <si>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</si>
  <si>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</si>
  <si>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</si>
  <si>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</si>
  <si>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</si>
  <si>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</si>
  <si>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</si>
  <si>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</si>
  <si>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</si>
  <si>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</si>
  <si>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</si>
  <si>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</si>
  <si>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</si>
  <si>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</si>
  <si>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</si>
  <si>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</si>
  <si>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</si>
  <si>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</si>
  <si>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</si>
  <si>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</si>
  <si>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</si>
  <si>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</si>
  <si>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</si>
  <si>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</si>
  <si>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</si>
  <si>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</si>
  <si>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</si>
  <si>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</si>
  <si>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</si>
  <si>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</si>
  <si>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</si>
  <si>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</si>
  <si>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</si>
  <si>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</si>
  <si>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</si>
  <si>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</si>
  <si>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</si>
  <si>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</si>
  <si>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</si>
  <si>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</si>
  <si>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</si>
  <si>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</si>
  <si>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</si>
  <si>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</si>
  <si>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</si>
  <si>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</si>
  <si>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</si>
  <si>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</si>
  <si>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</si>
  <si>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</si>
  <si>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</si>
  <si>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</si>
  <si>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</si>
  <si>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</si>
  <si>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</si>
  <si>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</si>
  <si>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</si>
  <si>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</si>
  <si>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</si>
  <si>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</si>
  <si>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</si>
  <si>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</si>
  <si>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</si>
  <si>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</si>
  <si>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</si>
  <si>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</si>
  <si>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</si>
  <si>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</si>
  <si>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</si>
  <si>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</si>
  <si>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</si>
  <si>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</si>
  <si>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</si>
  <si>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</si>
  <si>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</si>
  <si>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</si>
  <si>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</si>
  <si>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</si>
  <si>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</si>
  <si>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</si>
  <si>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</si>
  <si>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</si>
  <si>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</si>
  <si>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</si>
  <si>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</si>
  <si>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</si>
  <si>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</si>
  <si>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</si>
  <si>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</si>
  <si>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</si>
  <si>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</si>
  <si>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</si>
  <si>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</si>
  <si>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</si>
  <si>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</si>
  <si>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</si>
  <si>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</si>
  <si>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</si>
  <si>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</si>
  <si>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</si>
  <si>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</si>
  <si>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</si>
  <si>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</si>
  <si>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</si>
  <si>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</si>
  <si>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</si>
  <si>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</si>
  <si>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</si>
  <si>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</si>
  <si>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</si>
  <si>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</si>
  <si>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</si>
  <si>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</si>
  <si>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</si>
  <si>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</si>
  <si>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</si>
  <si>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</si>
  <si>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</si>
  <si>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</si>
  <si>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</si>
  <si>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</si>
  <si>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</si>
  <si>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</si>
  <si>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</si>
  <si>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</si>
  <si>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</si>
  <si>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</si>
  <si>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</si>
  <si>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</si>
  <si>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</si>
  <si>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</si>
  <si>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</si>
  <si>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</si>
  <si>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</si>
  <si>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</si>
  <si>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</si>
  <si>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</si>
  <si>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</si>
  <si>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</si>
  <si>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</si>
  <si>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</si>
  <si>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</si>
  <si>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</si>
  <si>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</si>
  <si>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</si>
  <si>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</si>
  <si>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</si>
  <si>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</si>
  <si>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</si>
  <si>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</si>
  <si>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</si>
  <si>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</si>
  <si>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</si>
  <si>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</si>
  <si>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</si>
  <si>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</si>
  <si>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</si>
  <si>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</si>
  <si>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</si>
  <si>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</si>
  <si>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</si>
  <si>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</si>
  <si>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</si>
  <si>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</si>
  <si>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</si>
  <si>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</si>
  <si>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</si>
  <si>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</si>
  <si>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</si>
  <si>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</si>
  <si>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</si>
  <si>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</si>
  <si>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</si>
  <si>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</si>
  <si>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</si>
  <si>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</si>
  <si>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</si>
  <si>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</si>
  <si>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</si>
  <si>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</si>
  <si>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</si>
  <si>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</si>
  <si>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</si>
  <si>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</si>
  <si>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</si>
  <si>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</si>
  <si>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</si>
  <si>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</si>
  <si>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</si>
  <si>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</si>
  <si>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</si>
  <si>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</si>
  <si>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</si>
  <si>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</si>
  <si>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</si>
  <si>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</si>
  <si>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</si>
  <si>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</si>
  <si>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</si>
  <si>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</si>
  <si>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</si>
  <si>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</si>
  <si>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</si>
  <si>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</si>
  <si>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</si>
  <si>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</si>
  <si>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</si>
  <si>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</si>
  <si>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</si>
  <si>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</si>
  <si>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</si>
  <si>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</si>
  <si>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</si>
  <si>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</si>
  <si>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</si>
  <si>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</si>
  <si>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</si>
  <si>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</si>
  <si>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</si>
  <si>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</si>
  <si>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</si>
  <si>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</si>
  <si>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</si>
  <si>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</si>
  <si>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</si>
  <si>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</si>
  <si>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</si>
  <si>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</si>
  <si>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</si>
  <si>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</si>
  <si>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</si>
  <si>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</si>
  <si>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</si>
  <si>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</si>
  <si>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</si>
  <si>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</si>
  <si>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</si>
  <si>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</si>
  <si>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</si>
  <si>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</si>
  <si>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</si>
  <si>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</si>
  <si>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</si>
  <si>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</si>
  <si>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</si>
  <si>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</si>
  <si>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</si>
  <si>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</si>
  <si>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</si>
  <si>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</si>
  <si>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</si>
  <si>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</si>
  <si>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</si>
  <si>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</si>
  <si>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</si>
  <si>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</si>
  <si>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</si>
  <si>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</si>
  <si>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</si>
  <si>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</si>
  <si>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</si>
  <si>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</si>
  <si>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</si>
  <si>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</si>
  <si>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</si>
  <si>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</si>
  <si>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</si>
  <si>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</si>
  <si>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</si>
  <si>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</si>
  <si>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</si>
  <si>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</si>
  <si>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</si>
  <si>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</si>
  <si>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</si>
  <si>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</si>
  <si>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</si>
  <si>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</si>
  <si>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</si>
  <si>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</si>
  <si>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</si>
  <si>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</si>
  <si>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</si>
  <si>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</si>
  <si>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</si>
  <si>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</si>
  <si>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</si>
  <si>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</si>
  <si>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</si>
  <si>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</si>
  <si>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</si>
  <si>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</si>
  <si>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</si>
  <si>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</si>
  <si>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</si>
  <si>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</si>
  <si>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</si>
  <si>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</si>
  <si>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</si>
  <si>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</si>
  <si>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</si>
  <si>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</si>
  <si>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</si>
  <si>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</si>
  <si>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</si>
  <si>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</si>
  <si>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</si>
  <si>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</si>
  <si>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</si>
  <si>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</si>
  <si>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</si>
  <si>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</si>
  <si>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</si>
  <si>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</si>
  <si>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</si>
  <si>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</si>
  <si>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</si>
  <si>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</si>
  <si>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</si>
  <si>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</si>
  <si>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</si>
  <si>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</si>
  <si>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</si>
  <si>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</si>
  <si>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</si>
  <si>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</si>
  <si>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</si>
  <si>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</si>
  <si>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</si>
  <si>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</si>
  <si>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</si>
  <si>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</si>
  <si>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</si>
  <si>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</si>
  <si>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</si>
  <si>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</si>
  <si>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</si>
  <si>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</si>
  <si>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</si>
  <si>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</si>
  <si>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</si>
  <si>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</si>
  <si>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</si>
  <si>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</si>
  <si>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</si>
  <si>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</si>
  <si>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</si>
  <si>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</si>
  <si>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</si>
  <si>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</si>
  <si>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</si>
  <si>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</si>
  <si>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</si>
  <si>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</si>
  <si>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</si>
  <si>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</si>
  <si>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</si>
  <si>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</si>
  <si>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</si>
  <si>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</si>
  <si>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</si>
  <si>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</si>
  <si>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</si>
  <si>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</si>
  <si>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</si>
  <si>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</si>
  <si>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</si>
  <si>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</si>
  <si>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</si>
  <si>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</si>
  <si>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</si>
  <si>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</si>
  <si>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</si>
  <si>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</si>
  <si>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</si>
  <si>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</si>
  <si>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</si>
  <si>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</si>
  <si>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</si>
  <si>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</si>
  <si>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</si>
  <si>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</si>
  <si>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</si>
  <si>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</si>
  <si>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</si>
  <si>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</si>
  <si>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</si>
  <si>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</si>
  <si>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</si>
  <si>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</si>
  <si>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</si>
  <si>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</si>
  <si>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</si>
  <si>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</si>
  <si>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</si>
  <si>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</si>
  <si>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</si>
  <si>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</si>
  <si>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</si>
  <si>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</si>
  <si>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</si>
  <si>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</si>
  <si>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</si>
  <si>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</si>
  <si>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</si>
  <si>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</si>
  <si>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</si>
  <si>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</si>
  <si>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</si>
  <si>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</si>
  <si>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</si>
  <si>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</si>
  <si>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</si>
  <si>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</si>
  <si>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</si>
  <si>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</si>
  <si>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</si>
  <si>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</si>
  <si>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</si>
  <si>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</si>
  <si>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</si>
  <si>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</si>
  <si>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</si>
  <si>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</si>
  <si>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</si>
  <si>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</si>
  <si>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</si>
  <si>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</si>
  <si>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</si>
  <si>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</si>
  <si>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</si>
  <si>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</si>
  <si>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</si>
  <si>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</si>
  <si>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</si>
  <si>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</si>
  <si>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</si>
  <si>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</si>
  <si>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</si>
  <si>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</si>
  <si>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</si>
  <si>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</si>
  <si>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</si>
  <si>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</si>
  <si>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</si>
  <si>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</si>
  <si>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</si>
  <si>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</si>
  <si>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</si>
  <si>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</si>
  <si>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</si>
  <si>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</si>
  <si>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</si>
  <si>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</si>
  <si>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</si>
  <si>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</si>
  <si>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</si>
  <si>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</si>
  <si>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</si>
  <si>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</si>
  <si>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</si>
  <si>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</si>
  <si>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</si>
  <si>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</si>
  <si>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</si>
  <si>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</si>
  <si>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</si>
  <si>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</si>
  <si>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</si>
  <si>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</si>
  <si>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</si>
  <si>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</si>
  <si>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</si>
  <si>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</si>
  <si>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</si>
  <si>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</si>
  <si>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</si>
  <si>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</si>
  <si>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</si>
  <si>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</si>
  <si>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</si>
  <si>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</si>
  <si>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</si>
  <si>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</si>
  <si>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</si>
  <si>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</si>
  <si>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</si>
  <si>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</si>
  <si>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</si>
  <si>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</si>
  <si>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</si>
  <si>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</si>
  <si>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</si>
  <si>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</si>
  <si>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</si>
  <si>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</si>
  <si>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</si>
  <si>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</si>
  <si>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</si>
  <si>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</si>
  <si>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</si>
  <si>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</si>
  <si>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</si>
  <si>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</si>
  <si>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</si>
  <si>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</si>
  <si>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</si>
  <si>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</si>
  <si>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</si>
  <si>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</si>
  <si>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</si>
  <si>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</si>
  <si>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</si>
  <si>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</si>
  <si>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</si>
  <si>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</si>
  <si>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</si>
  <si>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</si>
  <si>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</si>
  <si>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</si>
  <si>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</si>
  <si>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</si>
  <si>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</si>
  <si>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</si>
  <si>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</si>
  <si>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</si>
  <si>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</si>
  <si>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</si>
  <si>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</si>
  <si>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</si>
  <si>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</si>
  <si>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</si>
  <si>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</si>
  <si>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</si>
  <si>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</si>
  <si>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</si>
  <si>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</si>
  <si>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</si>
  <si>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</si>
  <si>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</si>
  <si>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</si>
  <si>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</si>
  <si>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</si>
  <si>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</si>
  <si>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</si>
  <si>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</si>
  <si>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</si>
  <si>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</si>
  <si>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</si>
  <si>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</si>
  <si>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</si>
  <si>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</si>
  <si>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</si>
  <si>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</si>
  <si>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</si>
  <si>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</si>
  <si>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</si>
  <si>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</si>
  <si>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</si>
  <si>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</si>
  <si>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</si>
  <si>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</si>
  <si>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</si>
  <si>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</si>
  <si>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</si>
  <si>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</si>
  <si>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</si>
  <si>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</si>
  <si>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</si>
  <si>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</si>
  <si>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</si>
  <si>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</si>
  <si>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</si>
  <si>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</si>
  <si>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</si>
  <si>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</si>
  <si>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</si>
  <si>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</si>
  <si>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</si>
  <si>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</si>
  <si>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</si>
  <si>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</si>
  <si>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</si>
  <si>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</si>
  <si>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</si>
  <si>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</si>
  <si>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</si>
  <si>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</si>
  <si>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</si>
  <si>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</si>
  <si>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</si>
  <si>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</si>
  <si>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</si>
  <si>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</si>
  <si>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</si>
  <si>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</si>
  <si>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</si>
  <si>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</si>
  <si>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</si>
  <si>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</si>
  <si>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</si>
  <si>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</si>
  <si>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</si>
  <si>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</si>
  <si>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</si>
  <si>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</si>
  <si>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</si>
  <si>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</si>
  <si>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</si>
  <si>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</si>
  <si>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</si>
  <si>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</si>
  <si>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</si>
  <si>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</si>
  <si>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</si>
  <si>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</si>
  <si>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</si>
  <si>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</si>
  <si>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</si>
  <si>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</si>
  <si>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</si>
  <si>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</si>
  <si>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</si>
  <si>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</si>
  <si>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</si>
  <si>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</si>
  <si>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</si>
  <si>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</si>
  <si>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</si>
  <si>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</si>
  <si>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</si>
  <si>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</si>
  <si>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</si>
  <si>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</si>
  <si>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</si>
  <si>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</si>
  <si>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</si>
  <si>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</si>
  <si>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</si>
  <si>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</si>
  <si>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</si>
  <si>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</si>
  <si>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</si>
  <si>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</si>
  <si>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</si>
  <si>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</si>
  <si>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</si>
  <si>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</si>
  <si>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</si>
  <si>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</si>
  <si>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</si>
  <si>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</si>
  <si>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</si>
  <si>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</si>
  <si>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</si>
  <si>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</si>
  <si>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</si>
  <si>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</si>
  <si>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</si>
  <si>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</si>
  <si>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</si>
  <si>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</si>
  <si>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</si>
  <si>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</si>
  <si>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</si>
  <si>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</si>
  <si>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</si>
  <si>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</si>
  <si>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</si>
  <si>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</si>
  <si>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</si>
  <si>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</si>
  <si>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</si>
  <si>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</si>
  <si>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</si>
  <si>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</si>
  <si>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</si>
  <si>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</si>
  <si>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</si>
  <si>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</si>
  <si>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</si>
  <si>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</si>
  <si>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</si>
  <si>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</si>
  <si>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</si>
  <si>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</si>
  <si>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</si>
  <si>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</si>
  <si>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</si>
  <si>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</si>
  <si>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</si>
  <si>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</si>
  <si>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</si>
  <si>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</si>
  <si>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</si>
  <si>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</si>
  <si>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</si>
  <si>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</si>
  <si>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</si>
  <si>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</si>
  <si>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</si>
  <si>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</si>
  <si>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</si>
  <si>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</si>
  <si>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</si>
  <si>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</si>
  <si>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</si>
  <si>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</si>
  <si>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</si>
  <si>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</si>
  <si>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</si>
  <si>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</si>
  <si>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</si>
  <si>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</si>
  <si>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</si>
  <si>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</si>
  <si>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</si>
  <si>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</si>
  <si>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</si>
  <si>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</si>
  <si>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</si>
  <si>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</si>
  <si>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</si>
  <si>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</si>
  <si>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</si>
  <si>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</si>
  <si>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</si>
  <si>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</si>
  <si>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</si>
  <si>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</si>
  <si>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</si>
  <si>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</si>
  <si>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</si>
  <si>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</si>
  <si>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</si>
  <si>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</si>
  <si>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</si>
  <si>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</si>
  <si>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</si>
  <si>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</si>
  <si>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</si>
  <si>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</si>
  <si>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</si>
  <si>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</si>
  <si>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</si>
  <si>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</si>
  <si>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</si>
  <si>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</si>
  <si>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</si>
  <si>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</si>
  <si>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</si>
  <si>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</si>
  <si>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</si>
  <si>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</si>
  <si>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</si>
  <si>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</si>
  <si>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</si>
  <si>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</si>
  <si>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</si>
  <si>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</si>
  <si>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</si>
  <si>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</si>
  <si>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</si>
  <si>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</si>
  <si>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</si>
  <si>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</si>
  <si>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</si>
  <si>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</si>
  <si>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</si>
  <si>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</si>
  <si>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</si>
  <si>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</si>
  <si>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</si>
  <si>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</si>
  <si>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</si>
  <si>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</si>
  <si>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</si>
  <si>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</si>
  <si>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</si>
  <si>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</si>
  <si>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</si>
  <si>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</si>
  <si>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</si>
  <si>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</si>
  <si>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</si>
  <si>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</si>
  <si>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</si>
  <si>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</si>
  <si>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</si>
  <si>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</si>
  <si>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</si>
  <si>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</si>
  <si>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</si>
  <si>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</si>
  <si>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</si>
  <si>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</si>
  <si>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</si>
  <si>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</si>
  <si>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</si>
  <si>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</si>
  <si>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</si>
  <si>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</si>
  <si>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</si>
  <si>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</si>
  <si>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</si>
  <si>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</si>
  <si>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</si>
  <si>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</si>
  <si>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</si>
  <si>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</si>
  <si>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</si>
  <si>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</si>
  <si>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</si>
  <si>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</si>
  <si>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</si>
  <si>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</si>
  <si>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</si>
  <si>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</si>
  <si>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</si>
  <si>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</si>
  <si>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</si>
  <si>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</si>
  <si>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</si>
  <si>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</si>
  <si>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</si>
  <si>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</si>
  <si>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</si>
  <si>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</si>
  <si>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</si>
  <si>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</si>
  <si>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</si>
  <si>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</si>
  <si>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</si>
  <si>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</si>
  <si>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</si>
  <si>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</si>
  <si>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</si>
  <si>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</si>
  <si>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</si>
  <si>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</si>
  <si>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</si>
  <si>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</si>
  <si>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</si>
  <si>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</si>
  <si>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</si>
  <si>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</si>
  <si>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</si>
  <si>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</si>
  <si>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</si>
  <si>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</si>
  <si>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</si>
  <si>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</si>
  <si>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</si>
  <si>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</si>
  <si>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</si>
  <si>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</si>
  <si>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</si>
  <si>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</si>
  <si>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</si>
  <si>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</si>
  <si>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</si>
  <si>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</si>
  <si>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</si>
  <si>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</si>
  <si>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</si>
  <si>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</si>
  <si>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</si>
  <si>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</si>
  <si>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</si>
  <si>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</si>
  <si>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</si>
  <si>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</si>
  <si>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</si>
  <si>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</si>
  <si>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</si>
  <si>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a</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</si>
  <si>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</si>
  <si>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</si>
  <si>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</si>
  <si>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</si>
  <si>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</si>
  <si>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</si>
  <si>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</si>
  <si>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</si>
  <si>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</si>
  <si>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</si>
  <si>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</si>
  <si>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</si>
  <si>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</si>
  <si>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</si>
  <si>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</si>
  <si>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</si>
  <si>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</si>
  <si>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</si>
  <si>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</si>
  <si>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</si>
  <si>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</si>
  <si>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</si>
  <si>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</si>
  <si>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</si>
  <si>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</si>
  <si>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</si>
  <si>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</si>
  <si>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</si>
  <si>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</si>
  <si>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</si>
  <si>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</si>
  <si>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</si>
  <si>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</si>
  <si>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</si>
  <si>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</si>
  <si>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</si>
  <si>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</si>
  <si>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</si>
  <si>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</si>
  <si>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</si>
  <si>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</si>
  <si>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</si>
  <si>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</si>
  <si>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</si>
  <si>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</si>
  <si>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</si>
  <si>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</si>
  <si>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</si>
  <si>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</si>
  <si>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</si>
  <si>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</si>
  <si>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</si>
  <si>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</si>
  <si>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</si>
  <si>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</si>
  <si>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</si>
  <si>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</si>
  <si>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</si>
  <si>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</si>
  <si>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</si>
  <si>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</si>
  <si>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</si>
  <si>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</si>
  <si>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</si>
  <si>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</si>
  <si>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</si>
  <si>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</si>
  <si>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</si>
  <si>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</si>
  <si>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</si>
  <si>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</si>
  <si>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</si>
  <si>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</si>
  <si>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</si>
  <si>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</si>
  <si>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</si>
  <si>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</si>
  <si>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</si>
  <si>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</si>
  <si>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</si>
  <si>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</si>
  <si>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</si>
  <si>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</si>
  <si>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</si>
  <si>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</si>
  <si>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</si>
  <si>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</si>
  <si>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</si>
  <si>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</si>
  <si>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</si>
  <si>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</si>
  <si>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</si>
  <si>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</si>
  <si>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</si>
  <si>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</si>
  <si>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</si>
  <si>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</si>
  <si>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</si>
  <si>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</si>
  <si>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</si>
  <si>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</si>
  <si>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</si>
  <si>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</si>
  <si>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</si>
  <si>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</si>
  <si>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</si>
  <si>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</si>
  <si>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</si>
  <si>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</si>
  <si>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</si>
  <si>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</si>
  <si>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</si>
  <si>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</si>
  <si>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</si>
  <si>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</si>
  <si>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</si>
  <si>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</si>
  <si>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</si>
  <si>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</si>
  <si>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</si>
  <si>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</si>
  <si>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</si>
  <si>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</si>
  <si>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</si>
  <si>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</si>
  <si>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</si>
  <si>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</si>
  <si>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</si>
  <si>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</si>
  <si>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</si>
  <si>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</si>
  <si>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</si>
  <si>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</si>
  <si>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</si>
  <si>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</si>
  <si>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</si>
  <si>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</si>
  <si>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</si>
  <si>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</si>
  <si>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</si>
  <si>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</si>
  <si>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</si>
  <si>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</si>
  <si>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</si>
  <si>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</si>
  <si>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</si>
  <si>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</si>
  <si>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</si>
  <si>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</si>
  <si>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</si>
  <si>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</si>
  <si>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</si>
  <si>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</si>
  <si>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</si>
  <si>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</si>
  <si>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</si>
  <si>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</si>
  <si>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</si>
  <si>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</si>
  <si>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</si>
  <si>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</si>
  <si>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</si>
  <si>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</si>
  <si>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</si>
  <si>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</si>
  <si>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</si>
  <si>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</si>
  <si>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</si>
  <si>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</si>
  <si>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</si>
  <si>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</si>
  <si>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</si>
  <si>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</si>
  <si>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</si>
  <si>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</si>
  <si>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</si>
  <si>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</si>
  <si>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</si>
  <si>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</si>
  <si>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</si>
  <si>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</si>
  <si>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</si>
  <si>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</si>
  <si>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</si>
  <si>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</si>
  <si>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</si>
  <si>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</si>
  <si>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</si>
  <si>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</si>
  <si>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</si>
  <si>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</si>
  <si>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</si>
  <si>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</si>
  <si>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</si>
  <si>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</si>
  <si>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</si>
  <si>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</si>
  <si>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</si>
  <si>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</si>
  <si>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</si>
  <si>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</si>
  <si>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</si>
  <si>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</si>
  <si>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</si>
  <si>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</si>
  <si>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</si>
  <si>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</si>
  <si>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</si>
  <si>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</si>
  <si>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</si>
  <si>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</si>
  <si>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</si>
  <si>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</si>
  <si>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</si>
  <si>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</si>
  <si>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</si>
  <si>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</si>
  <si>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</si>
  <si>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</si>
  <si>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</si>
  <si>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</si>
  <si>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</si>
  <si>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</si>
  <si>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</si>
  <si>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</si>
  <si>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</si>
  <si>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</si>
  <si>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</si>
  <si>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</si>
  <si>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</si>
  <si>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</si>
  <si>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</si>
  <si>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</si>
  <si>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</si>
  <si>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</si>
  <si>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</si>
  <si>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</si>
  <si>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</si>
  <si>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</si>
  <si>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</si>
  <si>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</si>
  <si>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</si>
  <si>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</si>
  <si>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</si>
  <si>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</si>
  <si>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</si>
  <si>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</si>
  <si>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</si>
  <si>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</si>
  <si>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</si>
  <si>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</si>
  <si>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</si>
  <si>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</si>
  <si>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</si>
  <si>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</si>
  <si>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</si>
  <si>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</si>
  <si>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</si>
  <si>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</si>
  <si>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</si>
  <si>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</si>
  <si>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</si>
  <si>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</si>
  <si>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</si>
  <si>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
  </si>
  <si>
    <t>Emergency</t>
  </si>
  <si>
    <t>Job</t>
  </si>
  <si>
    <t>Legal</t>
  </si>
  <si>
    <t>Mailing</t>
  </si>
  <si>
    <t>Other Business</t>
  </si>
  <si>
    <t>Residence</t>
  </si>
  <si>
    <t>Residence 2</t>
  </si>
  <si>
    <t>Previous Job</t>
  </si>
  <si>
    <t>ASTANA ANYAR</t>
  </si>
  <si>
    <t>NYENGSERET</t>
  </si>
  <si>
    <t>BANDUNG</t>
  </si>
  <si>
    <t>12/12/2024</t>
  </si>
  <si>
    <t>EMPLOYEE</t>
  </si>
  <si>
    <t>Bandung</t>
  </si>
  <si>
    <t>JL SYMPHONI NO 90</t>
  </si>
  <si>
    <t>BANDUNG KIDUL</t>
  </si>
  <si>
    <t>BATUNUNGGAL</t>
  </si>
  <si>
    <t>08/06/2022;08/06/2022</t>
  </si>
  <si>
    <t>PENDUDUK/RESIDENT.SEKTOR PEMERINTAH.PEMERINTAH PUSAT.KEMENTERIAN PERTAHANAN</t>
  </si>
  <si>
    <t>NIP;SIUP</t>
  </si>
  <si>
    <t>JL ADA</t>
  </si>
  <si>
    <t>ASTRI</t>
  </si>
  <si>
    <t>AKTA</t>
  </si>
  <si>
    <t>127839481062174812</t>
  </si>
  <si>
    <t>Female</t>
  </si>
  <si>
    <t>06/15/2022</t>
  </si>
  <si>
    <t>ROSA</t>
  </si>
  <si>
    <t>1829301920</t>
  </si>
  <si>
    <t>Yes</t>
  </si>
  <si>
    <t>PT POKE</t>
  </si>
  <si>
    <t>Reason Failed</t>
  </si>
  <si>
    <t>Objective</t>
  </si>
  <si>
    <t>06/15/2023</t>
  </si>
  <si>
    <t>06/15/2024</t>
  </si>
  <si>
    <t>06/15/2025</t>
  </si>
  <si>
    <t>1829301922</t>
  </si>
  <si>
    <t>1829301923</t>
  </si>
  <si>
    <t>12/12/2025</t>
  </si>
  <si>
    <t>12/12/2026</t>
  </si>
  <si>
    <t>08192902</t>
  </si>
  <si>
    <t>08192903</t>
  </si>
  <si>
    <t>JL SYMPHONI NO 91</t>
  </si>
  <si>
    <t>JL SYMPHONI NO 92</t>
  </si>
  <si>
    <t>$Address Type</t>
  </si>
  <si>
    <t>$Address</t>
  </si>
  <si>
    <t>$RT</t>
  </si>
  <si>
    <t>$RW</t>
  </si>
  <si>
    <t>$Zip Code</t>
  </si>
  <si>
    <t>$Kecamatan</t>
  </si>
  <si>
    <t>$Kelurahan</t>
  </si>
  <si>
    <t>$City</t>
  </si>
  <si>
    <t>$Phone 1 Area</t>
  </si>
  <si>
    <t>$Phone 1 Number</t>
  </si>
  <si>
    <t>$OwnerShip</t>
  </si>
  <si>
    <t>Is Mandatory Complete</t>
  </si>
  <si>
    <t>$Establishment Date</t>
  </si>
  <si>
    <t>$No of Employee</t>
  </si>
  <si>
    <t>$Industry Type Code</t>
  </si>
  <si>
    <t>$Industry Type</t>
  </si>
  <si>
    <t>$VIP Notes</t>
  </si>
  <si>
    <t>No</t>
  </si>
  <si>
    <t>$Customer Mode</t>
  </si>
  <si>
    <t>$Name</t>
  </si>
  <si>
    <t>$Job Title</t>
  </si>
  <si>
    <t>$ID type</t>
  </si>
  <si>
    <t>$ID No</t>
  </si>
  <si>
    <t>$Mobile Phone 1</t>
  </si>
  <si>
    <t>$ID Expired Date</t>
  </si>
  <si>
    <t>$Gender</t>
  </si>
  <si>
    <t>$Job Position</t>
  </si>
  <si>
    <t>$Monthly Income</t>
  </si>
  <si>
    <t>$Date as Of</t>
  </si>
  <si>
    <t>$Legal Doc Type</t>
  </si>
  <si>
    <t>$Document No</t>
  </si>
  <si>
    <t>$Date issued</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</si>
  <si>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</si>
  <si>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</si>
  <si>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</si>
  <si>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</si>
  <si>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</si>
  <si>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</si>
  <si>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</si>
  <si>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</si>
  <si>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</si>
  <si>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</si>
  <si>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</si>
  <si>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</si>
  <si>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$CSP/USL Source AML Code</t>
  </si>
  <si>
    <t>$Affiliate With Multifinance SLIK</t>
  </si>
  <si>
    <t>$KYC Report AML</t>
  </si>
  <si>
    <t>$CSP/USL Source AML</t>
  </si>
  <si>
    <t>$Payment Type AML</t>
  </si>
  <si>
    <t>$Payment Type Code</t>
  </si>
  <si>
    <t>$Business Source AML</t>
  </si>
  <si>
    <t>$Business Source AML Code</t>
  </si>
  <si>
    <t>$Business Period AML</t>
  </si>
  <si>
    <t>$Liabilitas Jangka Panjang</t>
  </si>
  <si>
    <t>$Pinjaman Uang Jangka Panjang</t>
  </si>
  <si>
    <t>$Pendapatan Lain-lain / non operasional</t>
  </si>
  <si>
    <t>$Beban Lain-lain/ Non operasional</t>
  </si>
  <si>
    <t>$VIP</t>
  </si>
  <si>
    <t>Customer Name</t>
  </si>
  <si>
    <t>$AssetType</t>
  </si>
  <si>
    <t>$AssetValue</t>
  </si>
  <si>
    <t>$AssetQuantity</t>
  </si>
  <si>
    <t>;</t>
  </si>
  <si>
    <t>Add Asset</t>
  </si>
  <si>
    <t>panin branch</t>
  </si>
  <si>
    <t>saro</t>
  </si>
  <si>
    <t>213861294</t>
  </si>
  <si>
    <t>Month</t>
  </si>
  <si>
    <t>Year</t>
  </si>
  <si>
    <t>Debit Transaction Account</t>
  </si>
  <si>
    <t>Debit</t>
  </si>
  <si>
    <t>Credit Transaction Account</t>
  </si>
  <si>
    <t>Credit</t>
  </si>
  <si>
    <t>January;February</t>
  </si>
  <si>
    <t>2021;2022</t>
  </si>
  <si>
    <t>120000;2000000</t>
  </si>
  <si>
    <t>JL MAIL</t>
  </si>
  <si>
    <t>kebon jeruk</t>
  </si>
  <si>
    <t>jakarta barat</t>
  </si>
  <si>
    <t>-</t>
  </si>
  <si>
    <t>1000000000;130000000</t>
  </si>
  <si>
    <t>07/15/2022</t>
  </si>
  <si>
    <t>PT POLO</t>
  </si>
  <si>
    <t>JLN BUSINESS 88</t>
  </si>
  <si>
    <t>KEBON JERUK</t>
  </si>
  <si>
    <t>JAKARTA BARAT</t>
  </si>
  <si>
    <t>0821837123421</t>
  </si>
  <si>
    <t>ALDI</t>
  </si>
  <si>
    <t>SUCCESS</t>
  </si>
  <si>
    <t>rating debt</t>
  </si>
  <si>
    <t>12/12/2020</t>
  </si>
  <si>
    <t>1;1</t>
  </si>
  <si>
    <t>FAILED</t>
  </si>
  <si>
    <t>Validasi field invalid</t>
  </si>
  <si>
    <t>12/13/2021;12/12/2021</t>
  </si>
  <si>
    <t>NIP1;NIP2</t>
  </si>
  <si>
    <t>LOC1;LOC2</t>
  </si>
  <si>
    <t>NOTE1;NOTE2</t>
  </si>
  <si>
    <t>Failed Store DB</t>
  </si>
  <si>
    <t>Motor;Mobil</t>
  </si>
  <si>
    <t>WARNING</t>
  </si>
  <si>
    <t>Failed Input Data[]</t>
  </si>
  <si>
    <t>1234;4321</t>
  </si>
  <si>
    <t>03/01/2022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</si>
</sst>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borderId="0" fillId="0" fontId="0" numFmtId="0"/>
    <xf applyAlignment="0" applyBorder="0" applyFill="0" applyNumberFormat="0" applyProtection="0" borderId="0" fillId="0" fontId="1" numFmtId="0"/>
    <xf applyAlignment="0" applyBorder="0" applyFill="0" applyFont="0" applyProtection="0" borderId="0" fillId="0" fontId="6" numFmtId="43"/>
  </cellStyleXfs>
  <cellXfs count="56">
    <xf borderId="0" fillId="0" fontId="0" numFmtId="0" xfId="0"/>
    <xf applyBorder="1" applyFill="1" borderId="1" fillId="0" fontId="0" numFmtId="0" xfId="0"/>
    <xf applyBorder="1" borderId="1" fillId="0" fontId="0" numFmtId="0" xfId="0"/>
    <xf applyBorder="1" borderId="1" fillId="0" fontId="1" numFmtId="0" xfId="1"/>
    <xf applyBorder="1" borderId="1" fillId="0" fontId="0" numFmtId="0" quotePrefix="1" xfId="0"/>
    <xf applyBorder="1" applyFill="1" borderId="1" fillId="2" fontId="0" numFmtId="0" xfId="0"/>
    <xf applyAlignment="1" applyBorder="1" borderId="1" fillId="0" fontId="0" numFmtId="0" xfId="0">
      <alignment wrapText="1"/>
    </xf>
    <xf applyAlignment="1" borderId="0" fillId="0" fontId="0" numFmtId="0" xfId="0"/>
    <xf applyAlignment="1" borderId="0" fillId="0" fontId="0" numFmtId="0" xfId="0">
      <alignment vertical="center" wrapText="1"/>
    </xf>
    <xf applyAlignment="1" borderId="0" fillId="0" fontId="0" numFmtId="0" xfId="0">
      <alignment wrapText="1"/>
    </xf>
    <xf applyAlignment="1" applyBorder="1" borderId="1" fillId="0" fontId="0" numFmtId="0" quotePrefix="1" xfId="0">
      <alignment wrapText="1"/>
    </xf>
    <xf applyFill="1" borderId="0" fillId="0" fontId="0" numFmtId="0" xfId="0"/>
    <xf applyAlignment="1" borderId="0" fillId="0" fontId="0" numFmtId="0" xfId="0">
      <alignment vertical="center"/>
    </xf>
    <xf applyBorder="1" applyNumberFormat="1" borderId="1" fillId="0" fontId="0" numFmtId="3" xfId="0"/>
    <xf applyBorder="1" applyFill="1" borderId="0" fillId="0" fontId="0" numFmtId="0" xfId="0"/>
    <xf applyBorder="1" borderId="0" fillId="0" fontId="0" numFmtId="0" xfId="0"/>
    <xf applyAlignment="1" applyBorder="1" borderId="0" fillId="0" fontId="0" numFmtId="0" xfId="0">
      <alignment horizontal="left" vertical="center" wrapText="1"/>
    </xf>
    <xf applyBorder="1" applyFill="1" applyNumberFormat="1" borderId="0" fillId="0" fontId="0" numFmtId="0" xfId="0"/>
    <xf applyBorder="1" applyNumberFormat="1" borderId="0" fillId="0" fontId="0" numFmtId="49" xfId="0"/>
    <xf applyBorder="1" applyNumberFormat="1" borderId="0" fillId="0" fontId="0" numFmtId="0" xfId="0"/>
    <xf applyFill="1" applyNumberFormat="1" borderId="0" fillId="0" fontId="0" numFmtId="0" xfId="0"/>
    <xf applyAlignment="1" applyBorder="1" applyFill="1" applyNumberFormat="1" borderId="0" fillId="0" fontId="0" numFmtId="0" xfId="0">
      <alignment horizontal="left" vertical="center" wrapText="1"/>
    </xf>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0" xfId="0">
      <alignment wrapText="1"/>
    </xf>
    <xf applyNumberFormat="1" borderId="0" fillId="0" fontId="0" numFmtId="0" xfId="0"/>
    <xf applyAlignment="1" applyBorder="1" applyFill="1" applyNumberFormat="1" borderId="0" fillId="0" fontId="0" numFmtId="0" xfId="0"/>
    <xf applyAlignment="1" applyBorder="1" applyFill="1" applyFont="1" borderId="0" fillId="3" fontId="2" numFmtId="0" xfId="0">
      <alignment horizontal="left" vertical="top"/>
    </xf>
    <xf applyAlignment="1" applyBorder="1" applyFill="1" applyFont="1" applyNumberFormat="1" borderId="0" fillId="0" fontId="2" numFmtId="0" xfId="0">
      <alignment vertical="top"/>
    </xf>
    <xf applyBorder="1" applyFill="1" borderId="1" fillId="5" fontId="0" numFmtId="0" xfId="0"/>
    <xf applyBorder="1" applyFill="1" borderId="1" fillId="6" fontId="0" numFmtId="0" xfId="0"/>
    <xf applyBorder="1" applyFill="1" borderId="1" fillId="7" fontId="0" numFmtId="0" xfId="0"/>
    <xf applyBorder="1" applyFill="1" borderId="1" fillId="0" fontId="0" numFmtId="0" quotePrefix="1" xfId="0"/>
    <xf applyBorder="1" applyFill="1" applyNumberFormat="1" borderId="1" fillId="0" fontId="0" numFmtId="164" quotePrefix="1" xfId="0"/>
    <xf applyBorder="1" applyFill="1" applyNumberFormat="1" borderId="1" fillId="0" fontId="0" numFmtId="3" quotePrefix="1" xfId="0"/>
    <xf applyBorder="1" applyFill="1" applyNumberFormat="1" borderId="1" fillId="0" fontId="0" numFmtId="3" xfId="0"/>
    <xf applyBorder="1" applyFill="1" applyNumberFormat="1" borderId="1" fillId="0" fontId="0" numFmtId="2" xfId="0"/>
    <xf applyAlignment="1" applyBorder="1" applyNumberFormat="1" borderId="1" fillId="0" fontId="0" numFmtId="164" quotePrefix="1" xfId="0">
      <alignment wrapText="1"/>
    </xf>
    <xf applyBorder="1" applyFill="1" borderId="1" fillId="8" fontId="0" numFmtId="0" xfId="0"/>
    <xf applyBorder="1" applyFont="1" applyNumberFormat="1" borderId="1" fillId="0" fontId="0" numFmtId="1" xfId="2"/>
    <xf applyFont="1" borderId="0" fillId="0" fontId="2" numFmtId="0" xfId="0"/>
    <xf applyFill="1" borderId="0" fillId="4" fontId="0" numFmtId="0" xfId="0"/>
    <xf applyBorder="1" applyFill="1" borderId="5" fillId="4" fontId="0" numFmtId="0" xfId="0"/>
    <xf applyAlignment="1" applyBorder="1" applyFill="1" applyFont="1" borderId="2" fillId="4" fontId="3" numFmtId="0" xfId="0"/>
    <xf applyAlignment="1" applyBorder="1" applyFill="1" applyFont="1" borderId="3" fillId="4" fontId="3" numFmtId="0" xfId="0"/>
    <xf applyAlignment="1" applyBorder="1" applyFill="1" applyFont="1" borderId="4" fillId="4" fontId="3" numFmtId="0" xfId="0"/>
    <xf applyAlignment="1" applyBorder="1" applyFill="1" applyFont="1" borderId="1" fillId="4" fontId="3" numFmtId="0" xfId="0"/>
    <xf applyBorder="1" borderId="6" fillId="0" fontId="0" numFmtId="0" xfId="0"/>
    <xf applyBorder="1" applyFill="1" borderId="5" fillId="2" fontId="0" numFmtId="0" xfId="0"/>
    <xf applyFill="1" borderId="0" fillId="2" fontId="0" numFmtId="0" xfId="0"/>
    <xf applyBorder="1" applyFill="1" borderId="1" fillId="4" fontId="0" numFmtId="0" xfId="0"/>
    <xf applyBorder="1" applyFill="1" applyFont="1" borderId="2" fillId="4" fontId="3" numFmtId="0" xfId="0"/>
    <xf applyBorder="1" applyFill="1" applyFont="1" borderId="3" fillId="4" fontId="3" numFmtId="0" xfId="0"/>
    <xf applyBorder="1" applyFill="1" applyFont="1" borderId="4" fillId="4" fontId="3" numFmtId="0" xfId="0"/>
    <xf applyBorder="1" applyFill="1" applyFont="1" borderId="1" fillId="4" fontId="3" numFmtId="0" xfId="0"/>
  </cellXfs>
  <cellStyles count="3">
    <cellStyle builtinId="3" name="Comma" xfId="2"/>
    <cellStyle builtinId="8" name="Hyperlink" xfId="1"/>
    <cellStyle builtinId="0" name="Normal" xfId="0"/>
  </cellStyles>
  <dxfs count="61">
    <dxf>
      <numFmt formatCode="General" numFmtId="0"/>
    </dxf>
    <dxf>
      <fill>
        <patternFill patternType="none">
          <fgColor indexed="64"/>
          <bgColor indexed="65"/>
        </patternFill>
      </fill>
    </dxf>
    <dxf>
      <fill>
        <patternFill patternType="none">
          <fgColor indexed="64"/>
          <bgColor indexed="65"/>
        </patternFill>
      </fill>
    </dxf>
    <dxf>
      <numFmt formatCode="General" numFmtId="0"/>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20DataFile_NAP_CF4W_Company.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2a.TabManagementShareholder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s>
    <sheetDataSet>
      <sheetData sheetId="0"/>
      <sheetData sheetId="1">
        <row r="13">
          <cell r="B13" t="str">
            <v>0002APP20211205279</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table1.xml><?xml version="1.0" encoding="utf-8"?>
<table xmlns="http://schemas.openxmlformats.org/spreadsheetml/2006/main" dataDxfId="56" displayName="Query_Debtor_Group" headerRowDxfId="57" id="1" insertRowShift="1" name="Query_Debtor_Group" ref="A1:B315" tableType="queryTable" totalsRowShown="0">
  <autoFilter ref="A1:B315"/>
  <tableColumns count="2">
    <tableColumn dataDxfId="55" id="1" name="DEBTOR GROUP NAME" queryTableFieldId="1" uniqueName="1"/>
    <tableColumn dataDxfId="54" id="2" name="DEBTOR GROUP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52" displayName="Query_Debtor_Business_Scale" headerRowDxfId="53" id="2" insertRowShift="1" name="Query_Debtor_Business_Scale" ref="D1:E6" tableType="queryTable" totalsRowShown="0">
  <autoFilter ref="D1:E6"/>
  <tableColumns count="2">
    <tableColumn dataDxfId="51" id="1" name="Debtor Business Scale Description" queryTableFieldId="1" uniqueName="1"/>
    <tableColumn dataDxfId="50" id="2" name="Debtor Group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ataDxfId="48" displayName="Query_Counterpart" headerRowDxfId="49" id="3" insertRowShift="1" name="Query_Counterpart" ref="G1:H175" tableType="queryTable" totalsRowShown="0">
  <autoFilter ref="G1:H175"/>
  <tableColumns count="2">
    <tableColumn dataDxfId="47" id="1" name="Counterpart Category" queryTableFieldId="1" uniqueName="1"/>
    <tableColumn dataDxfId="46" id="2" name="LBPP CODE" queryTableFieldId="2" uniqueName="2"/>
  </tableColumns>
  <tableStyleInfo name="TableStyleMedium7" showColumnStripes="0" showFirstColumn="0" showLastColumn="0" showRowStripes="1"/>
</table>
</file>

<file path=xl/tables/table4.xml><?xml version="1.0" encoding="utf-8"?>
<table xmlns="http://schemas.openxmlformats.org/spreadsheetml/2006/main" dataDxfId="44" displayName="Query_Sustainable_Financial" headerRowDxfId="45" id="4" insertRowShift="1" name="Query_Sustainable_Financial" ref="J1:K14" tableType="queryTable" totalsRowShown="0">
  <autoFilter ref="J1:K14"/>
  <tableColumns count="2">
    <tableColumn dataDxfId="43" id="1" name="Sustainable Financial Business" queryTableFieldId="1" uniqueName="1"/>
    <tableColumn dataDxfId="42" id="2" name="LBPP Code" queryTableFieldId="2" uniqueName="2"/>
  </tableColumns>
  <tableStyleInfo name="TableStyleMedium7" showColumnStripes="0" showFirstColumn="0" showLastColumn="0" showRowStripes="1"/>
</table>
</file>

<file path=xl/tables/table5.xml><?xml version="1.0" encoding="utf-8"?>
<table xmlns="http://schemas.openxmlformats.org/spreadsheetml/2006/main" dataDxfId="40" displayName="Query_debtor_group_slik" headerRowDxfId="41" id="5" insertRowShift="1" name="Query_debtor_group_slik" ref="M1:N193" tableType="queryTable" totalsRowShown="0">
  <autoFilter ref="M1:N193"/>
  <tableColumns count="2">
    <tableColumn dataDxfId="39" id="1" name="DEBTOR GROUP SLIK" queryTableFieldId="1" uniqueName="1"/>
    <tableColumn dataDxfId="38" id="2" name="DEBTOR GROUP SLIK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36" displayName="Query_Affiliate_with_Multifinance" headerRowDxfId="37" id="6" insertRowShift="1" name="Query_Affiliate_with_Multifinance" ref="P1:Q16" tableType="queryTable" totalsRowShown="0">
  <autoFilter ref="P1:Q16"/>
  <tableColumns count="2">
    <tableColumn dataDxfId="35" id="1" name="AFFILIATE WITH MULTIFINANCE SLIK" queryTableFieldId="1" uniqueName="1"/>
    <tableColumn dataDxfId="34" id="2" name="CODE" queryTableFieldId="2" uniqueName="2"/>
  </tableColumns>
  <tableStyleInfo name="TableStyleMedium7" showColumnStripes="0" showFirstColumn="0" showLastColumn="0" showRowStripes="1"/>
</table>
</file>

<file path=xl/tables/table7.xml><?xml version="1.0" encoding="utf-8"?>
<table xmlns="http://schemas.openxmlformats.org/spreadsheetml/2006/main" displayName="Query_Department_AML" headerRowDxfId="33" id="7" name="Query_Department_AML" ref="S1:T492" tableType="queryTable" totalsRowShown="0">
  <autoFilter ref="S1:T492"/>
  <tableColumns count="2">
    <tableColumn dataDxfId="32" id="1" name="DEPARTMENT AML" queryTableFieldId="1" uniqueName="1"/>
    <tableColumn dataDxfId="31" id="2" name="DEPARTMENT AML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29" displayName="Query_csp_usl_source_aml" headerRowDxfId="30" id="8" insertRowShift="1" name="Query_csp_usl_source_aml" ref="V1:W10" tableType="queryTable" totalsRowShown="0">
  <autoFilter ref="V1:W10"/>
  <tableColumns count="2">
    <tableColumn dataDxfId="28" id="1" name="CSP/USL SOURCE AML" queryTableFieldId="1" uniqueName="1"/>
    <tableColumn dataDxfId="27" id="2" name="CSP/USL SOURCE AML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25" displayName="Query_payment_type_aml" headerRowDxfId="26" id="9" insertRowShift="1" name="Query_payment_type_aml" ref="Y1:Z3" tableType="queryTable" totalsRowShown="0">
  <autoFilter ref="Y1:Z3"/>
  <tableColumns count="2">
    <tableColumn dataDxfId="24" id="1" name="PAYMENT TYPE AML" queryTableFieldId="1" uniqueName="1"/>
    <tableColumn dataDxfId="23" id="2" name="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21" displayName="Query_authority_aml" headerRowDxfId="22" id="10" name="Query_authority_aml" ref="AB1:AC9" tableType="queryTable" totalsRowShown="0">
  <autoFilter ref="AB1:AC9"/>
  <tableColumns count="2">
    <tableColumn dataDxfId="20" id="1" name="AUTHORITY AML" queryTableFieldId="1" uniqueName="1"/>
    <tableColumn dataDxfId="19" id="2" name="AUTHORITY AML2"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17" displayName="Query_Business_Source" headerRowDxfId="18" id="11" insertRowShift="1" name="Query_Business_Source" ref="AE1:AF2" tableType="queryTable" totalsRowShown="0">
  <autoFilter ref="AE1:AF2"/>
  <tableColumns count="2">
    <tableColumn dataDxfId="16" id="1" name="BUSINESS SOURCE AML" queryTableFieldId="1" uniqueName="1"/>
    <tableColumn dataDxfId="15" id="2" name="CODE" queryTableFieldId="2" uniqueName="2"/>
  </tableColumns>
  <tableStyleInfo name="TableStyleMedium7" showColumnStripes="0" showFirstColumn="0" showLastColumn="0" showRowStripes="1"/>
</table>
</file>

<file path=xl/tables/table12.xml><?xml version="1.0" encoding="utf-8"?>
<table xmlns="http://schemas.openxmlformats.org/spreadsheetml/2006/main" displayName="query_building" headerRowDxfId="14" id="12" name="query_building" ref="AH1:AI8" tableType="queryTable" totalsRowShown="0">
  <autoFilter ref="AH1:AI8"/>
  <tableColumns count="2">
    <tableColumn dataDxfId="13" id="1" name="BUILDING" queryTableFieldId="1" uniqueName="1"/>
    <tableColumn dataDxfId="12" id="2" name="BUILDING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isplayName="Query_Industry_Type" headerRowDxfId="11" id="13" name="Query_Industry_Type" ref="AK1:AL261" tableType="queryTable" totalsRowShown="0">
  <autoFilter ref="AK1:AL261"/>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4.xml><?xml version="1.0" encoding="utf-8"?>
<table xmlns="http://schemas.openxmlformats.org/spreadsheetml/2006/main" dataDxfId="7" displayName="Query_Rating_Institute" headerRowDxfId="8" id="14" insertRowShift="1" name="Query_Rating_Institute" ref="AN1:AO8" tableType="queryTable" totalsRowShown="0">
  <autoFilter ref="AN1:AO8"/>
  <tableColumns count="2">
    <tableColumn dataDxfId="6" id="5" name="RATING INSTITUTE" queryTableFieldId="1" uniqueName="5"/>
    <tableColumn dataDxfId="5" id="6" name="CODE" queryTableFieldId="2" uniqueName="6"/>
  </tableColumns>
  <tableStyleInfo name="TableStyleMedium7" showColumnStripes="0" showFirstColumn="0" showLastColumn="0" showRowStripes="1"/>
</table>
</file>

<file path=xl/tables/table15.xml><?xml version="1.0" encoding="utf-8"?>
<table xmlns="http://schemas.openxmlformats.org/spreadsheetml/2006/main" displayName="Query_Job_Position" headerRowDxfId="4" id="15" name="Query_Job_Position" ref="AQ1:AQ30" tableType="queryTable" totalsRowShown="0">
  <autoFilter ref="AQ1:AQ30"/>
  <tableColumns count="1">
    <tableColumn dataDxfId="3" id="1" name="JOB POSITION NAME" queryTableFieldId="1" uniqueName="1"/>
  </tableColumns>
  <tableStyleInfo name="TableStyleMedium7" showColumnStripes="0" showFirstColumn="0" showLastColumn="0" showRowStripes="1"/>
</table>
</file>

<file path=xl/tables/table16.xml><?xml version="1.0" encoding="utf-8"?>
<table xmlns="http://schemas.openxmlformats.org/spreadsheetml/2006/main" displayName="Query_Bank" headerRowDxfId="2" id="16" name="Query_Bank" ref="AS1:AT147" tableType="queryTable" totalsRowShown="0">
  <autoFilter ref="AS1:AT147"/>
  <tableColumns count="2">
    <tableColumn id="5" name="BANK NAME" queryTableFieldId="1" uniqueName="5"/>
    <tableColumn id="6" name="BANK CODE" queryTableFieldId="2" uniqueName="6"/>
  </tableColumns>
  <tableStyleInfo name="TableStyleMedium7" showColumnStripes="0" showFirstColumn="0" showLastColumn="0" showRowStripes="1"/>
</table>
</file>

<file path=xl/tables/table17.xml><?xml version="1.0" encoding="utf-8"?>
<table xmlns="http://schemas.openxmlformats.org/spreadsheetml/2006/main" displayName="Query_Copy_Address_From" headerRowDxfId="1" id="17" name="Query_Copy_Address_From" ref="AV1:AV10" tableType="queryTable" totalsRowShown="0">
  <autoFilter ref="AV1:AV10"/>
  <tableColumns count="1">
    <tableColumn dataDxfId="0" id="1" name="Copy Address" queryTableFieldId="1" uniqueName="1"/>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2.vml" Type="http://schemas.openxmlformats.org/officeDocument/2006/relationships/vmlDrawing"/><Relationship Id="rId3"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6.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7.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drawings/vmlDrawing6.vml" Type="http://schemas.openxmlformats.org/officeDocument/2006/relationships/vmlDrawing"/><Relationship Id="rId3" Target="../comments6.xml" Type="http://schemas.openxmlformats.org/officeDocument/2006/relationships/comments"/></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 Id="rId10" Target="../tables/table10.xml" Type="http://schemas.openxmlformats.org/officeDocument/2006/relationships/table"/><Relationship Id="rId11" Target="../tables/table11.xml" Type="http://schemas.openxmlformats.org/officeDocument/2006/relationships/table"/><Relationship Id="rId12" Target="../tables/table12.xml" Type="http://schemas.openxmlformats.org/officeDocument/2006/relationships/table"/><Relationship Id="rId13" Target="../tables/table13.xml" Type="http://schemas.openxmlformats.org/officeDocument/2006/relationships/table"/><Relationship Id="rId14" Target="../tables/table14.xml" Type="http://schemas.openxmlformats.org/officeDocument/2006/relationships/table"/><Relationship Id="rId15" Target="../tables/table15.xml" Type="http://schemas.openxmlformats.org/officeDocument/2006/relationships/table"/><Relationship Id="rId16" Target="../tables/table16.xml" Type="http://schemas.openxmlformats.org/officeDocument/2006/relationships/table"/><Relationship Id="rId17" Target="../tables/table17.xml" Type="http://schemas.openxmlformats.org/officeDocument/2006/relationships/table"/><Relationship Id="rId2" Target="../tables/table2.xml" Type="http://schemas.openxmlformats.org/officeDocument/2006/relationships/table"/><Relationship Id="rId3" Target="../tables/table3.xml" Type="http://schemas.openxmlformats.org/officeDocument/2006/relationships/table"/><Relationship Id="rId4" Target="../tables/table4.xml" Type="http://schemas.openxmlformats.org/officeDocument/2006/relationships/table"/><Relationship Id="rId5" Target="../tables/table5.xml" Type="http://schemas.openxmlformats.org/officeDocument/2006/relationships/table"/><Relationship Id="rId6" Target="../tables/table6.xml" Type="http://schemas.openxmlformats.org/officeDocument/2006/relationships/table"/><Relationship Id="rId7" Target="../tables/table7.xml" Type="http://schemas.openxmlformats.org/officeDocument/2006/relationships/table"/><Relationship Id="rId8" Target="../tables/table8.xml" Type="http://schemas.openxmlformats.org/officeDocument/2006/relationships/table"/><Relationship Id="rId9" Target="../tables/table9.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F23"/>
  <sheetViews>
    <sheetView workbookViewId="0">
      <selection activeCell="B1" sqref="B1:B2"/>
    </sheetView>
  </sheetViews>
  <sheetFormatPr defaultRowHeight="15" x14ac:dyDescent="0.25"/>
  <cols>
    <col min="1" max="1" bestFit="true" customWidth="true" width="26.42578125" collapsed="true"/>
    <col min="2" max="3" bestFit="true" customWidth="true" width="36.5703125" collapsed="true"/>
  </cols>
  <sheetData>
    <row customFormat="1" r="1" s="2" spans="1:5" x14ac:dyDescent="0.25">
      <c r="A1" s="2" t="s">
        <v>3</v>
      </c>
      <c r="B1" t="s">
        <v>3502</v>
      </c>
      <c r="C1" s="2" t="s">
        <v>2794</v>
      </c>
      <c r="D1" s="2" t="s">
        <v>2794</v>
      </c>
      <c r="E1" s="2" t="s">
        <v>2794</v>
      </c>
    </row>
    <row customFormat="1" r="2" s="2" spans="1:5" x14ac:dyDescent="0.25">
      <c r="A2" s="2" t="s">
        <v>3401</v>
      </c>
      <c r="B2" s="2" t="s">
        <v>3493</v>
      </c>
      <c r="C2" s="2" t="s">
        <v>3493</v>
      </c>
      <c r="D2" s="2" t="s">
        <v>3493</v>
      </c>
      <c r="E2" s="2" t="s">
        <v>3493</v>
      </c>
    </row>
    <row customFormat="1" r="3" s="2" spans="1:5" x14ac:dyDescent="0.25">
      <c r="A3" s="2" t="s">
        <v>3402</v>
      </c>
      <c r="B3"/>
    </row>
    <row customFormat="1" r="4" s="2" spans="1:5" x14ac:dyDescent="0.25">
      <c r="A4" s="2" t="s">
        <v>3425</v>
      </c>
      <c r="B4" s="2">
        <f>COUNTIFS($A$14:$A$15, "*$*",B14:B15,"")+COUNTIFS($A$18, "*$*",B18,"")+COUNTIFS($A$20:$A$22, "*$*",B20:B22,"")+IF(B18="Yes",COUNTIFS($A$23, "*$*",B23,""),0)</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43" spans="1:5" x14ac:dyDescent="0.25">
      <c r="B11" s="42"/>
      <c r="C11" s="42"/>
    </row>
    <row customFormat="1" r="12" s="2" spans="1:5" x14ac:dyDescent="0.25">
      <c r="A12" s="39" t="s">
        <v>3084</v>
      </c>
      <c r="B12" s="2" t="str">
        <f>'[1]1.TabCustomerMainData'!$B$13</f>
        <v>0002APP20211205279</v>
      </c>
    </row>
    <row customFormat="1" r="13" s="2" spans="1:5" x14ac:dyDescent="0.25">
      <c r="A13" s="39" t="s">
        <v>3085</v>
      </c>
      <c r="B13" t="s">
        <v>3496</v>
      </c>
      <c r="C13" s="2" t="s">
        <v>3400</v>
      </c>
    </row>
    <row customFormat="1" r="14" s="2" spans="1:5" x14ac:dyDescent="0.25">
      <c r="A14" s="30" t="s">
        <v>3426</v>
      </c>
      <c r="B14" s="34">
        <v>44535</v>
      </c>
      <c r="C14" s="34">
        <v>44536</v>
      </c>
    </row>
    <row customFormat="1" r="15" s="2" spans="1:5" x14ac:dyDescent="0.25">
      <c r="A15" s="30" t="s">
        <v>3427</v>
      </c>
      <c r="B15" s="1">
        <v>500</v>
      </c>
      <c r="C15" s="1">
        <v>501</v>
      </c>
    </row>
    <row customFormat="1" r="16" s="2" spans="1:5" x14ac:dyDescent="0.25">
      <c r="A16" s="1" t="s">
        <v>4</v>
      </c>
      <c r="B16" s="1"/>
      <c r="C16" s="1"/>
    </row>
    <row customFormat="1" r="17" s="2" spans="1:3" x14ac:dyDescent="0.25">
      <c r="A17" s="1" t="s">
        <v>0</v>
      </c>
      <c r="B17" s="1"/>
      <c r="C17" s="1"/>
    </row>
    <row customFormat="1" r="18" s="2" spans="1:3" x14ac:dyDescent="0.25">
      <c r="A18" s="1" t="s">
        <v>3471</v>
      </c>
      <c r="B18" s="1" t="s">
        <v>3431</v>
      </c>
      <c r="C18" s="1" t="s">
        <v>3399</v>
      </c>
    </row>
    <row customFormat="1" r="19" s="2" spans="1:3" x14ac:dyDescent="0.25">
      <c r="A19" s="1" t="s">
        <v>1</v>
      </c>
      <c r="B19" s="1" t="s">
        <v>3431</v>
      </c>
      <c r="C19" s="1"/>
    </row>
    <row customFormat="1" r="20" s="2" spans="1:3" x14ac:dyDescent="0.25">
      <c r="A20" s="32" t="s">
        <v>3428</v>
      </c>
      <c r="B20" s="1" t="str">
        <f>VLOOKUP(B21,Master!$AK:$AL,2,FALSE)</f>
        <v>1119</v>
      </c>
      <c r="C20" s="1" t="str">
        <f>VLOOKUP(C21,Master!$AK:$AL,2,FALSE)</f>
        <v>1119</v>
      </c>
    </row>
    <row customFormat="1" r="21" s="2" spans="1:3" x14ac:dyDescent="0.25">
      <c r="A21" s="30" t="s">
        <v>3429</v>
      </c>
      <c r="B21" s="1" t="s">
        <v>2825</v>
      </c>
      <c r="C21" s="1" t="s">
        <v>2825</v>
      </c>
    </row>
    <row customFormat="1" r="22" s="2" spans="1:3" x14ac:dyDescent="0.25">
      <c r="A22" s="1" t="s">
        <v>3432</v>
      </c>
      <c r="B22" s="1" t="s">
        <v>2</v>
      </c>
      <c r="C22" s="1" t="s">
        <v>2</v>
      </c>
    </row>
    <row customFormat="1" r="23" s="2" spans="1:3" x14ac:dyDescent="0.25">
      <c r="A23" s="31" t="s">
        <v>3430</v>
      </c>
      <c r="B23" s="1"/>
      <c r="C23" s="1" t="s">
        <v>3105</v>
      </c>
    </row>
  </sheetData>
  <conditionalFormatting sqref="A23:XFD23">
    <cfRule dxfId="60" priority="1" type="expression">
      <formula>A$18="No"</formula>
    </cfRule>
  </conditionalFormatting>
  <dataValidations count="7">
    <dataValidation allowBlank="1" showErrorMessage="1" showInputMessage="1" sqref="B19:C19" type="list">
      <formula1>"Yes, No"</formula1>
    </dataValidation>
    <dataValidation allowBlank="1" errorStyle="information" showErrorMessage="1" showInputMessage="1" sqref="B15:C15" type="whole">
      <formula1>0</formula1>
      <formula2>9.99999999999999E+27</formula2>
    </dataValidation>
    <dataValidation errorStyle="information" showErrorMessage="1" showInputMessage="1" sqref="B21:C21" type="list">
      <formula1>ListIndustryType</formula1>
    </dataValidation>
    <dataValidation allowBlank="1" errorStyle="information" showErrorMessage="1" showInputMessage="1" sqref="B16:C16"/>
    <dataValidation allowBlank="1" errorStyle="information" showErrorMessage="1" showInputMessage="1" sqref="B18:C18" type="list">
      <formula1>"Yes, No"</formula1>
    </dataValidation>
    <dataValidation errorStyle="information" showErrorMessage="1" showInputMessage="1" sqref="B22:C22" type="list">
      <formula1>"Corporate, Non Corporate"</formula1>
    </dataValidation>
    <dataValidation allowBlank="1" errorStyle="information" showErrorMessage="1" showInputMessage="1" sqref="B23:C23" type="custom">
      <formula1>B$18="Yes"</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F32"/>
  <sheetViews>
    <sheetView topLeftCell="A7" workbookViewId="0">
      <selection activeCell="E1" sqref="B1:E2"/>
    </sheetView>
  </sheetViews>
  <sheetFormatPr defaultRowHeight="15" x14ac:dyDescent="0.25"/>
  <cols>
    <col min="1" max="1" bestFit="true" customWidth="true" width="18.28515625" collapsed="true"/>
    <col min="2" max="2" customWidth="true" width="24.28515625" collapsed="true"/>
    <col min="3" max="3" bestFit="true" customWidth="true" width="24.140625" collapsed="true"/>
    <col min="4" max="4" bestFit="true" customWidth="true" width="20.85546875" collapsed="true"/>
  </cols>
  <sheetData>
    <row customFormat="1" r="1" s="2" spans="1:5" x14ac:dyDescent="0.25">
      <c r="A1" s="2" t="s">
        <v>3</v>
      </c>
      <c r="B1" s="2" t="s">
        <v>2794</v>
      </c>
      <c r="C1" t="s">
        <v>3502</v>
      </c>
      <c r="D1" t="s">
        <v>3502</v>
      </c>
      <c r="E1" s="2" t="s">
        <v>2794</v>
      </c>
    </row>
    <row customFormat="1" r="2" s="2" spans="1:5" x14ac:dyDescent="0.25">
      <c r="A2" s="2" t="s">
        <v>3401</v>
      </c>
      <c r="B2" s="2" t="s">
        <v>3493</v>
      </c>
      <c r="C2" t="s">
        <v>3512</v>
      </c>
      <c r="D2" s="2" t="s">
        <v>3493</v>
      </c>
      <c r="E2" s="2" t="s">
        <v>3493</v>
      </c>
    </row>
    <row customFormat="1" r="3" s="2" spans="1:5" x14ac:dyDescent="0.25">
      <c r="A3" s="2" t="s">
        <v>3402</v>
      </c>
    </row>
    <row customFormat="1" r="4" s="2" spans="1:5" x14ac:dyDescent="0.25">
      <c r="A4" s="2" t="s">
        <v>3425</v>
      </c>
      <c r="B4" s="2">
        <f>IF(B13="",COUNTIFS($A$12:$A$32, "*$*",B12:B32,""),0)</f>
        <v>0</v>
      </c>
      <c r="C4" s="2">
        <f>IF(C13="",COUNTIFS($A$12:$A$32, "*$*",C12:C32,""),0)</f>
        <v>0</v>
      </c>
      <c r="D4" s="2">
        <f>IF(D13="",COUNTIFS($A$12:$A$32, "*$*",D12:D32,""),0)</f>
        <v>0</v>
      </c>
    </row>
    <row customFormat="1" r="5" s="2" spans="1:5" x14ac:dyDescent="0.25"/>
    <row customFormat="1" r="6" s="2" spans="1:5" x14ac:dyDescent="0.25"/>
    <row customFormat="1" r="7" s="2" spans="1:5" x14ac:dyDescent="0.25"/>
    <row customFormat="1" r="8" s="43" spans="1:5" x14ac:dyDescent="0.25">
      <c r="B8" s="42"/>
      <c r="C8" s="42"/>
    </row>
    <row customFormat="1" r="9" s="2" spans="1:5" x14ac:dyDescent="0.25">
      <c r="A9" s="2" t="s">
        <v>3084</v>
      </c>
      <c r="C9" s="2" t="str">
        <f>'1.CustomerDetail'!B12</f>
        <v>0002APP20211205279</v>
      </c>
      <c r="D9" s="2" t="str">
        <f>'1.CustomerDetail'!B12</f>
        <v>0002APP20211205279</v>
      </c>
    </row>
    <row customFormat="1" r="10" s="2" spans="1:5" x14ac:dyDescent="0.25">
      <c r="A10" s="2" t="s">
        <v>3472</v>
      </c>
      <c r="C10" s="2" t="str">
        <f>'1.CustomerDetail'!B13</f>
        <v>PT POLO</v>
      </c>
      <c r="D10" s="2" t="str">
        <f>'1.CustomerDetail'!B13</f>
        <v>PT POLO</v>
      </c>
    </row>
    <row customFormat="1" r="11" s="43" spans="1:5" x14ac:dyDescent="0.25">
      <c r="B11" s="42"/>
      <c r="C11" s="42"/>
    </row>
    <row customFormat="1" r="12" s="2" spans="1:5" x14ac:dyDescent="0.25">
      <c r="A12" s="30" t="s">
        <v>3414</v>
      </c>
      <c r="B12" s="2" t="s">
        <v>5</v>
      </c>
      <c r="C12" s="2" t="s">
        <v>5</v>
      </c>
      <c r="D12" s="2" t="s">
        <v>3374</v>
      </c>
    </row>
    <row customFormat="1" r="13" s="2" spans="1:5" x14ac:dyDescent="0.25">
      <c r="A13" s="2" t="s">
        <v>6</v>
      </c>
    </row>
    <row customFormat="1" r="14" s="2" spans="1:5" x14ac:dyDescent="0.25">
      <c r="A14" s="30" t="s">
        <v>3415</v>
      </c>
      <c r="B14" s="41" t="s">
        <v>3391</v>
      </c>
      <c r="C14" s="41" t="s">
        <v>3497</v>
      </c>
      <c r="D14" s="2" t="s">
        <v>3490</v>
      </c>
    </row>
    <row customFormat="1" r="15" s="2" spans="1:5" x14ac:dyDescent="0.25">
      <c r="A15" s="30" t="s">
        <v>3416</v>
      </c>
      <c r="B15" s="33">
        <v>12</v>
      </c>
      <c r="C15" s="33" t="s">
        <v>84</v>
      </c>
      <c r="D15" s="4" t="s">
        <v>235</v>
      </c>
    </row>
    <row customFormat="1" r="16" s="2" spans="1:5" x14ac:dyDescent="0.25">
      <c r="A16" s="30" t="s">
        <v>3417</v>
      </c>
      <c r="B16" s="33">
        <v>12</v>
      </c>
      <c r="C16" s="33" t="s">
        <v>140</v>
      </c>
      <c r="D16" s="4" t="s">
        <v>235</v>
      </c>
    </row>
    <row customFormat="1" r="17" s="2" spans="1:4" x14ac:dyDescent="0.25">
      <c r="A17" s="30" t="s">
        <v>3418</v>
      </c>
      <c r="B17" s="1">
        <v>40242</v>
      </c>
      <c r="C17" s="1">
        <v>11530</v>
      </c>
      <c r="D17" s="2">
        <v>11530</v>
      </c>
    </row>
    <row customFormat="1" r="18" s="2" spans="1:4" x14ac:dyDescent="0.25">
      <c r="A18" s="30" t="s">
        <v>3419</v>
      </c>
      <c r="B18" s="2" t="s">
        <v>3379</v>
      </c>
      <c r="C18" s="2" t="s">
        <v>3498</v>
      </c>
      <c r="D18" s="2" t="s">
        <v>3491</v>
      </c>
    </row>
    <row customFormat="1" r="19" s="2" spans="1:4" x14ac:dyDescent="0.25">
      <c r="A19" s="30" t="s">
        <v>3420</v>
      </c>
      <c r="B19" s="2" t="s">
        <v>3380</v>
      </c>
      <c r="C19" s="2" t="s">
        <v>3498</v>
      </c>
      <c r="D19" s="2" t="s">
        <v>3491</v>
      </c>
    </row>
    <row customFormat="1" r="20" s="2" spans="1:4" x14ac:dyDescent="0.25">
      <c r="A20" s="30" t="s">
        <v>3421</v>
      </c>
      <c r="B20" s="2" t="s">
        <v>3381</v>
      </c>
      <c r="C20" s="2" t="s">
        <v>3499</v>
      </c>
      <c r="D20" s="2" t="s">
        <v>3492</v>
      </c>
    </row>
    <row customFormat="1" r="21" s="2" spans="1:4" x14ac:dyDescent="0.25">
      <c r="A21" s="30" t="s">
        <v>3422</v>
      </c>
      <c r="B21" s="33">
        <v>1212</v>
      </c>
      <c r="C21" s="33">
        <v>201</v>
      </c>
      <c r="D21" s="2">
        <v>221</v>
      </c>
    </row>
    <row customFormat="1" r="22" s="2" spans="1:4" x14ac:dyDescent="0.25">
      <c r="A22" s="30" t="s">
        <v>3423</v>
      </c>
      <c r="B22" s="41">
        <v>1234</v>
      </c>
      <c r="C22" s="41">
        <v>1133523</v>
      </c>
      <c r="D22" s="2">
        <v>1386239</v>
      </c>
    </row>
    <row customFormat="1" r="23" s="2" spans="1:4" x14ac:dyDescent="0.25">
      <c r="A23" s="1" t="s">
        <v>3090</v>
      </c>
      <c r="B23" s="33" t="s">
        <v>3370</v>
      </c>
      <c r="C23" s="33" t="s">
        <v>3370</v>
      </c>
    </row>
    <row customFormat="1" r="24" s="2" spans="1:4" x14ac:dyDescent="0.25">
      <c r="A24" s="2" t="s">
        <v>3091</v>
      </c>
      <c r="B24" s="33"/>
      <c r="C24" s="33"/>
    </row>
    <row customFormat="1" r="25" s="2" spans="1:4" x14ac:dyDescent="0.25">
      <c r="A25" s="2" t="s">
        <v>3092</v>
      </c>
      <c r="B25" s="1"/>
      <c r="C25" s="1"/>
    </row>
    <row customFormat="1" r="26" s="2" spans="1:4" x14ac:dyDescent="0.25">
      <c r="A26" s="2" t="s">
        <v>3093</v>
      </c>
      <c r="B26" s="1"/>
      <c r="C26" s="1"/>
    </row>
    <row customFormat="1" r="27" s="2" spans="1:4" x14ac:dyDescent="0.25">
      <c r="A27" s="2" t="s">
        <v>3094</v>
      </c>
      <c r="B27" s="33"/>
      <c r="C27" s="33"/>
    </row>
    <row customFormat="1" r="28" s="2" spans="1:4" x14ac:dyDescent="0.25">
      <c r="A28" s="2" t="s">
        <v>3095</v>
      </c>
      <c r="B28" s="1"/>
      <c r="C28" s="1"/>
    </row>
    <row customFormat="1" r="29" s="2" spans="1:4" x14ac:dyDescent="0.25">
      <c r="A29" s="2" t="s">
        <v>3096</v>
      </c>
      <c r="B29" s="1"/>
      <c r="C29" s="1"/>
    </row>
    <row customFormat="1" r="30" s="2" spans="1:4" x14ac:dyDescent="0.25">
      <c r="A30" s="2" t="s">
        <v>3097</v>
      </c>
      <c r="B30" s="33" t="s">
        <v>3370</v>
      </c>
      <c r="C30" s="33" t="s">
        <v>3370</v>
      </c>
    </row>
    <row customFormat="1" r="31" s="2" spans="1:4" x14ac:dyDescent="0.25">
      <c r="A31" s="2" t="s">
        <v>3098</v>
      </c>
      <c r="B31" s="1"/>
      <c r="C31" s="1"/>
    </row>
    <row customFormat="1" r="32" s="2" spans="1:4" x14ac:dyDescent="0.25">
      <c r="A32" s="30" t="s">
        <v>3424</v>
      </c>
      <c r="B32" s="1" t="s">
        <v>14</v>
      </c>
      <c r="C32" s="1" t="s">
        <v>231</v>
      </c>
      <c r="D32" s="1" t="s">
        <v>14</v>
      </c>
    </row>
  </sheetData>
  <conditionalFormatting sqref="A14 A18:A20 A15:C17 D14:XFD20">
    <cfRule dxfId="59" priority="1" type="expression">
      <formula>AND(A$13&lt;&gt;"",A$13&lt;&gt;"Copy Address From")</formula>
    </cfRule>
  </conditionalFormatting>
  <dataValidations count="4">
    <dataValidation allowBlank="1" errorStyle="information" showErrorMessage="1" showInputMessage="1" sqref="B15:C17" type="custom">
      <formula1>ISBLANK(B$13)</formula1>
    </dataValidation>
    <dataValidation allowBlank="1" errorStyle="information" showErrorMessage="1" showInputMessage="1" sqref="B12:D12" type="list">
      <formula1>"Business, Company, Legal, Mailing"</formula1>
    </dataValidation>
    <dataValidation allowBlank="1" errorStyle="information" showErrorMessage="1" showInputMessage="1" sqref="B14:C14 B18:C31"/>
    <dataValidation allowBlank="1" errorStyle="information" showErrorMessage="1" showInputMessage="1" sqref="B32:D32" type="list">
      <formula1>"Dinas, Family, KPR, Rented, Self - Owned"</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2">
        <x14:dataValidation allowBlank="1" showErrorMessage="1" showInputMessage="1" type="list">
          <x14:formula1>
            <xm:f>Master!$AV$2:$AV$110</xm:f>
          </x14:formula1>
          <xm:sqref>D13:H13</xm:sqref>
        </x14:dataValidation>
        <x14:dataValidation allowBlank="1" errorStyle="information" showErrorMessage="1" showInputMessage="1" type="list">
          <x14:formula1>
            <xm:f>Master!$AV$2:$AV20</xm:f>
          </x14:formula1>
          <xm:sqref>B13:C13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F41"/>
  <sheetViews>
    <sheetView workbookViewId="0">
      <selection activeCell="B1" sqref="B1:B2"/>
    </sheetView>
  </sheetViews>
  <sheetFormatPr defaultRowHeight="15" x14ac:dyDescent="0.25"/>
  <cols>
    <col min="1" max="1" bestFit="true" customWidth="true" width="19.5703125" collapsed="true"/>
    <col min="2" max="2" customWidth="true" width="24.5703125" collapsed="true"/>
    <col min="3" max="3" bestFit="true" customWidth="true" width="26.42578125" collapsed="true"/>
    <col min="4" max="4" bestFit="true" customWidth="true" width="24.0" collapsed="true"/>
  </cols>
  <sheetData>
    <row customFormat="1" r="1" s="2" spans="1:5" x14ac:dyDescent="0.25">
      <c r="A1" s="2" t="s">
        <v>3</v>
      </c>
      <c r="B1" t="s">
        <v>3506</v>
      </c>
      <c r="C1" s="2" t="s">
        <v>2794</v>
      </c>
      <c r="D1" s="2" t="s">
        <v>2794</v>
      </c>
      <c r="E1" s="2" t="s">
        <v>2794</v>
      </c>
    </row>
    <row customFormat="1" r="2" s="2" spans="1:5" x14ac:dyDescent="0.25">
      <c r="A2" s="2" t="s">
        <v>3401</v>
      </c>
      <c r="B2" t="s">
        <v>3512</v>
      </c>
      <c r="C2" s="2" t="s">
        <v>3493</v>
      </c>
      <c r="D2" s="2" t="s">
        <v>3493</v>
      </c>
      <c r="E2" s="2" t="s">
        <v>3493</v>
      </c>
    </row>
    <row customFormat="1" r="3" s="2" spans="1:5" x14ac:dyDescent="0.25">
      <c r="A3" s="2" t="s">
        <v>3402</v>
      </c>
    </row>
    <row customFormat="1" r="4" s="2" spans="1:5" x14ac:dyDescent="0.25">
      <c r="A4" s="2" t="s">
        <v>3425</v>
      </c>
      <c r="B4" s="2">
        <f>COUNTIFS($A$12:$A$17, "*$*",B12:B17,"")+COUNTIFS($A$19:$A$20, "*$*",B19:B20,"")</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47" spans="1:5" x14ac:dyDescent="0.25">
      <c r="A11" s="44" t="s">
        <v>3086</v>
      </c>
      <c r="B11" s="45"/>
      <c r="C11" s="46"/>
    </row>
    <row customFormat="1" r="12" s="2" spans="1:5" x14ac:dyDescent="0.25">
      <c r="A12" s="30" t="s">
        <v>3433</v>
      </c>
      <c r="B12" s="2" t="s">
        <v>3501</v>
      </c>
      <c r="C12" s="2" t="s">
        <v>3392</v>
      </c>
      <c r="D12" s="2" t="s">
        <v>3392</v>
      </c>
    </row>
    <row customFormat="1" r="13" s="2" spans="1:5" x14ac:dyDescent="0.25">
      <c r="A13" s="30" t="s">
        <v>3434</v>
      </c>
      <c r="B13" s="2" t="s">
        <v>3383</v>
      </c>
      <c r="C13" s="2" t="s">
        <v>3383</v>
      </c>
      <c r="D13" s="2" t="s">
        <v>3383</v>
      </c>
    </row>
    <row customFormat="1" r="14" s="2" spans="1:5" x14ac:dyDescent="0.25">
      <c r="A14" s="2" t="s">
        <v>3435</v>
      </c>
      <c r="B14" s="2" t="s">
        <v>3393</v>
      </c>
      <c r="C14" s="2" t="s">
        <v>3393</v>
      </c>
      <c r="D14" s="2" t="s">
        <v>3393</v>
      </c>
    </row>
    <row customFormat="1" r="15" s="2" spans="1:5" x14ac:dyDescent="0.25">
      <c r="A15" s="2" t="s">
        <v>3436</v>
      </c>
      <c r="B15" s="33" t="s">
        <v>3394</v>
      </c>
      <c r="C15" s="33" t="s">
        <v>3394</v>
      </c>
      <c r="D15" s="33" t="s">
        <v>3394</v>
      </c>
    </row>
    <row customFormat="1" r="16" s="2" spans="1:5" x14ac:dyDescent="0.25">
      <c r="A16" s="2" t="s">
        <v>3438</v>
      </c>
      <c r="B16" s="34" t="s">
        <v>3382</v>
      </c>
      <c r="C16" s="34" t="s">
        <v>3408</v>
      </c>
      <c r="D16" s="34" t="s">
        <v>3409</v>
      </c>
    </row>
    <row customFormat="1" r="17" s="2" spans="1:4" x14ac:dyDescent="0.25">
      <c r="A17" s="30" t="s">
        <v>3437</v>
      </c>
      <c r="B17" s="33" t="s">
        <v>3500</v>
      </c>
      <c r="C17" s="33" t="s">
        <v>3410</v>
      </c>
      <c r="D17" s="33" t="s">
        <v>3411</v>
      </c>
    </row>
    <row customFormat="1" r="18" s="2" spans="1:4" x14ac:dyDescent="0.25">
      <c r="A18" s="2" t="s">
        <v>17</v>
      </c>
      <c r="B18" s="3"/>
      <c r="C18" s="3"/>
      <c r="D18" s="3"/>
    </row>
    <row customFormat="1" r="19" s="2" spans="1:4" x14ac:dyDescent="0.25">
      <c r="A19" s="30" t="s">
        <v>3439</v>
      </c>
      <c r="B19" s="2" t="s">
        <v>3395</v>
      </c>
      <c r="C19" s="2" t="s">
        <v>3395</v>
      </c>
      <c r="D19" s="2" t="s">
        <v>3395</v>
      </c>
    </row>
    <row customFormat="1" r="20" s="2" spans="1:4" x14ac:dyDescent="0.25">
      <c r="A20" s="30" t="s">
        <v>3440</v>
      </c>
      <c r="B20" s="2" t="s">
        <v>3063</v>
      </c>
      <c r="C20" s="2" t="s">
        <v>3063</v>
      </c>
      <c r="D20" s="2" t="s">
        <v>3063</v>
      </c>
    </row>
    <row customFormat="1" r="21" s="2" spans="1:4" x14ac:dyDescent="0.25">
      <c r="A21" s="2" t="s">
        <v>20</v>
      </c>
    </row>
    <row customFormat="1" r="22" s="2" spans="1:4" x14ac:dyDescent="0.25">
      <c r="A22" s="2" t="s">
        <v>21</v>
      </c>
      <c r="B22" s="4"/>
      <c r="C22" s="4"/>
      <c r="D22" s="4"/>
    </row>
    <row customFormat="1" r="23" s="2" spans="1:4" x14ac:dyDescent="0.25">
      <c r="A23" s="5" t="s">
        <v>22</v>
      </c>
    </row>
    <row customFormat="1" r="24" s="2" spans="1:4" x14ac:dyDescent="0.25">
      <c r="A24" s="2" t="s">
        <v>23</v>
      </c>
      <c r="B24" s="1"/>
      <c r="C24" s="1"/>
      <c r="D24" s="1"/>
    </row>
    <row customFormat="1" r="25" s="2" spans="1:4" x14ac:dyDescent="0.25">
      <c r="A25" s="2" t="s">
        <v>24</v>
      </c>
    </row>
    <row customFormat="1" r="26" s="47" spans="1:4" x14ac:dyDescent="0.25">
      <c r="A26" s="44" t="s">
        <v>3087</v>
      </c>
      <c r="B26" s="45"/>
      <c r="C26" s="45"/>
      <c r="D26" s="45"/>
    </row>
    <row customFormat="1" r="27" s="2" spans="1:4" x14ac:dyDescent="0.25">
      <c r="A27" s="2" t="s">
        <v>7</v>
      </c>
      <c r="B27" s="2" t="s">
        <v>3385</v>
      </c>
      <c r="C27" s="2" t="s">
        <v>3412</v>
      </c>
      <c r="D27" s="2" t="s">
        <v>3413</v>
      </c>
    </row>
    <row customFormat="1" r="28" s="2" spans="1:4" x14ac:dyDescent="0.25">
      <c r="A28" s="2" t="s">
        <v>8</v>
      </c>
      <c r="B28" s="33" t="s">
        <v>83</v>
      </c>
      <c r="C28" s="33" t="s">
        <v>83</v>
      </c>
      <c r="D28" s="33" t="s">
        <v>83</v>
      </c>
    </row>
    <row customFormat="1" r="29" s="2" spans="1:4" x14ac:dyDescent="0.25">
      <c r="A29" s="2" t="s">
        <v>9</v>
      </c>
      <c r="B29" s="33" t="s">
        <v>83</v>
      </c>
      <c r="C29" s="33" t="s">
        <v>83</v>
      </c>
      <c r="D29" s="33" t="s">
        <v>83</v>
      </c>
    </row>
    <row customFormat="1" r="30" s="2" spans="1:4" x14ac:dyDescent="0.25">
      <c r="A30" s="2" t="s">
        <v>25</v>
      </c>
      <c r="B30" s="1">
        <v>40266</v>
      </c>
      <c r="C30" s="1">
        <v>40267</v>
      </c>
      <c r="D30" s="1">
        <v>40268</v>
      </c>
    </row>
    <row customFormat="1" r="31" s="2" spans="1:4" x14ac:dyDescent="0.25">
      <c r="A31" s="2" t="s">
        <v>11</v>
      </c>
      <c r="B31" s="2" t="s">
        <v>3386</v>
      </c>
      <c r="C31" s="2" t="s">
        <v>3386</v>
      </c>
      <c r="D31" s="2" t="s">
        <v>3386</v>
      </c>
    </row>
    <row customFormat="1" r="32" s="2" spans="1:4" x14ac:dyDescent="0.25">
      <c r="A32" s="2" t="s">
        <v>10</v>
      </c>
      <c r="B32" s="2" t="s">
        <v>3387</v>
      </c>
      <c r="C32" s="2" t="s">
        <v>3387</v>
      </c>
      <c r="D32" s="2" t="s">
        <v>3387</v>
      </c>
    </row>
    <row customFormat="1" r="33" s="2" spans="1:4" x14ac:dyDescent="0.25">
      <c r="A33" s="2" t="s">
        <v>12</v>
      </c>
      <c r="B33" s="2" t="s">
        <v>3384</v>
      </c>
      <c r="C33" s="2" t="s">
        <v>3384</v>
      </c>
      <c r="D33" s="2" t="s">
        <v>3384</v>
      </c>
    </row>
    <row customFormat="1" r="34" s="2" spans="1:4" x14ac:dyDescent="0.25">
      <c r="A34" s="1" t="s">
        <v>3088</v>
      </c>
      <c r="B34" s="1">
        <v>123</v>
      </c>
      <c r="C34" s="1"/>
      <c r="D34" s="1"/>
    </row>
    <row customFormat="1" r="35" s="2" spans="1:4" x14ac:dyDescent="0.25">
      <c r="A35" s="1" t="s">
        <v>3089</v>
      </c>
      <c r="B35" s="1">
        <v>123</v>
      </c>
      <c r="C35" s="1"/>
      <c r="D35" s="1"/>
    </row>
    <row customFormat="1" r="36" s="2" spans="1:4" x14ac:dyDescent="0.25">
      <c r="A36" s="1" t="s">
        <v>3090</v>
      </c>
      <c r="B36" s="1">
        <v>123</v>
      </c>
      <c r="C36" s="1"/>
      <c r="D36" s="1"/>
    </row>
    <row customFormat="1" r="37" s="2" spans="1:4" x14ac:dyDescent="0.25">
      <c r="A37" s="1" t="s">
        <v>3091</v>
      </c>
      <c r="B37" s="1">
        <v>123</v>
      </c>
      <c r="C37" s="1"/>
      <c r="D37" s="1"/>
    </row>
    <row customFormat="1" r="38" s="2" spans="1:4" x14ac:dyDescent="0.25">
      <c r="A38" s="1" t="s">
        <v>3092</v>
      </c>
      <c r="B38" s="1">
        <v>123</v>
      </c>
      <c r="C38" s="1"/>
      <c r="D38" s="1"/>
    </row>
    <row customFormat="1" r="39" s="2" spans="1:4" x14ac:dyDescent="0.25">
      <c r="A39" s="1" t="s">
        <v>3093</v>
      </c>
      <c r="B39" s="1">
        <v>123</v>
      </c>
      <c r="C39" s="1"/>
      <c r="D39" s="1"/>
    </row>
    <row customFormat="1" r="40" s="2" spans="1:4" x14ac:dyDescent="0.25">
      <c r="A40" s="2" t="s">
        <v>3097</v>
      </c>
      <c r="B40" s="1">
        <v>123</v>
      </c>
      <c r="C40" s="1"/>
      <c r="D40" s="1"/>
    </row>
    <row customFormat="1" r="41" s="2" spans="1:4" x14ac:dyDescent="0.25">
      <c r="A41" s="2" t="s">
        <v>3098</v>
      </c>
      <c r="B41" s="1">
        <v>123</v>
      </c>
      <c r="C41" s="1"/>
      <c r="D41" s="1"/>
    </row>
  </sheetData>
  <conditionalFormatting sqref="A16:XFD16">
    <cfRule dxfId="58" priority="1" type="expression">
      <formula>OR(A$14="AKTA",A$14="E-KTP",A$14="NPWP")</formula>
    </cfRule>
  </conditionalFormatting>
  <dataValidations count="6">
    <dataValidation allowBlank="1" showErrorMessage="1" showInputMessage="1" sqref="B23:D23" type="list">
      <formula1>"Brother, Father, Mother, Other, Sister, Spouse"</formula1>
    </dataValidation>
    <dataValidation errorStyle="information" showErrorMessage="1" showInputMessage="1" sqref="B20:D20" type="list">
      <formula1>ListJobPosition</formula1>
    </dataValidation>
    <dataValidation allowBlank="1" errorStyle="information" showErrorMessage="1" showInputMessage="1" sqref="B14:D14" type="list">
      <formula1>"AKTA, CAT CAT, CAT IS A CAT, DESCRIPTION FOR AAA, DESCRIPTION FOR ASA, DESCRIPTION FOR KTP, E-KTP, KITAS, NPWP, SIM, KARTU TANDA MAHASISWA"</formula1>
    </dataValidation>
    <dataValidation allowBlank="1" errorStyle="information" showErrorMessage="1" showInputMessage="1" sqref="B15:D15"/>
    <dataValidation allowBlank="1" errorStyle="information" showErrorMessage="1" showInputMessage="1" sqref="B16:D16" type="custom">
      <formula1>AND(B$14&lt;&gt;"E-KTP",B$14&lt;&gt;"AKTA",B$14&lt;&gt;"NPWP")</formula1>
    </dataValidation>
    <dataValidation errorStyle="information" showErrorMessage="1" showInputMessage="1" sqref="B19:D19" type="list">
      <formula1>"Male, Female"</formula1>
    </dataValidation>
  </dataValidations>
  <pageMargins bottom="0.75" footer="0.3" header="0.3" left="0.7" right="0.7" top="0.75"/>
  <pageSetup orientation="portrait" paperSize="9" r:id="rId1"/>
  <legacyDrawing r:id="rId2"/>
</worksheet>
</file>

<file path=xl/worksheets/sheet4.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4"/>
  <dimension ref="A1:F79"/>
  <sheetViews>
    <sheetView tabSelected="1" topLeftCell="A16" workbookViewId="0">
      <selection activeCell="C36" sqref="C36"/>
    </sheetView>
  </sheetViews>
  <sheetFormatPr defaultRowHeight="15" x14ac:dyDescent="0.25"/>
  <cols>
    <col min="1" max="1" bestFit="true" customWidth="true" width="49.85546875" collapsed="true"/>
    <col min="2" max="2" bestFit="true" customWidth="true" width="19.140625" collapsed="true"/>
    <col min="3" max="3" bestFit="true" customWidth="true" width="19.85546875" collapsed="true"/>
    <col min="4" max="5" bestFit="true" customWidth="true" width="11.7109375" collapsed="true"/>
  </cols>
  <sheetData>
    <row customFormat="1" r="1" s="48" spans="1:5" x14ac:dyDescent="0.25">
      <c r="A1" s="48" t="s">
        <v>3</v>
      </c>
      <c r="B1" t="s">
        <v>3502</v>
      </c>
      <c r="C1" t="s">
        <v>3502</v>
      </c>
      <c r="D1" s="2" t="s">
        <v>2794</v>
      </c>
      <c r="E1" s="2" t="s">
        <v>2794</v>
      </c>
    </row>
    <row customFormat="1" r="2" s="2" spans="1:5" x14ac:dyDescent="0.25">
      <c r="A2" s="2" t="s">
        <v>3401</v>
      </c>
      <c r="B2" t="s">
        <v>3507</v>
      </c>
      <c r="C2" s="2" t="s">
        <v>3493</v>
      </c>
      <c r="D2" s="2" t="s">
        <v>3493</v>
      </c>
      <c r="E2" s="2" t="s">
        <v>3493</v>
      </c>
    </row>
    <row customFormat="1" r="3" s="2" spans="1:5" x14ac:dyDescent="0.25">
      <c r="A3" s="2" t="s">
        <v>3402</v>
      </c>
    </row>
    <row customFormat="1" r="4" s="2" spans="1:5" x14ac:dyDescent="0.25">
      <c r="A4" s="2" t="s">
        <v>3425</v>
      </c>
      <c r="B4" s="2">
        <f>COUNTIFS($A$12,"*$*",B12,"")+COUNTIFS($A$35,"*$*",B35,"")+IF(B10&lt;&gt;A10,COUNTIFS($A$53:$A$54,"*$*",B53:B54,"")+COUNTIFS($A$61:$A$62,"*$*",B61:B62,""),0)</f>
        <v>0</v>
      </c>
      <c r="C4" s="2">
        <f>COUNTIFS($A$12,"*$*",C12,"")+COUNTIFS($A$35,"*$*",C35,"")+IF(C10&lt;&gt;B10,COUNTIFS($A$53:$A$54,"*$*",C53:C54,"")+COUNTIFS($A$61:$A$62,"*$*",C61:C62,""),0)</f>
        <v>0</v>
      </c>
      <c r="D4" s="2">
        <f ref="D4:E4" si="0" t="shared">COUNTIFS($A$12,"*$*",D12,"")+COUNTIFS($A$35,"*$*",D35,"")+IF(D10&lt;&gt;C10,COUNTIFS($A$53:$A$54,"*$*",D53:D54,"")+COUNTIFS($A$61:$A$62,"*$*",D61:D62,""),0)</f>
        <v>0</v>
      </c>
      <c r="E4" s="2">
        <f si="0" t="shared"/>
        <v>0</v>
      </c>
    </row>
    <row customFormat="1" r="5" s="2" spans="1:5" x14ac:dyDescent="0.25"/>
    <row customFormat="1" r="6" s="2" spans="1:5" x14ac:dyDescent="0.25"/>
    <row customFormat="1" r="7" s="2" spans="1:5" x14ac:dyDescent="0.25"/>
    <row customFormat="1" r="8" s="51" spans="1:5" x14ac:dyDescent="0.25"/>
    <row customFormat="1" r="9" s="2" spans="1:5" x14ac:dyDescent="0.25">
      <c r="A9" s="2" t="s">
        <v>3084</v>
      </c>
      <c r="B9" s="2" t="str">
        <f>'1.CustomerDetail'!B12</f>
        <v>0002APP20211205279</v>
      </c>
      <c r="C9" s="2" t="str">
        <f>'1.CustomerDetail'!B12</f>
        <v>0002APP20211205279</v>
      </c>
    </row>
    <row customFormat="1" r="10" s="2" spans="1:5" x14ac:dyDescent="0.25">
      <c r="A10" s="2" t="s">
        <v>3472</v>
      </c>
      <c r="B10" s="2" t="str">
        <f>'1.CustomerDetail'!B13</f>
        <v>PT POLO</v>
      </c>
      <c r="C10" s="2" t="str">
        <f>'1.CustomerDetail'!B13</f>
        <v>PT POLO</v>
      </c>
    </row>
    <row customFormat="1" r="11" s="55" spans="1:5" x14ac:dyDescent="0.25">
      <c r="A11" s="52" t="s">
        <v>3100</v>
      </c>
      <c r="B11" s="53"/>
      <c r="C11" s="54"/>
    </row>
    <row customFormat="1" r="12" s="2" spans="1:5" x14ac:dyDescent="0.25">
      <c r="A12" s="31" t="s">
        <v>3441</v>
      </c>
      <c r="B12" s="35">
        <v>0</v>
      </c>
      <c r="C12" s="35">
        <v>0</v>
      </c>
      <c r="D12" s="35">
        <v>0</v>
      </c>
      <c r="E12" s="35">
        <v>0</v>
      </c>
    </row>
    <row customFormat="1" r="13" s="2" spans="1:5" x14ac:dyDescent="0.25">
      <c r="A13" s="1" t="s">
        <v>3099</v>
      </c>
      <c r="B13" s="36">
        <v>0</v>
      </c>
      <c r="C13" s="36">
        <v>0</v>
      </c>
      <c r="D13" s="36">
        <v>0</v>
      </c>
      <c r="E13" s="36">
        <v>0</v>
      </c>
    </row>
    <row customFormat="1" r="14" s="2" spans="1:5" x14ac:dyDescent="0.25">
      <c r="A14" s="1" t="s">
        <v>26</v>
      </c>
      <c r="B14" s="37">
        <v>1</v>
      </c>
      <c r="C14" s="37">
        <v>1</v>
      </c>
      <c r="D14" s="37">
        <v>1</v>
      </c>
      <c r="E14" s="37">
        <v>1</v>
      </c>
    </row>
    <row customFormat="1" r="15" s="2" spans="1:5" x14ac:dyDescent="0.25">
      <c r="A15" s="1" t="s">
        <v>27</v>
      </c>
      <c r="B15" s="37">
        <v>1</v>
      </c>
      <c r="C15" s="37">
        <v>1</v>
      </c>
      <c r="D15" s="37">
        <v>1</v>
      </c>
      <c r="E15" s="37">
        <v>1</v>
      </c>
    </row>
    <row customFormat="1" r="16" s="2" spans="1:5" x14ac:dyDescent="0.25">
      <c r="A16" s="1" t="s">
        <v>28</v>
      </c>
      <c r="B16" s="37">
        <v>1</v>
      </c>
      <c r="C16" s="37">
        <v>1</v>
      </c>
      <c r="D16" s="37">
        <v>1</v>
      </c>
      <c r="E16" s="37">
        <v>1</v>
      </c>
    </row>
    <row customFormat="1" r="17" s="2" spans="1:5" x14ac:dyDescent="0.25">
      <c r="A17" s="1" t="s">
        <v>29</v>
      </c>
      <c r="B17" s="37">
        <v>1</v>
      </c>
      <c r="C17" s="37">
        <v>1</v>
      </c>
      <c r="D17" s="37">
        <v>1</v>
      </c>
      <c r="E17" s="37">
        <v>1</v>
      </c>
    </row>
    <row customFormat="1" r="18" s="2" spans="1:5" x14ac:dyDescent="0.25">
      <c r="A18" s="1" t="s">
        <v>30</v>
      </c>
      <c r="B18" s="37">
        <v>1</v>
      </c>
      <c r="C18" s="37">
        <v>1</v>
      </c>
      <c r="D18" s="37">
        <v>1</v>
      </c>
      <c r="E18" s="37">
        <v>1</v>
      </c>
    </row>
    <row customFormat="1" r="19" s="2" spans="1:5" x14ac:dyDescent="0.25">
      <c r="A19" s="1" t="s">
        <v>31</v>
      </c>
      <c r="B19" s="37">
        <v>1</v>
      </c>
      <c r="C19" s="37">
        <v>1</v>
      </c>
      <c r="D19" s="37">
        <v>1</v>
      </c>
      <c r="E19" s="37">
        <v>1</v>
      </c>
    </row>
    <row customFormat="1" r="20" s="2" spans="1:5" x14ac:dyDescent="0.25">
      <c r="A20" s="1" t="s">
        <v>32</v>
      </c>
      <c r="B20" s="37">
        <v>1</v>
      </c>
      <c r="C20" s="37">
        <v>1</v>
      </c>
      <c r="D20" s="37">
        <v>1</v>
      </c>
      <c r="E20" s="37">
        <v>1</v>
      </c>
    </row>
    <row customFormat="1" r="21" s="2" spans="1:5" x14ac:dyDescent="0.25">
      <c r="A21" s="1" t="s">
        <v>33</v>
      </c>
      <c r="B21" s="37">
        <v>1</v>
      </c>
      <c r="C21" s="37">
        <v>1</v>
      </c>
      <c r="D21" s="37">
        <v>1</v>
      </c>
      <c r="E21" s="37">
        <v>1</v>
      </c>
    </row>
    <row customFormat="1" r="22" s="2" spans="1:5" x14ac:dyDescent="0.25">
      <c r="A22" s="1" t="s">
        <v>34</v>
      </c>
      <c r="B22" s="37">
        <v>1</v>
      </c>
      <c r="C22" s="37">
        <v>1</v>
      </c>
      <c r="D22" s="37">
        <v>1</v>
      </c>
      <c r="E22" s="37">
        <v>1</v>
      </c>
    </row>
    <row customFormat="1" r="23" s="2" spans="1:5" x14ac:dyDescent="0.25">
      <c r="A23" s="1" t="s">
        <v>35</v>
      </c>
      <c r="B23" s="36">
        <v>0</v>
      </c>
      <c r="C23" s="36">
        <v>0</v>
      </c>
      <c r="D23" s="36">
        <v>0</v>
      </c>
      <c r="E23" s="36">
        <v>0</v>
      </c>
    </row>
    <row customFormat="1" r="24" s="2" spans="1:5" x14ac:dyDescent="0.25">
      <c r="A24" s="1" t="s">
        <v>36</v>
      </c>
      <c r="B24" s="36">
        <v>0</v>
      </c>
      <c r="C24" s="36">
        <v>0</v>
      </c>
      <c r="D24" s="36">
        <v>0</v>
      </c>
      <c r="E24" s="36">
        <v>0</v>
      </c>
    </row>
    <row customFormat="1" r="25" s="2" spans="1:5" x14ac:dyDescent="0.25">
      <c r="A25" s="1" t="s">
        <v>37</v>
      </c>
      <c r="B25" s="36">
        <v>0</v>
      </c>
      <c r="C25" s="36">
        <v>0</v>
      </c>
      <c r="D25" s="36">
        <v>0</v>
      </c>
      <c r="E25" s="36">
        <v>0</v>
      </c>
    </row>
    <row customFormat="1" r="26" s="2" spans="1:5" x14ac:dyDescent="0.25">
      <c r="A26" s="1" t="s">
        <v>38</v>
      </c>
      <c r="B26" s="36">
        <v>0</v>
      </c>
      <c r="C26" s="36">
        <v>0</v>
      </c>
      <c r="D26" s="36">
        <v>0</v>
      </c>
      <c r="E26" s="36">
        <v>0</v>
      </c>
    </row>
    <row customFormat="1" r="27" s="2" spans="1:5" x14ac:dyDescent="0.25">
      <c r="A27" s="1" t="s">
        <v>39</v>
      </c>
      <c r="B27" s="36">
        <v>0</v>
      </c>
      <c r="C27" s="36">
        <v>0</v>
      </c>
      <c r="D27" s="36">
        <v>0</v>
      </c>
      <c r="E27" s="36">
        <v>0</v>
      </c>
    </row>
    <row customFormat="1" r="28" s="2" spans="1:5" x14ac:dyDescent="0.25">
      <c r="A28" s="1" t="s">
        <v>40</v>
      </c>
      <c r="B28" s="36">
        <v>0</v>
      </c>
      <c r="C28" s="36">
        <v>0</v>
      </c>
      <c r="D28" s="36">
        <v>0</v>
      </c>
      <c r="E28" s="36">
        <v>0</v>
      </c>
    </row>
    <row customFormat="1" r="29" s="2" spans="1:5" x14ac:dyDescent="0.25">
      <c r="A29" s="1" t="s">
        <v>41</v>
      </c>
      <c r="B29" s="36">
        <v>0</v>
      </c>
      <c r="C29" s="36">
        <v>0</v>
      </c>
      <c r="D29" s="36">
        <v>0</v>
      </c>
      <c r="E29" s="36">
        <v>0</v>
      </c>
    </row>
    <row customFormat="1" r="30" s="2" spans="1:5" x14ac:dyDescent="0.25">
      <c r="A30" s="1" t="s">
        <v>42</v>
      </c>
      <c r="B30" s="36">
        <v>0</v>
      </c>
      <c r="C30" s="36">
        <v>0</v>
      </c>
      <c r="D30" s="36">
        <v>0</v>
      </c>
      <c r="E30" s="36">
        <v>0</v>
      </c>
    </row>
    <row customFormat="1" r="31" s="2" spans="1:5" x14ac:dyDescent="0.25">
      <c r="A31" s="1" t="s">
        <v>43</v>
      </c>
      <c r="B31" s="36">
        <v>0</v>
      </c>
      <c r="C31" s="36">
        <v>0</v>
      </c>
      <c r="D31" s="36">
        <v>0</v>
      </c>
      <c r="E31" s="36">
        <v>0</v>
      </c>
    </row>
    <row customFormat="1" r="32" s="2" spans="1:5" x14ac:dyDescent="0.25">
      <c r="A32" s="1" t="s">
        <v>44</v>
      </c>
      <c r="B32" s="36">
        <v>0</v>
      </c>
      <c r="C32" s="36">
        <v>0</v>
      </c>
      <c r="D32" s="36">
        <v>0</v>
      </c>
      <c r="E32" s="36">
        <v>0</v>
      </c>
    </row>
    <row customFormat="1" r="33" s="2" spans="1:5" x14ac:dyDescent="0.25">
      <c r="A33" s="1" t="s">
        <v>45</v>
      </c>
      <c r="B33" s="36">
        <v>0</v>
      </c>
      <c r="C33" s="36">
        <v>0</v>
      </c>
      <c r="D33" s="36">
        <v>0</v>
      </c>
      <c r="E33" s="36">
        <v>0</v>
      </c>
    </row>
    <row customFormat="1" r="34" s="2" spans="1:5" x14ac:dyDescent="0.25">
      <c r="A34" s="1" t="s">
        <v>46</v>
      </c>
      <c r="B34" s="36">
        <v>0</v>
      </c>
      <c r="C34" s="36">
        <v>0</v>
      </c>
      <c r="D34" s="36">
        <v>0</v>
      </c>
      <c r="E34" s="36">
        <v>0</v>
      </c>
    </row>
    <row customFormat="1" r="35" s="2" spans="1:5" x14ac:dyDescent="0.25">
      <c r="A35" s="31" t="s">
        <v>3442</v>
      </c>
      <c r="B35" s="34" t="s">
        <v>3495</v>
      </c>
      <c r="C35" s="34" t="s">
        <v>3517</v>
      </c>
      <c r="D35" s="34" t="s">
        <v>3404</v>
      </c>
      <c r="E35" s="34" t="s">
        <v>3405</v>
      </c>
    </row>
    <row customFormat="1" r="36" s="47" spans="1:5" x14ac:dyDescent="0.25">
      <c r="A36" s="44" t="s">
        <v>3101</v>
      </c>
      <c r="B36" s="45"/>
      <c r="C36" s="45"/>
      <c r="D36" s="45"/>
      <c r="E36" s="45"/>
    </row>
    <row customFormat="1" r="37" s="2" spans="1:5" x14ac:dyDescent="0.25">
      <c r="A37" s="2" t="s">
        <v>47</v>
      </c>
      <c r="B37" s="35">
        <v>0</v>
      </c>
      <c r="C37" s="35"/>
      <c r="D37" s="35">
        <v>0</v>
      </c>
      <c r="E37" s="35">
        <v>0</v>
      </c>
    </row>
    <row customFormat="1" r="38" s="2" spans="1:5" x14ac:dyDescent="0.25">
      <c r="A38" s="2" t="s">
        <v>48</v>
      </c>
      <c r="B38" s="35">
        <v>0</v>
      </c>
      <c r="C38" s="35"/>
      <c r="D38" s="35">
        <v>0</v>
      </c>
      <c r="E38" s="35">
        <v>0</v>
      </c>
    </row>
    <row customFormat="1" r="39" s="2" spans="1:5" x14ac:dyDescent="0.25">
      <c r="A39" s="2" t="s">
        <v>49</v>
      </c>
      <c r="B39" s="35">
        <v>0</v>
      </c>
      <c r="C39" s="35"/>
      <c r="D39" s="35">
        <v>0</v>
      </c>
      <c r="E39" s="35">
        <v>0</v>
      </c>
    </row>
    <row customFormat="1" r="40" s="2" spans="1:5" x14ac:dyDescent="0.25">
      <c r="A40" s="2" t="s">
        <v>50</v>
      </c>
      <c r="B40" s="35">
        <v>0</v>
      </c>
      <c r="C40" s="35"/>
      <c r="D40" s="35">
        <v>0</v>
      </c>
      <c r="E40" s="35">
        <v>0</v>
      </c>
    </row>
    <row customFormat="1" r="41" s="2" spans="1:5" x14ac:dyDescent="0.25">
      <c r="A41" s="2" t="s">
        <v>51</v>
      </c>
      <c r="B41" s="35">
        <v>0</v>
      </c>
      <c r="C41" s="35"/>
      <c r="D41" s="35">
        <v>0</v>
      </c>
      <c r="E41" s="35">
        <v>0</v>
      </c>
    </row>
    <row customFormat="1" r="42" s="2" spans="1:5" x14ac:dyDescent="0.25">
      <c r="A42" s="2" t="s">
        <v>52</v>
      </c>
      <c r="B42" s="35">
        <v>0</v>
      </c>
      <c r="C42" s="35"/>
      <c r="D42" s="35">
        <v>0</v>
      </c>
      <c r="E42" s="35">
        <v>0</v>
      </c>
    </row>
    <row customFormat="1" r="43" s="2" spans="1:5" x14ac:dyDescent="0.25">
      <c r="A43" s="2" t="s">
        <v>53</v>
      </c>
      <c r="B43" s="35">
        <v>0</v>
      </c>
      <c r="C43" s="35"/>
      <c r="D43" s="35">
        <v>0</v>
      </c>
      <c r="E43" s="35">
        <v>0</v>
      </c>
    </row>
    <row customFormat="1" r="44" s="2" spans="1:5" x14ac:dyDescent="0.25">
      <c r="A44" s="2" t="s">
        <v>54</v>
      </c>
      <c r="B44" s="35">
        <v>0</v>
      </c>
      <c r="C44" s="35"/>
      <c r="D44" s="35">
        <v>0</v>
      </c>
      <c r="E44" s="35">
        <v>0</v>
      </c>
    </row>
    <row customFormat="1" r="45" s="2" spans="1:5" x14ac:dyDescent="0.25">
      <c r="A45" s="2" t="s">
        <v>55</v>
      </c>
      <c r="B45" s="35">
        <v>0</v>
      </c>
      <c r="C45" s="35"/>
      <c r="D45" s="35">
        <v>0</v>
      </c>
      <c r="E45" s="35">
        <v>0</v>
      </c>
    </row>
    <row customFormat="1" r="46" s="2" spans="1:5" x14ac:dyDescent="0.25">
      <c r="A46" s="2" t="s">
        <v>56</v>
      </c>
      <c r="B46" s="35">
        <v>0</v>
      </c>
      <c r="C46" s="35"/>
      <c r="D46" s="35">
        <v>0</v>
      </c>
      <c r="E46" s="35">
        <v>0</v>
      </c>
    </row>
    <row customFormat="1" r="47" s="2" spans="1:5" x14ac:dyDescent="0.25">
      <c r="A47" s="2" t="s">
        <v>57</v>
      </c>
      <c r="B47" s="35">
        <v>0</v>
      </c>
      <c r="C47" s="35"/>
      <c r="D47" s="35">
        <v>0</v>
      </c>
      <c r="E47" s="35">
        <v>0</v>
      </c>
    </row>
    <row customFormat="1" r="48" s="2" spans="1:5" x14ac:dyDescent="0.25">
      <c r="A48" s="2" t="s">
        <v>58</v>
      </c>
      <c r="B48" s="35">
        <v>0</v>
      </c>
      <c r="C48" s="35"/>
      <c r="D48" s="35">
        <v>0</v>
      </c>
      <c r="E48" s="35">
        <v>0</v>
      </c>
    </row>
    <row customFormat="1" r="49" s="2" spans="1:5" x14ac:dyDescent="0.25">
      <c r="A49" s="2" t="s">
        <v>59</v>
      </c>
      <c r="B49" s="35">
        <v>0</v>
      </c>
      <c r="C49" s="35"/>
      <c r="D49" s="35">
        <v>0</v>
      </c>
      <c r="E49" s="35">
        <v>0</v>
      </c>
    </row>
    <row customFormat="1" r="50" s="2" spans="1:5" x14ac:dyDescent="0.25">
      <c r="A50" s="2" t="s">
        <v>60</v>
      </c>
      <c r="B50" s="35">
        <v>0</v>
      </c>
      <c r="C50" s="35"/>
      <c r="D50" s="35">
        <v>0</v>
      </c>
      <c r="E50" s="35">
        <v>0</v>
      </c>
    </row>
    <row customFormat="1" r="51" s="2" spans="1:5" x14ac:dyDescent="0.25">
      <c r="A51" s="2" t="s">
        <v>61</v>
      </c>
      <c r="B51" s="35">
        <v>0</v>
      </c>
      <c r="C51" s="35"/>
      <c r="D51" s="35">
        <v>0</v>
      </c>
      <c r="E51" s="35">
        <v>0</v>
      </c>
    </row>
    <row customFormat="1" r="52" s="2" spans="1:5" x14ac:dyDescent="0.25">
      <c r="A52" s="2" t="s">
        <v>62</v>
      </c>
      <c r="B52" s="35">
        <v>0</v>
      </c>
      <c r="C52" s="35"/>
      <c r="D52" s="35">
        <v>0</v>
      </c>
      <c r="E52" s="35">
        <v>0</v>
      </c>
    </row>
    <row customFormat="1" r="53" s="2" spans="1:5" x14ac:dyDescent="0.25">
      <c r="A53" s="30" t="s">
        <v>3467</v>
      </c>
      <c r="B53" s="35">
        <v>10</v>
      </c>
      <c r="C53" s="35"/>
      <c r="D53" s="35">
        <v>0</v>
      </c>
      <c r="E53" s="35">
        <v>0</v>
      </c>
    </row>
    <row customFormat="1" r="54" s="2" spans="1:5" x14ac:dyDescent="0.25">
      <c r="A54" s="30" t="s">
        <v>3468</v>
      </c>
      <c r="B54" s="35">
        <v>10</v>
      </c>
      <c r="C54" s="35"/>
      <c r="D54" s="35">
        <v>0</v>
      </c>
      <c r="E54" s="35">
        <v>0</v>
      </c>
    </row>
    <row customFormat="1" r="55" s="2" spans="1:5" x14ac:dyDescent="0.25">
      <c r="A55" s="2" t="s">
        <v>63</v>
      </c>
      <c r="B55" s="35">
        <v>0</v>
      </c>
      <c r="C55" s="35"/>
      <c r="D55" s="35">
        <v>0</v>
      </c>
      <c r="E55" s="35">
        <v>0</v>
      </c>
    </row>
    <row customFormat="1" r="56" s="2" spans="1:5" x14ac:dyDescent="0.25">
      <c r="A56" s="2" t="s">
        <v>64</v>
      </c>
      <c r="B56" s="35">
        <v>0</v>
      </c>
      <c r="C56" s="35"/>
      <c r="D56" s="35">
        <v>0</v>
      </c>
      <c r="E56" s="35">
        <v>0</v>
      </c>
    </row>
    <row customFormat="1" r="57" s="2" spans="1:5" x14ac:dyDescent="0.25">
      <c r="A57" s="2" t="s">
        <v>65</v>
      </c>
      <c r="B57" s="35">
        <v>0</v>
      </c>
      <c r="C57" s="35"/>
      <c r="D57" s="35">
        <v>0</v>
      </c>
      <c r="E57" s="35">
        <v>0</v>
      </c>
    </row>
    <row customFormat="1" r="58" s="2" spans="1:5" x14ac:dyDescent="0.25">
      <c r="A58" s="2" t="s">
        <v>66</v>
      </c>
      <c r="B58" s="35">
        <v>0</v>
      </c>
      <c r="C58" s="35"/>
      <c r="D58" s="35">
        <v>0</v>
      </c>
      <c r="E58" s="35">
        <v>0</v>
      </c>
    </row>
    <row customFormat="1" r="59" s="2" spans="1:5" x14ac:dyDescent="0.25">
      <c r="A59" s="2" t="s">
        <v>67</v>
      </c>
      <c r="B59" s="35">
        <v>0</v>
      </c>
      <c r="C59" s="35"/>
      <c r="D59" s="35">
        <v>0</v>
      </c>
      <c r="E59" s="35">
        <v>0</v>
      </c>
    </row>
    <row customFormat="1" r="60" s="2" spans="1:5" x14ac:dyDescent="0.25">
      <c r="A60" s="2" t="s">
        <v>68</v>
      </c>
      <c r="B60" s="35">
        <v>0</v>
      </c>
      <c r="C60" s="35"/>
      <c r="D60" s="35">
        <v>0</v>
      </c>
      <c r="E60" s="35">
        <v>0</v>
      </c>
    </row>
    <row customFormat="1" r="61" s="2" spans="1:5" x14ac:dyDescent="0.25">
      <c r="A61" s="30" t="s">
        <v>3469</v>
      </c>
      <c r="B61" s="35">
        <v>10</v>
      </c>
      <c r="C61" s="35"/>
      <c r="D61" s="35">
        <v>0</v>
      </c>
      <c r="E61" s="35">
        <v>0</v>
      </c>
    </row>
    <row customFormat="1" r="62" s="2" spans="1:5" x14ac:dyDescent="0.25">
      <c r="A62" s="30" t="s">
        <v>3470</v>
      </c>
      <c r="B62" s="35">
        <v>10</v>
      </c>
      <c r="C62" s="35"/>
      <c r="D62" s="35">
        <v>0</v>
      </c>
      <c r="E62" s="35">
        <v>0</v>
      </c>
    </row>
    <row customFormat="1" r="63" s="2" spans="1:5" x14ac:dyDescent="0.25">
      <c r="A63" s="2" t="s">
        <v>69</v>
      </c>
      <c r="B63" s="35">
        <v>0</v>
      </c>
      <c r="C63" s="35"/>
      <c r="D63" s="35">
        <v>0</v>
      </c>
      <c r="E63" s="35">
        <v>0</v>
      </c>
    </row>
    <row customFormat="1" r="64" s="2" spans="1:5" x14ac:dyDescent="0.25">
      <c r="A64" s="2" t="s">
        <v>70</v>
      </c>
      <c r="B64" s="35">
        <v>0</v>
      </c>
      <c r="C64" s="35"/>
      <c r="D64" s="35">
        <v>0</v>
      </c>
      <c r="E64" s="35">
        <v>0</v>
      </c>
    </row>
    <row customFormat="1" r="65" s="47" spans="1:5" x14ac:dyDescent="0.25">
      <c r="A65" s="44" t="s">
        <v>3102</v>
      </c>
      <c r="B65" s="45"/>
      <c r="C65" s="45"/>
      <c r="D65" s="45"/>
      <c r="E65" s="45"/>
    </row>
    <row customFormat="1" r="66" s="2" spans="1:5" x14ac:dyDescent="0.25">
      <c r="A66" s="32" t="s">
        <v>71</v>
      </c>
      <c r="B66" s="1" t="str">
        <f>VLOOKUP(B$67,Master!$AS:$AT,2,FALSE)</f>
        <v>014</v>
      </c>
      <c r="C66" s="1" t="str">
        <f>VLOOKUP(C$67,Master!$AS:$AT,2,FALSE)</f>
        <v>019</v>
      </c>
      <c r="D66" s="1" t="str">
        <f>VLOOKUP(D$67,Master!$AS:$AT,2,FALSE)</f>
        <v>014</v>
      </c>
      <c r="E66" s="1" t="str">
        <f>VLOOKUP(E$67,Master!$AS:$AT,2,FALSE)</f>
        <v>014</v>
      </c>
    </row>
    <row customFormat="1" r="67" s="2" spans="1:5" x14ac:dyDescent="0.25">
      <c r="A67" s="31" t="s">
        <v>72</v>
      </c>
      <c r="B67" s="1" t="s">
        <v>3124</v>
      </c>
      <c r="C67" s="1" t="s">
        <v>3128</v>
      </c>
      <c r="D67" s="1" t="s">
        <v>3124</v>
      </c>
      <c r="E67" s="1" t="s">
        <v>3124</v>
      </c>
    </row>
    <row customFormat="1" r="68" s="2" spans="1:5" x14ac:dyDescent="0.25">
      <c r="A68" s="31" t="s">
        <v>73</v>
      </c>
      <c r="B68" s="1" t="s">
        <v>3051</v>
      </c>
      <c r="C68" s="1" t="s">
        <v>3478</v>
      </c>
      <c r="D68" s="1" t="s">
        <v>3051</v>
      </c>
      <c r="E68" s="1" t="s">
        <v>3051</v>
      </c>
    </row>
    <row customFormat="1" r="69" s="2" spans="1:5" x14ac:dyDescent="0.25">
      <c r="A69" s="31" t="s">
        <v>74</v>
      </c>
      <c r="B69" s="1" t="s">
        <v>3397</v>
      </c>
      <c r="C69" s="1" t="s">
        <v>3479</v>
      </c>
      <c r="D69" s="1" t="s">
        <v>3397</v>
      </c>
      <c r="E69" s="1" t="s">
        <v>3397</v>
      </c>
    </row>
    <row customFormat="1" r="70" s="2" spans="1:5" x14ac:dyDescent="0.25">
      <c r="A70" s="31" t="s">
        <v>75</v>
      </c>
      <c r="B70" s="33" t="s">
        <v>3398</v>
      </c>
      <c r="C70" s="33" t="s">
        <v>3480</v>
      </c>
      <c r="D70" s="33" t="s">
        <v>3406</v>
      </c>
      <c r="E70" s="33" t="s">
        <v>3407</v>
      </c>
    </row>
    <row customFormat="1" r="71" s="2" spans="1:5" x14ac:dyDescent="0.25">
      <c r="A71" s="2" t="s">
        <v>76</v>
      </c>
      <c r="B71" s="2" t="s">
        <v>3399</v>
      </c>
      <c r="C71" s="2" t="s">
        <v>3431</v>
      </c>
      <c r="D71" s="2" t="s">
        <v>3399</v>
      </c>
      <c r="E71" s="2" t="s">
        <v>3399</v>
      </c>
    </row>
    <row customFormat="1" r="72" s="2" spans="1:5" x14ac:dyDescent="0.25">
      <c r="A72" s="2" t="s">
        <v>77</v>
      </c>
      <c r="B72" s="2" t="s">
        <v>3399</v>
      </c>
      <c r="C72" s="2" t="s">
        <v>3399</v>
      </c>
      <c r="D72" s="2" t="s">
        <v>3399</v>
      </c>
      <c r="E72" s="2" t="s">
        <v>3399</v>
      </c>
    </row>
    <row customFormat="1" r="73" s="2" spans="1:5" x14ac:dyDescent="0.25">
      <c r="A73" s="31" t="s">
        <v>78</v>
      </c>
      <c r="B73" s="40">
        <v>10000000</v>
      </c>
      <c r="C73" s="40">
        <v>1000000</v>
      </c>
      <c r="D73" s="40">
        <v>2</v>
      </c>
      <c r="E73" s="40">
        <v>3</v>
      </c>
    </row>
    <row customFormat="1" r="74" s="2" spans="1:5" x14ac:dyDescent="0.25">
      <c r="A74" s="31" t="s">
        <v>3481</v>
      </c>
      <c r="B74" s="2" t="s">
        <v>3487</v>
      </c>
    </row>
    <row customFormat="1" r="75" s="2" spans="1:5" x14ac:dyDescent="0.25">
      <c r="A75" s="31" t="s">
        <v>3482</v>
      </c>
      <c r="B75" s="2" t="s">
        <v>3488</v>
      </c>
    </row>
    <row customFormat="1" r="76" s="2" spans="1:5" x14ac:dyDescent="0.25">
      <c r="A76" s="31" t="s">
        <v>3483</v>
      </c>
      <c r="B76" s="2" t="s">
        <v>3505</v>
      </c>
    </row>
    <row customFormat="1" r="77" s="2" spans="1:5" x14ac:dyDescent="0.25">
      <c r="A77" s="31" t="s">
        <v>3484</v>
      </c>
      <c r="B77" s="2" t="s">
        <v>3476</v>
      </c>
    </row>
    <row customFormat="1" r="78" s="2" spans="1:5" x14ac:dyDescent="0.25">
      <c r="A78" s="31" t="s">
        <v>3485</v>
      </c>
      <c r="B78" s="2" t="s">
        <v>3505</v>
      </c>
    </row>
    <row customFormat="1" r="79" s="2" spans="1:5" x14ac:dyDescent="0.25">
      <c r="A79" s="31" t="s">
        <v>3486</v>
      </c>
      <c r="B79" s="2" t="s">
        <v>3489</v>
      </c>
    </row>
  </sheetData>
  <mergeCells count="1">
    <mergeCell ref="A11:XFD11"/>
  </mergeCells>
  <dataValidations count="6">
    <dataValidation allowBlank="1" errorStyle="information" showErrorMessage="1" showInputMessage="1" sqref="B12:E12" type="whole">
      <formula1>0</formula1>
      <formula2>9.99999999999999E+33</formula2>
    </dataValidation>
    <dataValidation allowBlank="1" errorStyle="information" showErrorMessage="1" showInputMessage="1" sqref="B73:E73" type="whole">
      <formula1>0</formula1>
      <formula2>9.99999999999999E+30</formula2>
    </dataValidation>
    <dataValidation allowBlank="1" errorStyle="information" showErrorMessage="1" showInputMessage="1" sqref="B67:E67" type="list">
      <formula1>ListBank</formula1>
    </dataValidation>
    <dataValidation allowBlank="1" errorStyle="information" showErrorMessage="1" showInputMessage="1" sqref="B13:E35 B68:E69"/>
    <dataValidation allowBlank="1" errorStyle="information" showErrorMessage="1" showInputMessage="1" sqref="B37:E64" type="whole">
      <formula1>0</formula1>
      <formula2>9.99999999999999E+25</formula2>
    </dataValidation>
    <dataValidation allowBlank="1" errorStyle="information" showErrorMessage="1" showInputMessage="1" sqref="B71:E72" type="list">
      <formula1>"Yes, No"</formula1>
    </dataValidation>
  </dataValidations>
  <pageMargins bottom="0.75" footer="0.3" header="0.3" left="0.7" right="0.7" top="0.75"/>
  <pageSetup orientation="portrait" paperSize="9" r:id="rId1"/>
  <legacyDrawing r:id="rId2"/>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F16"/>
  <sheetViews>
    <sheetView workbookViewId="0">
      <selection activeCell="B1" sqref="B1:B2"/>
    </sheetView>
  </sheetViews>
  <sheetFormatPr defaultRowHeight="15" x14ac:dyDescent="0.25"/>
  <cols>
    <col min="1" max="1" bestFit="true" customWidth="true" width="16.140625" collapsed="true"/>
    <col min="2" max="2" bestFit="true" customWidth="true" width="24.0" collapsed="true"/>
    <col min="3" max="3" bestFit="true" customWidth="true" width="18.140625" collapsed="true"/>
  </cols>
  <sheetData>
    <row customFormat="1" r="1" s="2" spans="1:5" x14ac:dyDescent="0.25">
      <c r="A1" s="2" t="s">
        <v>3</v>
      </c>
      <c r="B1" t="s">
        <v>3514</v>
      </c>
      <c r="C1" s="2" t="s">
        <v>2794</v>
      </c>
      <c r="D1" s="2" t="s">
        <v>2794</v>
      </c>
      <c r="E1" s="2" t="s">
        <v>2794</v>
      </c>
    </row>
    <row customFormat="1" r="2" s="2" spans="1:5" x14ac:dyDescent="0.25">
      <c r="A2" s="2" t="s">
        <v>3401</v>
      </c>
      <c r="B2" t="s">
        <v>3515</v>
      </c>
      <c r="C2" s="2" t="s">
        <v>3493</v>
      </c>
      <c r="D2" s="2" t="s">
        <v>3493</v>
      </c>
      <c r="E2" s="2" t="s">
        <v>3493</v>
      </c>
    </row>
    <row customFormat="1" r="3" s="2" spans="1:5" x14ac:dyDescent="0.25">
      <c r="A3" s="2" t="s">
        <v>3402</v>
      </c>
    </row>
    <row customFormat="1" r="4" s="2" spans="1:5" x14ac:dyDescent="0.25">
      <c r="A4" s="2" t="s">
        <v>3425</v>
      </c>
      <c r="B4" s="2">
        <f>IF(B12="Yes",COUNTIFS($A$13:$A$16,"*$*",B13:B16,""),0)</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43" spans="1:5" x14ac:dyDescent="0.25">
      <c r="B11" s="42"/>
    </row>
    <row customFormat="1" r="12" s="49" spans="1:5" x14ac:dyDescent="0.25">
      <c r="A12" s="49" t="s">
        <v>3477</v>
      </c>
      <c r="B12" s="50" t="s">
        <v>3399</v>
      </c>
    </row>
    <row customFormat="1" r="13" s="2" spans="1:5" x14ac:dyDescent="0.25">
      <c r="A13" s="31" t="s">
        <v>3473</v>
      </c>
      <c r="B13" s="2" t="s">
        <v>3513</v>
      </c>
    </row>
    <row customFormat="1" r="14" s="2" spans="1:5" x14ac:dyDescent="0.25">
      <c r="A14" s="2" t="s">
        <v>79</v>
      </c>
      <c r="B14" s="2" t="s">
        <v>3476</v>
      </c>
    </row>
    <row customFormat="1" r="15" s="2" spans="1:5" x14ac:dyDescent="0.25">
      <c r="A15" s="31" t="s">
        <v>3474</v>
      </c>
      <c r="B15" s="13" t="s">
        <v>3494</v>
      </c>
      <c r="C15" s="13"/>
      <c r="D15" s="13"/>
      <c r="E15" s="13"/>
    </row>
    <row customFormat="1" r="16" s="2" spans="1:5" x14ac:dyDescent="0.25">
      <c r="A16" s="31" t="s">
        <v>3475</v>
      </c>
      <c r="B16" s="2" t="s">
        <v>3505</v>
      </c>
    </row>
  </sheetData>
  <dataValidations count="4">
    <dataValidation errorStyle="information" showErrorMessage="1" showInputMessage="1" sqref="C13:E13" type="list">
      <formula1>"Mobil, Motor, Rumah"</formula1>
    </dataValidation>
    <dataValidation allowBlank="1" errorStyle="information" showErrorMessage="1" showInputMessage="1" sqref="B14:E14 B15:B16"/>
    <dataValidation allowBlank="1" errorStyle="information" showErrorMessage="1" showInputMessage="1" sqref="C15:E16" type="whole">
      <formula1>0</formula1>
      <formula2>9.99999999999999E+36</formula2>
    </dataValidation>
    <dataValidation errorStyle="information" showErrorMessage="1" showInputMessage="1" sqref="B13"/>
  </dataValidations>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6"/>
  <dimension ref="A1:F20"/>
  <sheetViews>
    <sheetView workbookViewId="0">
      <selection activeCell="B16" sqref="B16:B18"/>
    </sheetView>
  </sheetViews>
  <sheetFormatPr defaultRowHeight="15" x14ac:dyDescent="0.25"/>
  <cols>
    <col min="1" max="1" bestFit="true" customWidth="true" width="15.0" collapsed="true"/>
    <col min="2" max="2" customWidth="true" width="30.0" collapsed="true"/>
    <col min="3" max="3" bestFit="true" customWidth="true" width="11.7109375" collapsed="true"/>
  </cols>
  <sheetData>
    <row customFormat="1" r="1" s="48" spans="1:5" x14ac:dyDescent="0.25">
      <c r="A1" s="48" t="s">
        <v>3</v>
      </c>
      <c r="B1" t="s">
        <v>3502</v>
      </c>
      <c r="C1" s="2" t="s">
        <v>2794</v>
      </c>
      <c r="D1" s="2" t="s">
        <v>2794</v>
      </c>
      <c r="E1" s="2" t="s">
        <v>2794</v>
      </c>
    </row>
    <row customFormat="1" r="2" s="2" spans="1:5" x14ac:dyDescent="0.25">
      <c r="A2" s="2" t="s">
        <v>3401</v>
      </c>
      <c r="B2" s="2" t="s">
        <v>3493</v>
      </c>
      <c r="C2" s="2" t="s">
        <v>3493</v>
      </c>
      <c r="D2" s="2" t="s">
        <v>3493</v>
      </c>
      <c r="E2" s="2" t="s">
        <v>3493</v>
      </c>
    </row>
    <row customFormat="1" r="3" s="2" spans="1:5" x14ac:dyDescent="0.25">
      <c r="A3" s="2" t="s">
        <v>3402</v>
      </c>
    </row>
    <row customFormat="1" r="4" s="2" spans="1:5" x14ac:dyDescent="0.25">
      <c r="A4" s="2" t="s">
        <v>3425</v>
      </c>
      <c r="B4" s="2">
        <f>COUNTIFS($A$12:$A$18,"*$*",B12:B18,"")</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43" spans="1:5" x14ac:dyDescent="0.25">
      <c r="B11" s="42"/>
    </row>
    <row customFormat="1" r="12" s="2" spans="1:5" x14ac:dyDescent="0.25">
      <c r="A12" s="30" t="s">
        <v>3443</v>
      </c>
      <c r="B12" s="2" t="s">
        <v>3390</v>
      </c>
    </row>
    <row customFormat="1" r="13" s="2" spans="1:5" x14ac:dyDescent="0.25">
      <c r="A13" s="30" t="s">
        <v>3444</v>
      </c>
      <c r="B13" s="41" t="s">
        <v>3516</v>
      </c>
    </row>
    <row customFormat="1" r="14" s="2" spans="1:5" x14ac:dyDescent="0.25">
      <c r="A14" s="30" t="s">
        <v>3445</v>
      </c>
      <c r="B14" s="4" t="s">
        <v>3508</v>
      </c>
    </row>
    <row customFormat="1" r="15" s="2" spans="1:5" x14ac:dyDescent="0.25">
      <c r="A15" s="2" t="s">
        <v>80</v>
      </c>
      <c r="B15" s="4" t="s">
        <v>3388</v>
      </c>
    </row>
    <row customFormat="1" r="16" s="2" spans="1:5" x14ac:dyDescent="0.25">
      <c r="A16" s="2" t="s">
        <v>81</v>
      </c>
      <c r="B16" s="2" t="s">
        <v>3509</v>
      </c>
    </row>
    <row customFormat="1" r="17" s="2" spans="1:2" x14ac:dyDescent="0.25">
      <c r="A17" s="2" t="s">
        <v>82</v>
      </c>
      <c r="B17" s="2" t="s">
        <v>3510</v>
      </c>
    </row>
    <row customFormat="1" r="18" s="2" spans="1:2" x14ac:dyDescent="0.25">
      <c r="A18" s="2" t="s">
        <v>13</v>
      </c>
      <c r="B18" s="2" t="s">
        <v>3511</v>
      </c>
    </row>
    <row ht="90" r="20" spans="1:2" x14ac:dyDescent="0.25">
      <c r="A20" s="12" t="s">
        <v>2795</v>
      </c>
      <c r="B20" s="8" t="s">
        <v>2796</v>
      </c>
    </row>
  </sheetData>
  <dataValidations count="2">
    <dataValidation allowBlank="1" showErrorMessage="1" showInputMessage="1" sqref="C12" type="list">
      <formula1>"NIP, SIUP, TDP"</formula1>
    </dataValidation>
    <dataValidation allowBlank="1" errorStyle="information" showErrorMessage="1" showInputMessage="1" sqref="B12:B18"/>
  </dataValidations>
  <pageMargins bottom="0.75" footer="0.3" header="0.3" left="0.7" right="0.7" top="0.75"/>
  <legacyDrawing r:id="rId1"/>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F39"/>
  <sheetViews>
    <sheetView topLeftCell="A10" workbookViewId="0">
      <selection activeCell="B30" sqref="B30"/>
    </sheetView>
  </sheetViews>
  <sheetFormatPr defaultRowHeight="15" x14ac:dyDescent="0.25"/>
  <cols>
    <col min="1" max="1" bestFit="true" customWidth="true" style="11" width="34.5703125" collapsed="true"/>
    <col min="2" max="3" customWidth="true" style="9" width="25.0" collapsed="true"/>
  </cols>
  <sheetData>
    <row customFormat="1" r="1" s="2" spans="1:5" x14ac:dyDescent="0.25">
      <c r="A1" s="1" t="s">
        <v>3</v>
      </c>
      <c r="B1" t="s">
        <v>3502</v>
      </c>
      <c r="C1" s="2" t="s">
        <v>2794</v>
      </c>
      <c r="D1" s="2" t="s">
        <v>2794</v>
      </c>
      <c r="E1" s="2" t="s">
        <v>2794</v>
      </c>
    </row>
    <row customFormat="1" r="2" s="2" spans="1:5" x14ac:dyDescent="0.25">
      <c r="A2" s="2" t="s">
        <v>3401</v>
      </c>
      <c r="B2" t="s">
        <v>3512</v>
      </c>
      <c r="C2" s="2" t="s">
        <v>3493</v>
      </c>
      <c r="D2" s="2" t="s">
        <v>3493</v>
      </c>
      <c r="E2" s="2" t="s">
        <v>3493</v>
      </c>
    </row>
    <row customFormat="1" r="3" s="2" spans="1:5" x14ac:dyDescent="0.25">
      <c r="A3" s="2" t="s">
        <v>3402</v>
      </c>
    </row>
    <row customFormat="1" r="4" s="2" spans="1:5" x14ac:dyDescent="0.25">
      <c r="A4" s="2" t="s">
        <v>3425</v>
      </c>
      <c r="B4" s="2">
        <f>COUNTIFS($A$12:$A$39,"*$*",B12:B39,"")</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55" spans="1:5" x14ac:dyDescent="0.25">
      <c r="A11" s="52" t="s">
        <v>3103</v>
      </c>
      <c r="B11" s="53"/>
      <c r="C11" s="54"/>
    </row>
    <row customFormat="1" r="12" s="2" spans="1:5" x14ac:dyDescent="0.25">
      <c r="A12" s="32" t="s">
        <v>3446</v>
      </c>
      <c r="B12" s="10" t="str">
        <f>VLOOKUP(B13,Master!$A:$B,2,FALSE)</f>
        <v>01</v>
      </c>
      <c r="C12" s="10" t="str">
        <f>VLOOKUP(C13,Master!$A:$B,2,FALSE)</f>
        <v>01</v>
      </c>
    </row>
    <row customFormat="1" r="13" s="2" spans="1:5" x14ac:dyDescent="0.25">
      <c r="A13" s="30" t="s">
        <v>3447</v>
      </c>
      <c r="B13" s="10" t="s">
        <v>97</v>
      </c>
      <c r="C13" s="10" t="s">
        <v>97</v>
      </c>
    </row>
    <row customFormat="1" r="14" s="2" spans="1:5" x14ac:dyDescent="0.25">
      <c r="A14" s="32" t="s">
        <v>3448</v>
      </c>
      <c r="B14" s="10" t="str">
        <f>VLOOKUP(B15,Master!$D:$E,2,FALSE)</f>
        <v>4</v>
      </c>
      <c r="C14" s="10" t="str">
        <f>VLOOKUP(C15,Master!$D:$E,2,FALSE)</f>
        <v>4</v>
      </c>
    </row>
    <row customFormat="1" r="15" s="2" spans="1:5" x14ac:dyDescent="0.25">
      <c r="A15" s="30" t="s">
        <v>3449</v>
      </c>
      <c r="B15" s="6" t="s">
        <v>161</v>
      </c>
      <c r="C15" s="6" t="s">
        <v>161</v>
      </c>
    </row>
    <row customFormat="1" r="16" s="2" spans="1:5" x14ac:dyDescent="0.25">
      <c r="A16" s="32" t="s">
        <v>3450</v>
      </c>
      <c r="B16" s="10" t="str">
        <f>VLOOKUP(B17,Master!$G:$H,2,FALSE)</f>
        <v>e2955</v>
      </c>
      <c r="C16" s="10" t="str">
        <f>VLOOKUP(C17,Master!$G:$H,2,FALSE)</f>
        <v>e2955</v>
      </c>
    </row>
    <row customFormat="1" ht="75" r="17" s="2" spans="1:3" x14ac:dyDescent="0.25">
      <c r="A17" s="30" t="s">
        <v>3451</v>
      </c>
      <c r="B17" s="6" t="s">
        <v>3389</v>
      </c>
      <c r="C17" s="6" t="s">
        <v>3389</v>
      </c>
    </row>
    <row customFormat="1" r="18" s="2" spans="1:3" x14ac:dyDescent="0.25">
      <c r="A18" s="32" t="s">
        <v>3452</v>
      </c>
      <c r="B18" s="10" t="str">
        <f>VLOOKUP(B19,Master!$J:$K,2,FALSE)</f>
        <v>e3820</v>
      </c>
      <c r="C18" s="10" t="str">
        <f>VLOOKUP(C19,Master!$J:$K,2,FALSE)</f>
        <v>e3820</v>
      </c>
    </row>
    <row customFormat="1" r="19" s="2" spans="1:3" x14ac:dyDescent="0.25">
      <c r="A19" s="30" t="s">
        <v>3453</v>
      </c>
      <c r="B19" s="6" t="s">
        <v>123</v>
      </c>
      <c r="C19" s="6" t="s">
        <v>123</v>
      </c>
    </row>
    <row customFormat="1" r="20" s="47" spans="1:3" x14ac:dyDescent="0.25">
      <c r="A20" s="44" t="s">
        <v>3104</v>
      </c>
      <c r="B20" s="45"/>
      <c r="C20" s="45"/>
    </row>
    <row customFormat="1" r="21" s="2" spans="1:3" x14ac:dyDescent="0.25">
      <c r="A21" s="1" t="s">
        <v>86</v>
      </c>
      <c r="B21" s="6" t="s">
        <v>2786</v>
      </c>
      <c r="C21" s="6" t="s">
        <v>2786</v>
      </c>
    </row>
    <row customFormat="1" r="22" s="2" spans="1:3" x14ac:dyDescent="0.25">
      <c r="A22" s="32" t="s">
        <v>3454</v>
      </c>
      <c r="B22" s="10" t="str">
        <f>VLOOKUP(B23,Master!$M:$N,2,FALSE)</f>
        <v>0010</v>
      </c>
      <c r="C22" s="10" t="str">
        <f>VLOOKUP(C23,Master!$M:$N,2,FALSE)</f>
        <v>0010</v>
      </c>
    </row>
    <row customFormat="1" ht="30" r="23" s="2" spans="1:3" x14ac:dyDescent="0.25">
      <c r="A23" s="30" t="s">
        <v>3455</v>
      </c>
      <c r="B23" s="6" t="s">
        <v>103</v>
      </c>
      <c r="C23" s="6" t="s">
        <v>103</v>
      </c>
    </row>
    <row customFormat="1" r="24" s="2" spans="1:3" x14ac:dyDescent="0.25">
      <c r="A24" s="1" t="s">
        <v>87</v>
      </c>
      <c r="B24" s="6" t="s">
        <v>2786</v>
      </c>
      <c r="C24" s="6" t="s">
        <v>2786</v>
      </c>
    </row>
    <row customFormat="1" r="25" s="2" spans="1:3" x14ac:dyDescent="0.25">
      <c r="A25" s="1" t="s">
        <v>88</v>
      </c>
      <c r="B25" s="6" t="s">
        <v>2786</v>
      </c>
      <c r="C25" s="6" t="s">
        <v>2786</v>
      </c>
    </row>
    <row customFormat="1" r="26" s="2" spans="1:3" x14ac:dyDescent="0.25">
      <c r="A26" s="1" t="s">
        <v>89</v>
      </c>
      <c r="B26" s="6" t="s">
        <v>3503</v>
      </c>
      <c r="C26" s="6"/>
    </row>
    <row customFormat="1" r="27" s="2" spans="1:3" x14ac:dyDescent="0.25">
      <c r="A27" s="32" t="s">
        <v>3456</v>
      </c>
      <c r="B27" s="10" t="str">
        <f>VLOOKUP(B28,Master!$AN:$AO,2,FALSE)</f>
        <v>10</v>
      </c>
      <c r="C27" s="10" t="e">
        <f>VLOOKUP(C28,Master!$AN:$AO,2,FALSE)</f>
        <v>#N/A</v>
      </c>
    </row>
    <row customFormat="1" r="28" s="2" spans="1:3" x14ac:dyDescent="0.25">
      <c r="A28" s="1" t="s">
        <v>90</v>
      </c>
      <c r="B28" s="6" t="s">
        <v>2787</v>
      </c>
      <c r="C28" s="6"/>
    </row>
    <row customFormat="1" r="29" s="2" spans="1:3" x14ac:dyDescent="0.25">
      <c r="A29" s="1" t="s">
        <v>91</v>
      </c>
      <c r="B29" s="38" t="s">
        <v>3504</v>
      </c>
      <c r="C29" s="38"/>
    </row>
    <row customFormat="1" r="30" s="2" spans="1:3" x14ac:dyDescent="0.25">
      <c r="A30" s="32" t="s">
        <v>3457</v>
      </c>
      <c r="B30" s="10" t="str">
        <f>VLOOKUP(B31,Master!$P:$Q,2,FALSE)</f>
        <v>0110</v>
      </c>
      <c r="C30" s="10" t="str">
        <f>VLOOKUP(C31,Master!$P:$Q,2,FALSE)</f>
        <v>0110</v>
      </c>
    </row>
    <row customFormat="1" ht="30" r="31" s="2" spans="1:3" x14ac:dyDescent="0.25">
      <c r="A31" s="30" t="s">
        <v>3459</v>
      </c>
      <c r="B31" s="6" t="s">
        <v>105</v>
      </c>
      <c r="C31" s="6" t="s">
        <v>105</v>
      </c>
    </row>
    <row customFormat="1" r="32" s="2" spans="1:3" x14ac:dyDescent="0.25">
      <c r="A32" s="30" t="s">
        <v>3460</v>
      </c>
      <c r="B32" s="6" t="s">
        <v>2786</v>
      </c>
      <c r="C32" s="6" t="s">
        <v>2786</v>
      </c>
    </row>
    <row customFormat="1" r="33" s="2" spans="1:3" x14ac:dyDescent="0.25">
      <c r="A33" s="32" t="s">
        <v>3458</v>
      </c>
      <c r="B33" s="10" t="str">
        <f>VLOOKUP(B34,Master!$V:$W,2,FALSE)</f>
        <v>00055</v>
      </c>
      <c r="C33" s="10" t="str">
        <f>VLOOKUP(C34,Master!$V:$W,2,FALSE)</f>
        <v>00055</v>
      </c>
    </row>
    <row customFormat="1" r="34" s="2" spans="1:3" x14ac:dyDescent="0.25">
      <c r="A34" s="30" t="s">
        <v>3461</v>
      </c>
      <c r="B34" s="6" t="s">
        <v>109</v>
      </c>
      <c r="C34" s="6" t="s">
        <v>109</v>
      </c>
    </row>
    <row customFormat="1" ht="30" r="35" s="2" spans="1:3" x14ac:dyDescent="0.25">
      <c r="A35" s="32" t="s">
        <v>3463</v>
      </c>
      <c r="B35" s="10" t="str">
        <f>VLOOKUP(B36,Master!$Y:$Z,2,FALSE)</f>
        <v>PAYMENT_TYPEX_AUTOPAYMENT</v>
      </c>
      <c r="C35" s="10" t="str">
        <f>VLOOKUP(C36,Master!$Y:$Z,2,FALSE)</f>
        <v>PAYMENT_TYPEX_AUTOPAYMENT</v>
      </c>
    </row>
    <row customFormat="1" r="36" s="2" spans="1:3" x14ac:dyDescent="0.25">
      <c r="A36" s="30" t="s">
        <v>3462</v>
      </c>
      <c r="B36" s="6" t="s">
        <v>111</v>
      </c>
      <c r="C36" s="6" t="s">
        <v>111</v>
      </c>
    </row>
    <row customFormat="1" r="37" s="2" spans="1:3" x14ac:dyDescent="0.25">
      <c r="A37" s="32" t="s">
        <v>3465</v>
      </c>
      <c r="B37" s="10" t="str">
        <f>VLOOKUP(B38,Master!$AE:$AF,2,FALSE)</f>
        <v>BISNIS_SENDIRI</v>
      </c>
      <c r="C37" s="10" t="str">
        <f>VLOOKUP(C38,Master!$AE:$AF,2,FALSE)</f>
        <v>BISNIS_SENDIRI</v>
      </c>
    </row>
    <row customFormat="1" r="38" s="2" spans="1:3" x14ac:dyDescent="0.25">
      <c r="A38" s="30" t="s">
        <v>3464</v>
      </c>
      <c r="B38" s="6" t="s">
        <v>115</v>
      </c>
      <c r="C38" s="6" t="s">
        <v>115</v>
      </c>
    </row>
    <row customFormat="1" r="39" s="2" spans="1:3" x14ac:dyDescent="0.25">
      <c r="A39" s="30" t="s">
        <v>3466</v>
      </c>
      <c r="B39" s="38" t="s">
        <v>3396</v>
      </c>
      <c r="C39" s="38" t="s">
        <v>3403</v>
      </c>
    </row>
  </sheetData>
  <mergeCells count="1">
    <mergeCell ref="A11:XFD11"/>
  </mergeCells>
  <dataValidations count="12">
    <dataValidation allowBlank="1" errorStyle="information" showErrorMessage="1" showInputMessage="1" sqref="B13:C13" type="list">
      <formula1>ListDebtGroup</formula1>
    </dataValidation>
    <dataValidation allowBlank="1" errorStyle="information" showErrorMessage="1" showInputMessage="1" sqref="B15:C15" type="list">
      <formula1>ListDebtorBusinessScale</formula1>
    </dataValidation>
    <dataValidation allowBlank="1" errorStyle="information" showErrorMessage="1" showInputMessage="1" sqref="B17:C17" type="list">
      <formula1>ListCounterpart</formula1>
    </dataValidation>
    <dataValidation allowBlank="1" errorStyle="information" showErrorMessage="1" showInputMessage="1" sqref="B19:C19" type="list">
      <formula1>ListSusFinBus</formula1>
    </dataValidation>
    <dataValidation allowBlank="1" errorStyle="information" showErrorMessage="1" showInputMessage="1" sqref="B23:C23" type="list">
      <formula1>ListDebtGroupSLIK</formula1>
    </dataValidation>
    <dataValidation allowBlank="1" errorStyle="information" showErrorMessage="1" showInputMessage="1" sqref="B31:C31" type="list">
      <formula1>ListAfWiMult</formula1>
    </dataValidation>
    <dataValidation allowBlank="1" errorStyle="information" showErrorMessage="1" showInputMessage="1" sqref="B34:C34" type="list">
      <formula1>ListCSPUSL</formula1>
    </dataValidation>
    <dataValidation allowBlank="1" errorStyle="information" showErrorMessage="1" showInputMessage="1" sqref="B36:C36" type="list">
      <formula1>ListPaymentTypeAML</formula1>
    </dataValidation>
    <dataValidation allowBlank="1" errorStyle="information" showErrorMessage="1" showInputMessage="1" sqref="B38:C38" type="list">
      <formula1>ListBusinessSource</formula1>
    </dataValidation>
    <dataValidation allowBlank="1" errorStyle="information" showErrorMessage="1" showInputMessage="1" sqref="B28:C28" type="list">
      <formula1>ListRating</formula1>
    </dataValidation>
    <dataValidation allowBlank="1" errorStyle="information" showErrorMessage="1" showInputMessage="1" sqref="B21:C21 B24:C25 B32:C32" type="list">
      <formula1>"YES, NO"</formula1>
    </dataValidation>
    <dataValidation allowBlank="1" errorStyle="information" showErrorMessage="1" showInputMessage="1" sqref="B39:C39"/>
  </dataValidations>
  <pageMargins bottom="0.75" footer="0.3" header="0.3" left="0.7" right="0.7" top="0.75"/>
  <pageSetup orientation="portrait" paperSize="9" r:id="rId1"/>
  <legacyDrawing r:id="rId2"/>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CM882"/>
  <sheetViews>
    <sheetView topLeftCell="AO1" workbookViewId="0" zoomScale="82" zoomScaleNormal="82">
      <selection activeCell="BC19" sqref="BC19"/>
    </sheetView>
  </sheetViews>
  <sheetFormatPr defaultRowHeight="15" x14ac:dyDescent="0.25"/>
  <cols>
    <col min="1" max="1" customWidth="true" style="15" width="37.140625" collapsed="true"/>
    <col min="2" max="2" customWidth="true" style="15" width="36.85546875" collapsed="true"/>
    <col min="3" max="3" style="15" width="9.140625" collapsed="true"/>
    <col min="4" max="4" customWidth="true" style="15" width="54.42578125" collapsed="true"/>
    <col min="5" max="5" customWidth="true" style="15" width="33.0" collapsed="true"/>
    <col min="6" max="6" customWidth="true" style="15" width="9.140625" collapsed="true"/>
    <col min="7" max="7" customWidth="true" style="15" width="255.7109375" collapsed="true"/>
    <col min="8" max="8" customWidth="true" style="15" width="22.85546875" collapsed="true"/>
    <col min="10" max="10" customWidth="true" style="23" width="142.7109375" collapsed="true"/>
    <col min="11" max="11" customWidth="true" style="15" width="21.85546875" collapsed="true"/>
    <col min="12" max="12" style="15" width="9.140625" collapsed="true"/>
    <col min="13" max="13" customWidth="true" style="24" width="115.0" collapsed="true"/>
    <col min="14" max="14" customWidth="true" style="18" width="44.28515625" collapsed="true"/>
    <col min="15" max="15" style="15" width="9.140625" collapsed="true"/>
    <col min="16" max="16" customWidth="true" style="24" width="108.85546875" collapsed="true"/>
    <col min="17" max="17" customWidth="true" style="18" width="14.7109375" collapsed="true"/>
    <col min="19" max="19" customWidth="true" style="15" width="105.42578125" collapsed="true"/>
    <col min="20" max="20" customWidth="true" style="15" width="40.5703125" collapsed="true"/>
    <col min="21" max="21" style="15" width="9.140625" collapsed="true"/>
    <col min="22" max="22" customWidth="true" style="15" width="38.7109375" collapsed="true"/>
    <col min="23" max="23" customWidth="true" style="18" width="46.7109375" collapsed="true"/>
    <col min="24" max="24" style="15" width="9.140625" collapsed="true"/>
    <col min="25" max="25" customWidth="true" style="15" width="34.28515625" collapsed="true"/>
    <col min="26" max="26" bestFit="true" customWidth="true" style="15" width="38.28515625" collapsed="true"/>
    <col min="27" max="27" style="15" width="9.140625" collapsed="true"/>
    <col min="28" max="28" customWidth="true" style="15" width="29.28515625" collapsed="true"/>
    <col min="29" max="29" customWidth="true" style="15" width="30.85546875" collapsed="true"/>
    <col min="31" max="31" customWidth="true" style="15" width="40.140625" collapsed="true"/>
    <col min="32" max="32" customWidth="true" style="15" width="15.0" collapsed="true"/>
    <col min="33" max="33" style="15" width="9.140625" collapsed="true"/>
    <col min="34" max="34" customWidth="true" style="15" width="20.28515625" collapsed="true"/>
    <col min="35" max="35" customWidth="true" style="15" width="28.7109375" collapsed="true"/>
    <col min="36" max="36" style="15" width="9.140625" collapsed="true"/>
    <col min="37" max="37" customWidth="true" style="15" width="112.5703125" collapsed="true"/>
    <col min="38" max="38" customWidth="true" style="15" width="36.85546875" collapsed="true"/>
    <col min="40" max="40" customWidth="true" width="32.42578125" collapsed="true"/>
    <col min="41" max="41" customWidth="true" width="14.7109375" collapsed="true"/>
    <col min="43" max="43" customWidth="true" width="35.5703125" collapsed="true"/>
    <col min="45" max="45" customWidth="true" width="44.0" collapsed="true"/>
    <col min="46" max="46" bestFit="true" customWidth="true" width="23.140625" collapsed="true"/>
    <col min="48" max="48" customWidth="true" width="15.85546875" collapsed="true"/>
  </cols>
  <sheetData>
    <row customFormat="1" r="1" s="11" spans="1:48" x14ac:dyDescent="0.25">
      <c r="A1" s="17" t="s">
        <v>2797</v>
      </c>
      <c r="B1" s="17" t="s">
        <v>2798</v>
      </c>
      <c r="C1" s="14"/>
      <c r="D1" s="17" t="s">
        <v>2800</v>
      </c>
      <c r="E1" s="17" t="s">
        <v>92</v>
      </c>
      <c r="F1" s="14"/>
      <c r="G1" s="17" t="s">
        <v>2801</v>
      </c>
      <c r="H1" s="17" t="s">
        <v>2802</v>
      </c>
      <c r="J1" s="22" t="s">
        <v>93</v>
      </c>
      <c r="K1" s="22" t="s">
        <v>2803</v>
      </c>
      <c r="L1" s="14"/>
      <c r="M1" s="25" t="s">
        <v>2804</v>
      </c>
      <c r="N1" s="25" t="s">
        <v>2805</v>
      </c>
      <c r="O1" s="14"/>
      <c r="P1" s="25" t="s">
        <v>94</v>
      </c>
      <c r="Q1" s="25" t="s">
        <v>2806</v>
      </c>
      <c r="S1" s="17" t="s">
        <v>2807</v>
      </c>
      <c r="T1" s="17" t="s">
        <v>2808</v>
      </c>
      <c r="U1" s="14"/>
      <c r="V1" s="17" t="s">
        <v>95</v>
      </c>
      <c r="W1" s="17" t="s">
        <v>2809</v>
      </c>
      <c r="X1" s="14"/>
      <c r="Y1" s="17" t="s">
        <v>2810</v>
      </c>
      <c r="Z1" s="17" t="s">
        <v>2806</v>
      </c>
      <c r="AA1" s="14"/>
      <c r="AB1" s="27" t="s">
        <v>2811</v>
      </c>
      <c r="AC1" s="27" t="s">
        <v>2812</v>
      </c>
      <c r="AE1" s="17" t="s">
        <v>96</v>
      </c>
      <c r="AF1" s="17" t="s">
        <v>2806</v>
      </c>
      <c r="AG1" s="14"/>
      <c r="AH1" s="17" t="s">
        <v>2813</v>
      </c>
      <c r="AI1" s="17" t="s">
        <v>2814</v>
      </c>
      <c r="AJ1" s="14"/>
      <c r="AK1" s="17" t="s">
        <v>2815</v>
      </c>
      <c r="AL1" s="17" t="s">
        <v>2816</v>
      </c>
      <c r="AN1" s="17" t="s">
        <v>3053</v>
      </c>
      <c r="AO1" s="17" t="s">
        <v>2806</v>
      </c>
      <c r="AQ1" s="20" t="s">
        <v>3057</v>
      </c>
      <c r="AS1" s="20" t="s">
        <v>3106</v>
      </c>
      <c r="AT1" s="20" t="s">
        <v>3107</v>
      </c>
      <c r="AV1" s="20" t="s">
        <v>3368</v>
      </c>
    </row>
    <row r="2" spans="1:48" x14ac:dyDescent="0.25">
      <c r="A2" s="17" t="s">
        <v>97</v>
      </c>
      <c r="B2" s="17" t="s">
        <v>83</v>
      </c>
      <c r="D2" s="17" t="s">
        <v>98</v>
      </c>
      <c r="E2" s="17" t="s">
        <v>3045</v>
      </c>
      <c r="G2" s="17" t="s">
        <v>99</v>
      </c>
      <c r="H2" s="17" t="s">
        <v>100</v>
      </c>
      <c r="J2" s="22" t="s">
        <v>101</v>
      </c>
      <c r="K2" s="22" t="s">
        <v>102</v>
      </c>
      <c r="M2" s="25" t="s">
        <v>103</v>
      </c>
      <c r="N2" s="25" t="s">
        <v>104</v>
      </c>
      <c r="P2" s="25" t="s">
        <v>105</v>
      </c>
      <c r="Q2" s="25" t="s">
        <v>106</v>
      </c>
      <c r="S2" s="17" t="s">
        <v>107</v>
      </c>
      <c r="T2" s="17" t="s">
        <v>108</v>
      </c>
      <c r="V2" s="17" t="s">
        <v>109</v>
      </c>
      <c r="W2" s="17" t="s">
        <v>110</v>
      </c>
      <c r="Y2" s="17" t="s">
        <v>111</v>
      </c>
      <c r="Z2" s="17" t="s">
        <v>112</v>
      </c>
      <c r="AB2" s="27" t="s">
        <v>113</v>
      </c>
      <c r="AC2" s="27" t="s">
        <v>114</v>
      </c>
      <c r="AD2" s="7"/>
      <c r="AE2" s="17" t="s">
        <v>115</v>
      </c>
      <c r="AF2" s="29" t="s">
        <v>85</v>
      </c>
      <c r="AH2" s="17" t="s">
        <v>116</v>
      </c>
      <c r="AI2" s="17" t="s">
        <v>117</v>
      </c>
      <c r="AK2" s="17" t="s">
        <v>2817</v>
      </c>
      <c r="AL2" s="17" t="s">
        <v>2818</v>
      </c>
      <c r="AN2" s="17" t="s">
        <v>2787</v>
      </c>
      <c r="AO2" s="17" t="s">
        <v>267</v>
      </c>
      <c r="AQ2" s="26" t="s">
        <v>3058</v>
      </c>
      <c r="AS2" s="26" t="s">
        <v>3108</v>
      </c>
      <c r="AT2" s="26" t="s">
        <v>3109</v>
      </c>
      <c r="AV2" s="26" t="s">
        <v>3371</v>
      </c>
    </row>
    <row r="3" spans="1:48" x14ac:dyDescent="0.25">
      <c r="A3" s="17" t="s">
        <v>119</v>
      </c>
      <c r="B3" s="17" t="s">
        <v>84</v>
      </c>
      <c r="D3" s="17" t="s">
        <v>120</v>
      </c>
      <c r="E3" s="17" t="s">
        <v>3046</v>
      </c>
      <c r="G3" s="21" t="s">
        <v>121</v>
      </c>
      <c r="H3" s="17" t="s">
        <v>122</v>
      </c>
      <c r="J3" s="22" t="s">
        <v>123</v>
      </c>
      <c r="K3" s="22" t="s">
        <v>124</v>
      </c>
      <c r="M3" s="25" t="s">
        <v>125</v>
      </c>
      <c r="N3" s="25" t="s">
        <v>126</v>
      </c>
      <c r="P3" s="25" t="s">
        <v>127</v>
      </c>
      <c r="Q3" s="25" t="s">
        <v>128</v>
      </c>
      <c r="S3" s="17" t="s">
        <v>129</v>
      </c>
      <c r="T3" s="17" t="s">
        <v>130</v>
      </c>
      <c r="V3" s="17" t="s">
        <v>131</v>
      </c>
      <c r="W3" s="17" t="s">
        <v>132</v>
      </c>
      <c r="Y3" s="17" t="s">
        <v>133</v>
      </c>
      <c r="Z3" s="17" t="s">
        <v>134</v>
      </c>
      <c r="AB3" s="27" t="s">
        <v>135</v>
      </c>
      <c r="AC3" s="27" t="s">
        <v>136</v>
      </c>
      <c r="AE3" s="28"/>
      <c r="AH3" s="17" t="s">
        <v>15</v>
      </c>
      <c r="AI3" s="17" t="s">
        <v>137</v>
      </c>
      <c r="AK3" s="17" t="s">
        <v>2819</v>
      </c>
      <c r="AL3" s="17" t="s">
        <v>2820</v>
      </c>
      <c r="AN3" s="17" t="s">
        <v>2788</v>
      </c>
      <c r="AO3" s="17" t="s">
        <v>384</v>
      </c>
      <c r="AQ3" s="26" t="s">
        <v>3059</v>
      </c>
      <c r="AS3" s="26" t="s">
        <v>3110</v>
      </c>
      <c r="AT3" s="26" t="s">
        <v>3111</v>
      </c>
      <c r="AV3" s="26" t="s">
        <v>3372</v>
      </c>
    </row>
    <row r="4" spans="1:48" x14ac:dyDescent="0.25">
      <c r="A4" s="17" t="s">
        <v>139</v>
      </c>
      <c r="B4" s="17" t="s">
        <v>140</v>
      </c>
      <c r="D4" s="17" t="s">
        <v>141</v>
      </c>
      <c r="E4" s="17" t="s">
        <v>3054</v>
      </c>
      <c r="G4" s="21" t="s">
        <v>142</v>
      </c>
      <c r="H4" s="17" t="s">
        <v>143</v>
      </c>
      <c r="J4" s="22" t="s">
        <v>144</v>
      </c>
      <c r="K4" s="22" t="s">
        <v>145</v>
      </c>
      <c r="M4" s="25" t="s">
        <v>146</v>
      </c>
      <c r="N4" s="25" t="s">
        <v>147</v>
      </c>
      <c r="P4" s="25" t="s">
        <v>148</v>
      </c>
      <c r="Q4" s="25" t="s">
        <v>149</v>
      </c>
      <c r="S4" s="17" t="s">
        <v>150</v>
      </c>
      <c r="T4" s="17" t="s">
        <v>151</v>
      </c>
      <c r="V4" s="17" t="s">
        <v>152</v>
      </c>
      <c r="W4" s="17" t="s">
        <v>153</v>
      </c>
      <c r="AB4" s="27" t="s">
        <v>154</v>
      </c>
      <c r="AC4" s="27" t="s">
        <v>155</v>
      </c>
      <c r="AH4" s="17" t="s">
        <v>156</v>
      </c>
      <c r="AI4" s="17" t="s">
        <v>157</v>
      </c>
      <c r="AK4" s="17" t="s">
        <v>2821</v>
      </c>
      <c r="AL4" s="17" t="s">
        <v>2822</v>
      </c>
      <c r="AN4" s="17" t="s">
        <v>2789</v>
      </c>
      <c r="AO4" s="17" t="s">
        <v>483</v>
      </c>
      <c r="AQ4" s="26" t="s">
        <v>3060</v>
      </c>
      <c r="AS4" s="26" t="s">
        <v>3112</v>
      </c>
      <c r="AT4" s="26" t="s">
        <v>3113</v>
      </c>
      <c r="AV4" s="26" t="s">
        <v>3373</v>
      </c>
    </row>
    <row r="5" spans="1:48" x14ac:dyDescent="0.25">
      <c r="A5" s="17" t="s">
        <v>159</v>
      </c>
      <c r="B5" s="17" t="s">
        <v>160</v>
      </c>
      <c r="D5" s="17" t="s">
        <v>161</v>
      </c>
      <c r="E5" s="17" t="s">
        <v>3055</v>
      </c>
      <c r="G5" s="21" t="s">
        <v>162</v>
      </c>
      <c r="H5" s="17" t="s">
        <v>163</v>
      </c>
      <c r="J5" s="22" t="s">
        <v>164</v>
      </c>
      <c r="K5" s="22" t="s">
        <v>165</v>
      </c>
      <c r="M5" s="25" t="s">
        <v>166</v>
      </c>
      <c r="N5" s="25" t="s">
        <v>167</v>
      </c>
      <c r="P5" s="25" t="s">
        <v>168</v>
      </c>
      <c r="Q5" s="25" t="s">
        <v>169</v>
      </c>
      <c r="S5" s="17" t="s">
        <v>170</v>
      </c>
      <c r="T5" s="17" t="s">
        <v>171</v>
      </c>
      <c r="V5" s="17" t="s">
        <v>172</v>
      </c>
      <c r="W5" s="17" t="s">
        <v>173</v>
      </c>
      <c r="AB5" s="27" t="s">
        <v>174</v>
      </c>
      <c r="AC5" s="27" t="s">
        <v>175</v>
      </c>
      <c r="AH5" s="17" t="s">
        <v>176</v>
      </c>
      <c r="AI5" s="17" t="s">
        <v>177</v>
      </c>
      <c r="AK5" s="17" t="s">
        <v>2823</v>
      </c>
      <c r="AL5" s="17" t="s">
        <v>2824</v>
      </c>
      <c r="AN5" s="17" t="s">
        <v>2790</v>
      </c>
      <c r="AO5" s="17" t="s">
        <v>582</v>
      </c>
      <c r="AQ5" s="26" t="s">
        <v>3061</v>
      </c>
      <c r="AS5" s="26" t="s">
        <v>3114</v>
      </c>
      <c r="AT5" s="26" t="s">
        <v>3115</v>
      </c>
      <c r="AV5" s="26" t="s">
        <v>3374</v>
      </c>
    </row>
    <row r="6" spans="1:48" x14ac:dyDescent="0.25">
      <c r="A6" s="17" t="s">
        <v>179</v>
      </c>
      <c r="B6" s="17" t="s">
        <v>180</v>
      </c>
      <c r="D6" s="17" t="s">
        <v>181</v>
      </c>
      <c r="E6" s="17" t="s">
        <v>3056</v>
      </c>
      <c r="G6" s="21" t="s">
        <v>182</v>
      </c>
      <c r="H6" s="17" t="s">
        <v>183</v>
      </c>
      <c r="J6" s="22" t="s">
        <v>184</v>
      </c>
      <c r="K6" s="22" t="s">
        <v>185</v>
      </c>
      <c r="M6" s="25" t="s">
        <v>186</v>
      </c>
      <c r="N6" s="25" t="s">
        <v>187</v>
      </c>
      <c r="P6" s="25" t="s">
        <v>188</v>
      </c>
      <c r="Q6" s="25" t="s">
        <v>189</v>
      </c>
      <c r="S6" s="17" t="s">
        <v>190</v>
      </c>
      <c r="T6" s="17" t="s">
        <v>191</v>
      </c>
      <c r="V6" s="17" t="s">
        <v>192</v>
      </c>
      <c r="W6" s="17" t="s">
        <v>193</v>
      </c>
      <c r="AB6" s="27" t="s">
        <v>194</v>
      </c>
      <c r="AC6" s="27" t="s">
        <v>195</v>
      </c>
      <c r="AH6" s="17" t="s">
        <v>196</v>
      </c>
      <c r="AI6" s="17" t="s">
        <v>196</v>
      </c>
      <c r="AK6" s="17" t="s">
        <v>2825</v>
      </c>
      <c r="AL6" s="17" t="s">
        <v>2826</v>
      </c>
      <c r="AN6" s="17" t="s">
        <v>2791</v>
      </c>
      <c r="AO6" s="17" t="s">
        <v>681</v>
      </c>
      <c r="AQ6" s="26" t="s">
        <v>3062</v>
      </c>
      <c r="AS6" s="26" t="s">
        <v>3116</v>
      </c>
      <c r="AT6" s="26" t="s">
        <v>3117</v>
      </c>
      <c r="AV6" s="26" t="s">
        <v>3375</v>
      </c>
    </row>
    <row r="7" spans="1:48" x14ac:dyDescent="0.25">
      <c r="A7" s="17" t="s">
        <v>198</v>
      </c>
      <c r="B7" s="17" t="s">
        <v>199</v>
      </c>
      <c r="G7" s="21" t="s">
        <v>200</v>
      </c>
      <c r="H7" s="17" t="s">
        <v>201</v>
      </c>
      <c r="J7" s="22" t="s">
        <v>202</v>
      </c>
      <c r="K7" s="22" t="s">
        <v>203</v>
      </c>
      <c r="M7" s="25" t="s">
        <v>204</v>
      </c>
      <c r="N7" s="25" t="s">
        <v>205</v>
      </c>
      <c r="P7" s="25" t="s">
        <v>206</v>
      </c>
      <c r="Q7" s="25" t="s">
        <v>207</v>
      </c>
      <c r="S7" s="17" t="s">
        <v>208</v>
      </c>
      <c r="T7" s="17" t="s">
        <v>209</v>
      </c>
      <c r="V7" s="17" t="s">
        <v>210</v>
      </c>
      <c r="W7" s="17" t="s">
        <v>211</v>
      </c>
      <c r="AB7" s="27" t="s">
        <v>212</v>
      </c>
      <c r="AC7" s="27" t="s">
        <v>213</v>
      </c>
      <c r="AH7" s="17" t="s">
        <v>14</v>
      </c>
      <c r="AI7" s="17" t="s">
        <v>214</v>
      </c>
      <c r="AK7" s="17" t="s">
        <v>2827</v>
      </c>
      <c r="AL7" s="17" t="s">
        <v>2828</v>
      </c>
      <c r="AN7" s="17" t="s">
        <v>2792</v>
      </c>
      <c r="AO7" s="17" t="s">
        <v>780</v>
      </c>
      <c r="AQ7" s="26" t="s">
        <v>3063</v>
      </c>
      <c r="AS7" s="26" t="s">
        <v>3118</v>
      </c>
      <c r="AT7" s="26" t="s">
        <v>3119</v>
      </c>
      <c r="AV7" s="26" t="s">
        <v>3376</v>
      </c>
    </row>
    <row r="8" spans="1:48" x14ac:dyDescent="0.25">
      <c r="A8" s="17" t="s">
        <v>216</v>
      </c>
      <c r="B8" s="17" t="s">
        <v>217</v>
      </c>
      <c r="G8" s="21" t="s">
        <v>218</v>
      </c>
      <c r="H8" s="17" t="s">
        <v>219</v>
      </c>
      <c r="J8" s="22" t="s">
        <v>220</v>
      </c>
      <c r="K8" s="22" t="s">
        <v>221</v>
      </c>
      <c r="M8" s="25" t="s">
        <v>222</v>
      </c>
      <c r="N8" s="25" t="s">
        <v>223</v>
      </c>
      <c r="P8" s="25" t="s">
        <v>224</v>
      </c>
      <c r="Q8" s="25" t="s">
        <v>225</v>
      </c>
      <c r="S8" s="17" t="s">
        <v>226</v>
      </c>
      <c r="T8" s="17" t="s">
        <v>227</v>
      </c>
      <c r="V8" s="17" t="s">
        <v>228</v>
      </c>
      <c r="W8" s="17" t="s">
        <v>229</v>
      </c>
      <c r="AB8" s="27" t="s">
        <v>150</v>
      </c>
      <c r="AC8" s="27" t="s">
        <v>230</v>
      </c>
      <c r="AH8" s="17" t="s">
        <v>231</v>
      </c>
      <c r="AI8" s="17" t="s">
        <v>232</v>
      </c>
      <c r="AK8" s="17" t="s">
        <v>118</v>
      </c>
      <c r="AL8" s="17" t="s">
        <v>2829</v>
      </c>
      <c r="AN8" s="19" t="s">
        <v>2793</v>
      </c>
      <c r="AO8" s="19" t="s">
        <v>2437</v>
      </c>
      <c r="AQ8" s="26" t="s">
        <v>3064</v>
      </c>
      <c r="AS8" s="26" t="s">
        <v>3120</v>
      </c>
      <c r="AT8" s="26" t="s">
        <v>3121</v>
      </c>
      <c r="AV8" s="26" t="s">
        <v>3377</v>
      </c>
    </row>
    <row r="9" spans="1:48" x14ac:dyDescent="0.25">
      <c r="A9" s="17" t="s">
        <v>234</v>
      </c>
      <c r="B9" s="17" t="s">
        <v>235</v>
      </c>
      <c r="G9" s="21" t="s">
        <v>236</v>
      </c>
      <c r="H9" s="17" t="s">
        <v>237</v>
      </c>
      <c r="J9" s="22" t="s">
        <v>238</v>
      </c>
      <c r="K9" s="22" t="s">
        <v>239</v>
      </c>
      <c r="M9" s="25" t="s">
        <v>240</v>
      </c>
      <c r="N9" s="25" t="s">
        <v>241</v>
      </c>
      <c r="P9" s="25" t="s">
        <v>242</v>
      </c>
      <c r="Q9" s="25" t="s">
        <v>243</v>
      </c>
      <c r="S9" s="17" t="s">
        <v>244</v>
      </c>
      <c r="T9" s="17" t="s">
        <v>245</v>
      </c>
      <c r="V9" s="17" t="s">
        <v>246</v>
      </c>
      <c r="W9" s="17" t="s">
        <v>247</v>
      </c>
      <c r="AB9" s="27" t="s">
        <v>248</v>
      </c>
      <c r="AC9" s="27" t="s">
        <v>249</v>
      </c>
      <c r="AK9" s="17" t="s">
        <v>138</v>
      </c>
      <c r="AL9" s="17" t="s">
        <v>2830</v>
      </c>
      <c r="AN9" s="15"/>
      <c r="AQ9" s="26" t="s">
        <v>3065</v>
      </c>
      <c r="AS9" s="26" t="s">
        <v>3122</v>
      </c>
      <c r="AT9" s="26" t="s">
        <v>3123</v>
      </c>
      <c r="AV9" s="26" t="s">
        <v>3369</v>
      </c>
    </row>
    <row r="10" spans="1:48" x14ac:dyDescent="0.25">
      <c r="A10" s="17" t="s">
        <v>251</v>
      </c>
      <c r="B10" s="17" t="s">
        <v>252</v>
      </c>
      <c r="G10" s="21" t="s">
        <v>253</v>
      </c>
      <c r="H10" s="17" t="s">
        <v>254</v>
      </c>
      <c r="J10" s="22" t="s">
        <v>255</v>
      </c>
      <c r="K10" s="22" t="s">
        <v>256</v>
      </c>
      <c r="M10" s="25" t="s">
        <v>257</v>
      </c>
      <c r="N10" s="25" t="s">
        <v>258</v>
      </c>
      <c r="P10" s="25" t="s">
        <v>259</v>
      </c>
      <c r="Q10" s="25" t="s">
        <v>260</v>
      </c>
      <c r="S10" s="17" t="s">
        <v>261</v>
      </c>
      <c r="T10" s="17" t="s">
        <v>262</v>
      </c>
      <c r="V10" s="17" t="s">
        <v>263</v>
      </c>
      <c r="W10" s="17" t="s">
        <v>264</v>
      </c>
      <c r="AK10" s="17" t="s">
        <v>158</v>
      </c>
      <c r="AL10" s="17" t="s">
        <v>2831</v>
      </c>
      <c r="AQ10" s="26" t="s">
        <v>16</v>
      </c>
      <c r="AS10" s="26" t="s">
        <v>3124</v>
      </c>
      <c r="AT10" s="26" t="s">
        <v>3125</v>
      </c>
      <c r="AV10" s="26" t="s">
        <v>3378</v>
      </c>
    </row>
    <row r="11" spans="1:48" x14ac:dyDescent="0.25">
      <c r="A11" s="17" t="s">
        <v>266</v>
      </c>
      <c r="B11" s="17" t="s">
        <v>267</v>
      </c>
      <c r="G11" s="21" t="s">
        <v>268</v>
      </c>
      <c r="H11" s="17" t="s">
        <v>269</v>
      </c>
      <c r="J11" s="22" t="s">
        <v>270</v>
      </c>
      <c r="K11" s="22" t="s">
        <v>271</v>
      </c>
      <c r="M11" s="25" t="s">
        <v>272</v>
      </c>
      <c r="N11" s="25" t="s">
        <v>273</v>
      </c>
      <c r="P11" s="25" t="s">
        <v>274</v>
      </c>
      <c r="Q11" s="25" t="s">
        <v>275</v>
      </c>
      <c r="S11" s="17" t="s">
        <v>276</v>
      </c>
      <c r="T11" s="17" t="s">
        <v>277</v>
      </c>
      <c r="AK11" s="17" t="s">
        <v>178</v>
      </c>
      <c r="AL11" s="17" t="s">
        <v>2832</v>
      </c>
      <c r="AQ11" s="26" t="s">
        <v>3066</v>
      </c>
      <c r="AS11" s="26" t="s">
        <v>3126</v>
      </c>
      <c r="AT11" s="26" t="s">
        <v>3127</v>
      </c>
    </row>
    <row r="12" spans="1:48" x14ac:dyDescent="0.25">
      <c r="A12" s="17" t="s">
        <v>279</v>
      </c>
      <c r="B12" s="17" t="s">
        <v>280</v>
      </c>
      <c r="G12" s="21" t="s">
        <v>281</v>
      </c>
      <c r="H12" s="17" t="s">
        <v>282</v>
      </c>
      <c r="J12" s="22" t="s">
        <v>283</v>
      </c>
      <c r="K12" s="22" t="s">
        <v>284</v>
      </c>
      <c r="M12" s="25" t="s">
        <v>285</v>
      </c>
      <c r="N12" s="25" t="s">
        <v>106</v>
      </c>
      <c r="P12" s="25" t="s">
        <v>286</v>
      </c>
      <c r="Q12" s="25" t="s">
        <v>287</v>
      </c>
      <c r="S12" s="17" t="s">
        <v>288</v>
      </c>
      <c r="T12" s="17" t="s">
        <v>289</v>
      </c>
      <c r="AK12" s="17" t="s">
        <v>197</v>
      </c>
      <c r="AL12" s="17" t="s">
        <v>2833</v>
      </c>
      <c r="AQ12" s="26" t="s">
        <v>18</v>
      </c>
      <c r="AS12" s="26" t="s">
        <v>3128</v>
      </c>
      <c r="AT12" s="26" t="s">
        <v>3129</v>
      </c>
    </row>
    <row r="13" spans="1:48" x14ac:dyDescent="0.25">
      <c r="A13" s="17" t="s">
        <v>291</v>
      </c>
      <c r="B13" s="17" t="s">
        <v>292</v>
      </c>
      <c r="G13" s="21" t="s">
        <v>293</v>
      </c>
      <c r="H13" s="17" t="s">
        <v>294</v>
      </c>
      <c r="J13" s="22" t="s">
        <v>295</v>
      </c>
      <c r="K13" s="22" t="s">
        <v>296</v>
      </c>
      <c r="M13" s="25" t="s">
        <v>297</v>
      </c>
      <c r="N13" s="25" t="s">
        <v>128</v>
      </c>
      <c r="P13" s="25" t="s">
        <v>298</v>
      </c>
      <c r="Q13" s="25" t="s">
        <v>299</v>
      </c>
      <c r="S13" s="17" t="s">
        <v>300</v>
      </c>
      <c r="T13" s="17" t="s">
        <v>301</v>
      </c>
      <c r="AK13" s="17" t="s">
        <v>215</v>
      </c>
      <c r="AL13" s="17" t="s">
        <v>2834</v>
      </c>
      <c r="AQ13" s="26" t="s">
        <v>3067</v>
      </c>
      <c r="AS13" s="26" t="s">
        <v>3130</v>
      </c>
      <c r="AT13" s="26" t="s">
        <v>3131</v>
      </c>
    </row>
    <row r="14" spans="1:48" x14ac:dyDescent="0.25">
      <c r="A14" s="17" t="s">
        <v>303</v>
      </c>
      <c r="B14" s="17" t="s">
        <v>304</v>
      </c>
      <c r="G14" s="21" t="s">
        <v>305</v>
      </c>
      <c r="H14" s="17" t="s">
        <v>306</v>
      </c>
      <c r="J14" s="22" t="s">
        <v>307</v>
      </c>
      <c r="K14" s="22" t="s">
        <v>308</v>
      </c>
      <c r="M14" s="25" t="s">
        <v>309</v>
      </c>
      <c r="N14" s="25" t="s">
        <v>310</v>
      </c>
      <c r="P14" s="25" t="s">
        <v>311</v>
      </c>
      <c r="Q14" s="25" t="s">
        <v>312</v>
      </c>
      <c r="S14" s="17" t="s">
        <v>313</v>
      </c>
      <c r="T14" s="17" t="s">
        <v>314</v>
      </c>
      <c r="AK14" s="17" t="s">
        <v>233</v>
      </c>
      <c r="AL14" s="17" t="s">
        <v>2835</v>
      </c>
      <c r="AQ14" s="26" t="s">
        <v>3068</v>
      </c>
      <c r="AS14" s="26" t="s">
        <v>3132</v>
      </c>
      <c r="AT14" s="26" t="s">
        <v>3133</v>
      </c>
    </row>
    <row r="15" spans="1:48" x14ac:dyDescent="0.25">
      <c r="A15" s="17" t="s">
        <v>316</v>
      </c>
      <c r="B15" s="17" t="s">
        <v>317</v>
      </c>
      <c r="G15" s="21" t="s">
        <v>318</v>
      </c>
      <c r="H15" s="17" t="s">
        <v>319</v>
      </c>
      <c r="M15" s="25" t="s">
        <v>320</v>
      </c>
      <c r="N15" s="25" t="s">
        <v>321</v>
      </c>
      <c r="P15" s="25" t="s">
        <v>322</v>
      </c>
      <c r="Q15" s="25" t="s">
        <v>323</v>
      </c>
      <c r="S15" s="17" t="s">
        <v>324</v>
      </c>
      <c r="T15" s="17" t="s">
        <v>325</v>
      </c>
      <c r="AK15" s="17" t="s">
        <v>250</v>
      </c>
      <c r="AL15" s="17" t="s">
        <v>2836</v>
      </c>
      <c r="AQ15" s="26" t="s">
        <v>19</v>
      </c>
      <c r="AS15" s="26" t="s">
        <v>3134</v>
      </c>
      <c r="AT15" s="26" t="s">
        <v>3135</v>
      </c>
    </row>
    <row r="16" spans="1:48" x14ac:dyDescent="0.25">
      <c r="A16" s="17" t="s">
        <v>327</v>
      </c>
      <c r="B16" s="17" t="s">
        <v>328</v>
      </c>
      <c r="G16" s="21" t="s">
        <v>329</v>
      </c>
      <c r="H16" s="17" t="s">
        <v>330</v>
      </c>
      <c r="M16" s="25" t="s">
        <v>331</v>
      </c>
      <c r="N16" s="25" t="s">
        <v>332</v>
      </c>
      <c r="P16" s="25" t="s">
        <v>333</v>
      </c>
      <c r="Q16" s="25" t="s">
        <v>334</v>
      </c>
      <c r="S16" s="17" t="s">
        <v>335</v>
      </c>
      <c r="T16" s="17" t="s">
        <v>336</v>
      </c>
      <c r="AK16" s="17" t="s">
        <v>265</v>
      </c>
      <c r="AL16" s="17" t="s">
        <v>2837</v>
      </c>
      <c r="AQ16" s="26" t="s">
        <v>3069</v>
      </c>
      <c r="AS16" s="26" t="s">
        <v>3136</v>
      </c>
      <c r="AT16" s="26" t="s">
        <v>3137</v>
      </c>
    </row>
    <row r="17" spans="1:46" x14ac:dyDescent="0.25">
      <c r="A17" s="17" t="s">
        <v>338</v>
      </c>
      <c r="B17" s="17" t="s">
        <v>339</v>
      </c>
      <c r="G17" s="21" t="s">
        <v>340</v>
      </c>
      <c r="H17" s="17" t="s">
        <v>341</v>
      </c>
      <c r="M17" s="25" t="s">
        <v>342</v>
      </c>
      <c r="N17" s="25" t="s">
        <v>343</v>
      </c>
      <c r="S17" s="17" t="s">
        <v>344</v>
      </c>
      <c r="T17" s="17" t="s">
        <v>345</v>
      </c>
      <c r="AK17" s="17" t="s">
        <v>278</v>
      </c>
      <c r="AL17" s="17" t="s">
        <v>2838</v>
      </c>
      <c r="AQ17" s="26" t="s">
        <v>3070</v>
      </c>
      <c r="AS17" s="26" t="s">
        <v>3138</v>
      </c>
      <c r="AT17" s="26" t="s">
        <v>3139</v>
      </c>
    </row>
    <row r="18" spans="1:46" x14ac:dyDescent="0.25">
      <c r="A18" s="17" t="s">
        <v>347</v>
      </c>
      <c r="B18" s="17" t="s">
        <v>348</v>
      </c>
      <c r="G18" s="21" t="s">
        <v>349</v>
      </c>
      <c r="H18" s="17" t="s">
        <v>350</v>
      </c>
      <c r="M18" s="25" t="s">
        <v>351</v>
      </c>
      <c r="N18" s="25" t="s">
        <v>352</v>
      </c>
      <c r="S18" s="17" t="s">
        <v>353</v>
      </c>
      <c r="T18" s="17" t="s">
        <v>354</v>
      </c>
      <c r="AK18" s="17" t="s">
        <v>290</v>
      </c>
      <c r="AL18" s="17" t="s">
        <v>2839</v>
      </c>
      <c r="AQ18" s="26" t="s">
        <v>3071</v>
      </c>
      <c r="AS18" s="26" t="s">
        <v>3140</v>
      </c>
      <c r="AT18" s="26" t="s">
        <v>3141</v>
      </c>
    </row>
    <row r="19" spans="1:46" x14ac:dyDescent="0.25">
      <c r="A19" s="17" t="s">
        <v>356</v>
      </c>
      <c r="B19" s="17" t="s">
        <v>357</v>
      </c>
      <c r="G19" s="21" t="s">
        <v>358</v>
      </c>
      <c r="H19" s="17" t="s">
        <v>359</v>
      </c>
      <c r="M19" s="25" t="s">
        <v>360</v>
      </c>
      <c r="N19" s="25" t="s">
        <v>361</v>
      </c>
      <c r="S19" s="17" t="s">
        <v>362</v>
      </c>
      <c r="T19" s="17" t="s">
        <v>363</v>
      </c>
      <c r="AK19" s="17" t="s">
        <v>302</v>
      </c>
      <c r="AL19" s="17" t="s">
        <v>2840</v>
      </c>
      <c r="AQ19" s="26" t="s">
        <v>3072</v>
      </c>
      <c r="AS19" s="26" t="s">
        <v>3142</v>
      </c>
      <c r="AT19" s="26" t="s">
        <v>3143</v>
      </c>
    </row>
    <row r="20" spans="1:46" x14ac:dyDescent="0.25">
      <c r="A20" s="17" t="s">
        <v>365</v>
      </c>
      <c r="B20" s="17" t="s">
        <v>366</v>
      </c>
      <c r="G20" s="21" t="s">
        <v>367</v>
      </c>
      <c r="H20" s="17" t="s">
        <v>368</v>
      </c>
      <c r="M20" s="25" t="s">
        <v>369</v>
      </c>
      <c r="N20" s="25" t="s">
        <v>370</v>
      </c>
      <c r="S20" s="17" t="s">
        <v>371</v>
      </c>
      <c r="T20" s="17" t="s">
        <v>372</v>
      </c>
      <c r="AK20" s="17" t="s">
        <v>315</v>
      </c>
      <c r="AL20" s="17" t="s">
        <v>2841</v>
      </c>
      <c r="AQ20" s="26" t="s">
        <v>3073</v>
      </c>
      <c r="AS20" s="26" t="s">
        <v>3144</v>
      </c>
      <c r="AT20" s="26" t="s">
        <v>3145</v>
      </c>
    </row>
    <row r="21" spans="1:46" x14ac:dyDescent="0.25">
      <c r="A21" s="17" t="s">
        <v>374</v>
      </c>
      <c r="B21" s="17" t="s">
        <v>375</v>
      </c>
      <c r="G21" s="21" t="s">
        <v>376</v>
      </c>
      <c r="H21" s="17" t="s">
        <v>377</v>
      </c>
      <c r="M21" s="25" t="s">
        <v>378</v>
      </c>
      <c r="N21" s="25" t="s">
        <v>379</v>
      </c>
      <c r="S21" s="17" t="s">
        <v>380</v>
      </c>
      <c r="T21" s="17" t="s">
        <v>381</v>
      </c>
      <c r="AK21" s="17" t="s">
        <v>326</v>
      </c>
      <c r="AL21" s="17" t="s">
        <v>2842</v>
      </c>
      <c r="AQ21" s="26" t="s">
        <v>3074</v>
      </c>
      <c r="AS21" s="26" t="s">
        <v>3146</v>
      </c>
      <c r="AT21" s="26" t="s">
        <v>3147</v>
      </c>
    </row>
    <row r="22" spans="1:46" x14ac:dyDescent="0.25">
      <c r="A22" s="17" t="s">
        <v>383</v>
      </c>
      <c r="B22" s="17" t="s">
        <v>384</v>
      </c>
      <c r="G22" s="21" t="s">
        <v>385</v>
      </c>
      <c r="H22" s="17" t="s">
        <v>386</v>
      </c>
      <c r="M22" s="25" t="s">
        <v>387</v>
      </c>
      <c r="N22" s="25" t="s">
        <v>388</v>
      </c>
      <c r="S22" s="17" t="s">
        <v>389</v>
      </c>
      <c r="T22" s="17" t="s">
        <v>390</v>
      </c>
      <c r="AK22" s="17" t="s">
        <v>337</v>
      </c>
      <c r="AL22" s="17" t="s">
        <v>2843</v>
      </c>
      <c r="AQ22" s="26" t="s">
        <v>3075</v>
      </c>
      <c r="AS22" s="26" t="s">
        <v>3148</v>
      </c>
      <c r="AT22" s="26" t="s">
        <v>3149</v>
      </c>
    </row>
    <row r="23" spans="1:46" x14ac:dyDescent="0.25">
      <c r="A23" s="17" t="s">
        <v>392</v>
      </c>
      <c r="B23" s="17" t="s">
        <v>393</v>
      </c>
      <c r="G23" s="21" t="s">
        <v>394</v>
      </c>
      <c r="H23" s="17" t="s">
        <v>395</v>
      </c>
      <c r="M23" s="25" t="s">
        <v>396</v>
      </c>
      <c r="N23" s="25" t="s">
        <v>397</v>
      </c>
      <c r="S23" s="17" t="s">
        <v>398</v>
      </c>
      <c r="T23" s="17" t="s">
        <v>399</v>
      </c>
      <c r="AK23" s="17" t="s">
        <v>346</v>
      </c>
      <c r="AL23" s="17" t="s">
        <v>2844</v>
      </c>
      <c r="AQ23" s="26" t="s">
        <v>3076</v>
      </c>
      <c r="AS23" s="26" t="s">
        <v>3150</v>
      </c>
      <c r="AT23" s="26" t="s">
        <v>3151</v>
      </c>
    </row>
    <row r="24" spans="1:46" x14ac:dyDescent="0.25">
      <c r="A24" s="17" t="s">
        <v>401</v>
      </c>
      <c r="B24" s="17" t="s">
        <v>402</v>
      </c>
      <c r="G24" s="21" t="s">
        <v>403</v>
      </c>
      <c r="H24" s="17" t="s">
        <v>404</v>
      </c>
      <c r="M24" s="25" t="s">
        <v>405</v>
      </c>
      <c r="N24" s="25" t="s">
        <v>406</v>
      </c>
      <c r="S24" s="17" t="s">
        <v>407</v>
      </c>
      <c r="T24" s="17" t="s">
        <v>408</v>
      </c>
      <c r="AK24" s="17" t="s">
        <v>355</v>
      </c>
      <c r="AL24" s="17" t="s">
        <v>2845</v>
      </c>
      <c r="AQ24" s="26" t="s">
        <v>3077</v>
      </c>
      <c r="AS24" s="26" t="s">
        <v>3152</v>
      </c>
      <c r="AT24" s="26" t="s">
        <v>3153</v>
      </c>
    </row>
    <row r="25" spans="1:46" x14ac:dyDescent="0.25">
      <c r="A25" s="17" t="s">
        <v>410</v>
      </c>
      <c r="B25" s="17" t="s">
        <v>411</v>
      </c>
      <c r="G25" s="21" t="s">
        <v>412</v>
      </c>
      <c r="H25" s="17" t="s">
        <v>413</v>
      </c>
      <c r="M25" s="25" t="s">
        <v>414</v>
      </c>
      <c r="N25" s="25" t="s">
        <v>415</v>
      </c>
      <c r="S25" s="17" t="s">
        <v>416</v>
      </c>
      <c r="T25" s="17" t="s">
        <v>417</v>
      </c>
      <c r="AK25" s="17" t="s">
        <v>364</v>
      </c>
      <c r="AL25" s="17" t="s">
        <v>2846</v>
      </c>
      <c r="AQ25" s="26" t="s">
        <v>3078</v>
      </c>
      <c r="AS25" s="26" t="s">
        <v>3154</v>
      </c>
      <c r="AT25" s="26" t="s">
        <v>3155</v>
      </c>
    </row>
    <row r="26" spans="1:46" x14ac:dyDescent="0.25">
      <c r="A26" s="17" t="s">
        <v>419</v>
      </c>
      <c r="B26" s="17" t="s">
        <v>420</v>
      </c>
      <c r="G26" s="21" t="s">
        <v>421</v>
      </c>
      <c r="H26" s="17" t="s">
        <v>422</v>
      </c>
      <c r="M26" s="25" t="s">
        <v>423</v>
      </c>
      <c r="N26" s="25" t="s">
        <v>424</v>
      </c>
      <c r="S26" s="17" t="s">
        <v>425</v>
      </c>
      <c r="T26" s="17" t="s">
        <v>426</v>
      </c>
      <c r="AK26" s="17" t="s">
        <v>373</v>
      </c>
      <c r="AL26" s="17" t="s">
        <v>2847</v>
      </c>
      <c r="AQ26" s="26" t="s">
        <v>3079</v>
      </c>
      <c r="AS26" s="26" t="s">
        <v>3156</v>
      </c>
      <c r="AT26" s="26" t="s">
        <v>3157</v>
      </c>
    </row>
    <row r="27" spans="1:46" x14ac:dyDescent="0.25">
      <c r="A27" s="17" t="s">
        <v>428</v>
      </c>
      <c r="B27" s="17" t="s">
        <v>429</v>
      </c>
      <c r="G27" s="21" t="s">
        <v>430</v>
      </c>
      <c r="H27" s="17" t="s">
        <v>431</v>
      </c>
      <c r="M27" s="25" t="s">
        <v>432</v>
      </c>
      <c r="N27" s="25" t="s">
        <v>433</v>
      </c>
      <c r="S27" s="17" t="s">
        <v>434</v>
      </c>
      <c r="T27" s="17" t="s">
        <v>435</v>
      </c>
      <c r="AK27" s="17" t="s">
        <v>382</v>
      </c>
      <c r="AL27" s="17" t="s">
        <v>2848</v>
      </c>
      <c r="AQ27" s="26" t="s">
        <v>3080</v>
      </c>
      <c r="AS27" s="26" t="s">
        <v>3158</v>
      </c>
      <c r="AT27" s="26" t="s">
        <v>3159</v>
      </c>
    </row>
    <row r="28" spans="1:46" x14ac:dyDescent="0.25">
      <c r="A28" s="17" t="s">
        <v>437</v>
      </c>
      <c r="B28" s="17" t="s">
        <v>438</v>
      </c>
      <c r="G28" s="21" t="s">
        <v>439</v>
      </c>
      <c r="H28" s="17" t="s">
        <v>440</v>
      </c>
      <c r="M28" s="25" t="s">
        <v>441</v>
      </c>
      <c r="N28" s="25" t="s">
        <v>442</v>
      </c>
      <c r="S28" s="17" t="s">
        <v>443</v>
      </c>
      <c r="T28" s="17" t="s">
        <v>444</v>
      </c>
      <c r="AK28" s="17" t="s">
        <v>391</v>
      </c>
      <c r="AL28" s="17" t="s">
        <v>2849</v>
      </c>
      <c r="AQ28" s="26" t="s">
        <v>3081</v>
      </c>
      <c r="AS28" s="26" t="s">
        <v>3160</v>
      </c>
      <c r="AT28" s="26" t="s">
        <v>3161</v>
      </c>
    </row>
    <row r="29" spans="1:46" x14ac:dyDescent="0.25">
      <c r="A29" s="17" t="s">
        <v>446</v>
      </c>
      <c r="B29" s="17" t="s">
        <v>447</v>
      </c>
      <c r="G29" s="21" t="s">
        <v>448</v>
      </c>
      <c r="H29" s="17" t="s">
        <v>449</v>
      </c>
      <c r="M29" s="25" t="s">
        <v>450</v>
      </c>
      <c r="N29" s="25" t="s">
        <v>451</v>
      </c>
      <c r="S29" s="17" t="s">
        <v>452</v>
      </c>
      <c r="T29" s="17" t="s">
        <v>453</v>
      </c>
      <c r="AK29" s="17" t="s">
        <v>400</v>
      </c>
      <c r="AL29" s="17" t="s">
        <v>2850</v>
      </c>
      <c r="AQ29" s="26" t="s">
        <v>3082</v>
      </c>
      <c r="AS29" s="26" t="s">
        <v>3162</v>
      </c>
      <c r="AT29" s="26" t="s">
        <v>3163</v>
      </c>
    </row>
    <row r="30" spans="1:46" x14ac:dyDescent="0.25">
      <c r="A30" s="17" t="s">
        <v>455</v>
      </c>
      <c r="B30" s="17" t="s">
        <v>456</v>
      </c>
      <c r="G30" s="21" t="s">
        <v>457</v>
      </c>
      <c r="H30" s="17" t="s">
        <v>458</v>
      </c>
      <c r="M30" s="25" t="s">
        <v>459</v>
      </c>
      <c r="N30" s="25" t="s">
        <v>460</v>
      </c>
      <c r="S30" s="17" t="s">
        <v>461</v>
      </c>
      <c r="T30" s="17" t="s">
        <v>462</v>
      </c>
      <c r="AK30" s="17" t="s">
        <v>409</v>
      </c>
      <c r="AL30" s="17" t="s">
        <v>2851</v>
      </c>
      <c r="AQ30" s="26" t="s">
        <v>3083</v>
      </c>
      <c r="AS30" s="26" t="s">
        <v>3164</v>
      </c>
      <c r="AT30" s="26" t="s">
        <v>3165</v>
      </c>
    </row>
    <row r="31" spans="1:46" x14ac:dyDescent="0.25">
      <c r="A31" s="17" t="s">
        <v>464</v>
      </c>
      <c r="B31" s="17" t="s">
        <v>465</v>
      </c>
      <c r="G31" s="21" t="s">
        <v>466</v>
      </c>
      <c r="H31" s="17" t="s">
        <v>467</v>
      </c>
      <c r="M31" s="25" t="s">
        <v>468</v>
      </c>
      <c r="N31" s="25" t="s">
        <v>469</v>
      </c>
      <c r="S31" s="17" t="s">
        <v>470</v>
      </c>
      <c r="T31" s="17" t="s">
        <v>471</v>
      </c>
      <c r="AK31" s="17" t="s">
        <v>418</v>
      </c>
      <c r="AL31" s="17" t="s">
        <v>2852</v>
      </c>
      <c r="AS31" s="26" t="s">
        <v>3166</v>
      </c>
      <c r="AT31" s="26" t="s">
        <v>3167</v>
      </c>
    </row>
    <row r="32" spans="1:46" x14ac:dyDescent="0.25">
      <c r="A32" s="17" t="s">
        <v>473</v>
      </c>
      <c r="B32" s="17" t="s">
        <v>474</v>
      </c>
      <c r="G32" s="21" t="s">
        <v>475</v>
      </c>
      <c r="H32" s="17" t="s">
        <v>476</v>
      </c>
      <c r="M32" s="25" t="s">
        <v>477</v>
      </c>
      <c r="N32" s="25" t="s">
        <v>478</v>
      </c>
      <c r="S32" s="17" t="s">
        <v>479</v>
      </c>
      <c r="T32" s="17" t="s">
        <v>480</v>
      </c>
      <c r="AK32" s="17" t="s">
        <v>427</v>
      </c>
      <c r="AL32" s="17" t="s">
        <v>2853</v>
      </c>
      <c r="AS32" s="26" t="s">
        <v>3168</v>
      </c>
      <c r="AT32" s="26" t="s">
        <v>3169</v>
      </c>
    </row>
    <row r="33" spans="1:46" x14ac:dyDescent="0.25">
      <c r="A33" s="17" t="s">
        <v>482</v>
      </c>
      <c r="B33" s="17" t="s">
        <v>483</v>
      </c>
      <c r="G33" s="21" t="s">
        <v>484</v>
      </c>
      <c r="H33" s="17" t="s">
        <v>485</v>
      </c>
      <c r="M33" s="25" t="s">
        <v>486</v>
      </c>
      <c r="N33" s="25" t="s">
        <v>487</v>
      </c>
      <c r="S33" s="17" t="s">
        <v>488</v>
      </c>
      <c r="T33" s="17" t="s">
        <v>489</v>
      </c>
      <c r="AK33" s="17" t="s">
        <v>436</v>
      </c>
      <c r="AL33" s="17" t="s">
        <v>2854</v>
      </c>
      <c r="AS33" s="26" t="s">
        <v>3170</v>
      </c>
      <c r="AT33" s="26" t="s">
        <v>3171</v>
      </c>
    </row>
    <row r="34" spans="1:46" x14ac:dyDescent="0.25">
      <c r="A34" s="17" t="s">
        <v>491</v>
      </c>
      <c r="B34" s="17" t="s">
        <v>492</v>
      </c>
      <c r="G34" s="21" t="s">
        <v>493</v>
      </c>
      <c r="H34" s="17" t="s">
        <v>494</v>
      </c>
      <c r="M34" s="25" t="s">
        <v>495</v>
      </c>
      <c r="N34" s="25" t="s">
        <v>496</v>
      </c>
      <c r="S34" s="17" t="s">
        <v>497</v>
      </c>
      <c r="T34" s="17" t="s">
        <v>498</v>
      </c>
      <c r="AK34" s="17" t="s">
        <v>445</v>
      </c>
      <c r="AL34" s="17" t="s">
        <v>2855</v>
      </c>
      <c r="AS34" s="26" t="s">
        <v>3172</v>
      </c>
      <c r="AT34" s="26" t="s">
        <v>3173</v>
      </c>
    </row>
    <row r="35" spans="1:46" x14ac:dyDescent="0.25">
      <c r="A35" s="17" t="s">
        <v>500</v>
      </c>
      <c r="B35" s="17" t="s">
        <v>501</v>
      </c>
      <c r="G35" s="21" t="s">
        <v>502</v>
      </c>
      <c r="H35" s="17" t="s">
        <v>503</v>
      </c>
      <c r="M35" s="25" t="s">
        <v>504</v>
      </c>
      <c r="N35" s="25" t="s">
        <v>505</v>
      </c>
      <c r="S35" s="17" t="s">
        <v>506</v>
      </c>
      <c r="T35" s="17" t="s">
        <v>507</v>
      </c>
      <c r="AK35" s="17" t="s">
        <v>454</v>
      </c>
      <c r="AL35" s="17" t="s">
        <v>2856</v>
      </c>
      <c r="AS35" s="26" t="s">
        <v>3174</v>
      </c>
      <c r="AT35" s="26" t="s">
        <v>3175</v>
      </c>
    </row>
    <row r="36" spans="1:46" x14ac:dyDescent="0.25">
      <c r="A36" s="17" t="s">
        <v>509</v>
      </c>
      <c r="B36" s="17" t="s">
        <v>510</v>
      </c>
      <c r="G36" s="21" t="s">
        <v>511</v>
      </c>
      <c r="H36" s="17" t="s">
        <v>512</v>
      </c>
      <c r="M36" s="25" t="s">
        <v>513</v>
      </c>
      <c r="N36" s="25" t="s">
        <v>514</v>
      </c>
      <c r="S36" s="17" t="s">
        <v>515</v>
      </c>
      <c r="T36" s="17" t="s">
        <v>516</v>
      </c>
      <c r="AK36" s="17" t="s">
        <v>463</v>
      </c>
      <c r="AL36" s="17" t="s">
        <v>2857</v>
      </c>
      <c r="AS36" s="26" t="s">
        <v>3176</v>
      </c>
      <c r="AT36" s="26" t="s">
        <v>3177</v>
      </c>
    </row>
    <row r="37" spans="1:46" x14ac:dyDescent="0.25">
      <c r="A37" s="17" t="s">
        <v>518</v>
      </c>
      <c r="B37" s="17" t="s">
        <v>519</v>
      </c>
      <c r="G37" s="21" t="s">
        <v>520</v>
      </c>
      <c r="H37" s="17" t="s">
        <v>521</v>
      </c>
      <c r="M37" s="25" t="s">
        <v>522</v>
      </c>
      <c r="N37" s="25" t="s">
        <v>523</v>
      </c>
      <c r="S37" s="17" t="s">
        <v>524</v>
      </c>
      <c r="T37" s="17" t="s">
        <v>525</v>
      </c>
      <c r="AK37" s="17" t="s">
        <v>472</v>
      </c>
      <c r="AL37" s="17" t="s">
        <v>2858</v>
      </c>
      <c r="AS37" s="26" t="s">
        <v>3178</v>
      </c>
      <c r="AT37" s="26" t="s">
        <v>3179</v>
      </c>
    </row>
    <row r="38" spans="1:46" x14ac:dyDescent="0.25">
      <c r="A38" s="17" t="s">
        <v>527</v>
      </c>
      <c r="B38" s="17" t="s">
        <v>528</v>
      </c>
      <c r="G38" s="21" t="s">
        <v>529</v>
      </c>
      <c r="H38" s="17" t="s">
        <v>530</v>
      </c>
      <c r="M38" s="25" t="s">
        <v>531</v>
      </c>
      <c r="N38" s="25" t="s">
        <v>532</v>
      </c>
      <c r="S38" s="17" t="s">
        <v>533</v>
      </c>
      <c r="T38" s="17" t="s">
        <v>534</v>
      </c>
      <c r="AK38" s="17" t="s">
        <v>481</v>
      </c>
      <c r="AL38" s="17" t="s">
        <v>2859</v>
      </c>
      <c r="AS38" s="26" t="s">
        <v>3180</v>
      </c>
      <c r="AT38" s="26" t="s">
        <v>3181</v>
      </c>
    </row>
    <row r="39" spans="1:46" x14ac:dyDescent="0.25">
      <c r="A39" s="17" t="s">
        <v>536</v>
      </c>
      <c r="B39" s="17" t="s">
        <v>537</v>
      </c>
      <c r="G39" s="21" t="s">
        <v>538</v>
      </c>
      <c r="H39" s="17" t="s">
        <v>539</v>
      </c>
      <c r="M39" s="25" t="s">
        <v>540</v>
      </c>
      <c r="N39" s="25" t="s">
        <v>541</v>
      </c>
      <c r="S39" s="17" t="s">
        <v>542</v>
      </c>
      <c r="T39" s="17" t="s">
        <v>543</v>
      </c>
      <c r="AK39" s="17" t="s">
        <v>490</v>
      </c>
      <c r="AL39" s="17" t="s">
        <v>2860</v>
      </c>
      <c r="AS39" s="26" t="s">
        <v>3182</v>
      </c>
      <c r="AT39" s="26" t="s">
        <v>3183</v>
      </c>
    </row>
    <row r="40" spans="1:46" x14ac:dyDescent="0.25">
      <c r="A40" s="17" t="s">
        <v>545</v>
      </c>
      <c r="B40" s="17" t="s">
        <v>546</v>
      </c>
      <c r="G40" s="21" t="s">
        <v>547</v>
      </c>
      <c r="H40" s="17" t="s">
        <v>548</v>
      </c>
      <c r="M40" s="25" t="s">
        <v>549</v>
      </c>
      <c r="N40" s="25" t="s">
        <v>550</v>
      </c>
      <c r="S40" s="17" t="s">
        <v>551</v>
      </c>
      <c r="T40" s="17" t="s">
        <v>552</v>
      </c>
      <c r="AK40" s="17" t="s">
        <v>499</v>
      </c>
      <c r="AL40" s="17" t="s">
        <v>2861</v>
      </c>
      <c r="AS40" s="26" t="s">
        <v>3184</v>
      </c>
      <c r="AT40" s="26" t="s">
        <v>3185</v>
      </c>
    </row>
    <row r="41" spans="1:46" x14ac:dyDescent="0.25">
      <c r="A41" s="17" t="s">
        <v>554</v>
      </c>
      <c r="B41" s="17" t="s">
        <v>555</v>
      </c>
      <c r="G41" s="21" t="s">
        <v>556</v>
      </c>
      <c r="H41" s="17" t="s">
        <v>557</v>
      </c>
      <c r="M41" s="25" t="s">
        <v>558</v>
      </c>
      <c r="N41" s="25" t="s">
        <v>559</v>
      </c>
      <c r="S41" s="17" t="s">
        <v>560</v>
      </c>
      <c r="T41" s="17" t="s">
        <v>561</v>
      </c>
      <c r="AK41" s="17" t="s">
        <v>508</v>
      </c>
      <c r="AL41" s="17" t="s">
        <v>2862</v>
      </c>
      <c r="AS41" s="26" t="s">
        <v>3186</v>
      </c>
      <c r="AT41" s="26" t="s">
        <v>3187</v>
      </c>
    </row>
    <row r="42" spans="1:46" x14ac:dyDescent="0.25">
      <c r="A42" s="17" t="s">
        <v>563</v>
      </c>
      <c r="B42" s="17" t="s">
        <v>564</v>
      </c>
      <c r="G42" s="21" t="s">
        <v>565</v>
      </c>
      <c r="H42" s="17" t="s">
        <v>566</v>
      </c>
      <c r="M42" s="25" t="s">
        <v>567</v>
      </c>
      <c r="N42" s="25" t="s">
        <v>568</v>
      </c>
      <c r="S42" s="17" t="s">
        <v>569</v>
      </c>
      <c r="T42" s="17" t="s">
        <v>570</v>
      </c>
      <c r="AK42" s="17" t="s">
        <v>517</v>
      </c>
      <c r="AL42" s="17" t="s">
        <v>2863</v>
      </c>
      <c r="AS42" s="26" t="s">
        <v>3188</v>
      </c>
      <c r="AT42" s="26" t="s">
        <v>3189</v>
      </c>
    </row>
    <row r="43" spans="1:46" x14ac:dyDescent="0.25">
      <c r="A43" s="17" t="s">
        <v>572</v>
      </c>
      <c r="B43" s="17" t="s">
        <v>573</v>
      </c>
      <c r="G43" s="21" t="s">
        <v>574</v>
      </c>
      <c r="H43" s="17" t="s">
        <v>575</v>
      </c>
      <c r="M43" s="25" t="s">
        <v>576</v>
      </c>
      <c r="N43" s="25" t="s">
        <v>577</v>
      </c>
      <c r="S43" s="17" t="s">
        <v>578</v>
      </c>
      <c r="T43" s="17" t="s">
        <v>579</v>
      </c>
      <c r="AK43" s="17" t="s">
        <v>526</v>
      </c>
      <c r="AL43" s="17" t="s">
        <v>2864</v>
      </c>
      <c r="AS43" s="26" t="s">
        <v>3190</v>
      </c>
      <c r="AT43" s="26" t="s">
        <v>3191</v>
      </c>
    </row>
    <row r="44" spans="1:46" x14ac:dyDescent="0.25">
      <c r="A44" s="17" t="s">
        <v>581</v>
      </c>
      <c r="B44" s="17" t="s">
        <v>582</v>
      </c>
      <c r="G44" s="21" t="s">
        <v>583</v>
      </c>
      <c r="H44" s="17" t="s">
        <v>584</v>
      </c>
      <c r="M44" s="25" t="s">
        <v>585</v>
      </c>
      <c r="N44" s="25" t="s">
        <v>586</v>
      </c>
      <c r="S44" s="17" t="s">
        <v>587</v>
      </c>
      <c r="T44" s="17" t="s">
        <v>588</v>
      </c>
      <c r="AK44" s="17" t="s">
        <v>535</v>
      </c>
      <c r="AL44" s="17" t="s">
        <v>2865</v>
      </c>
      <c r="AS44" s="26" t="s">
        <v>3192</v>
      </c>
      <c r="AT44" s="26" t="s">
        <v>3193</v>
      </c>
    </row>
    <row r="45" spans="1:46" x14ac:dyDescent="0.25">
      <c r="A45" s="17" t="s">
        <v>590</v>
      </c>
      <c r="B45" s="17" t="s">
        <v>591</v>
      </c>
      <c r="G45" s="21" t="s">
        <v>592</v>
      </c>
      <c r="H45" s="17" t="s">
        <v>593</v>
      </c>
      <c r="M45" s="25" t="s">
        <v>594</v>
      </c>
      <c r="N45" s="25" t="s">
        <v>595</v>
      </c>
      <c r="S45" s="17" t="s">
        <v>596</v>
      </c>
      <c r="T45" s="17" t="s">
        <v>597</v>
      </c>
      <c r="AK45" s="17" t="s">
        <v>544</v>
      </c>
      <c r="AL45" s="17" t="s">
        <v>2866</v>
      </c>
      <c r="AS45" s="26" t="s">
        <v>3194</v>
      </c>
      <c r="AT45" s="26" t="s">
        <v>3195</v>
      </c>
    </row>
    <row r="46" spans="1:46" x14ac:dyDescent="0.25">
      <c r="A46" s="17" t="s">
        <v>599</v>
      </c>
      <c r="B46" s="17" t="s">
        <v>600</v>
      </c>
      <c r="G46" s="21" t="s">
        <v>601</v>
      </c>
      <c r="H46" s="17" t="s">
        <v>602</v>
      </c>
      <c r="M46" s="25" t="s">
        <v>603</v>
      </c>
      <c r="N46" s="25" t="s">
        <v>604</v>
      </c>
      <c r="S46" s="17" t="s">
        <v>605</v>
      </c>
      <c r="T46" s="17" t="s">
        <v>606</v>
      </c>
      <c r="AK46" s="17" t="s">
        <v>553</v>
      </c>
      <c r="AL46" s="17" t="s">
        <v>2867</v>
      </c>
      <c r="AS46" s="26" t="s">
        <v>3196</v>
      </c>
      <c r="AT46" s="26" t="s">
        <v>3197</v>
      </c>
    </row>
    <row r="47" spans="1:46" x14ac:dyDescent="0.25">
      <c r="A47" s="17" t="s">
        <v>608</v>
      </c>
      <c r="B47" s="17" t="s">
        <v>609</v>
      </c>
      <c r="G47" s="21" t="s">
        <v>610</v>
      </c>
      <c r="H47" s="17" t="s">
        <v>611</v>
      </c>
      <c r="M47" s="25" t="s">
        <v>612</v>
      </c>
      <c r="N47" s="25" t="s">
        <v>613</v>
      </c>
      <c r="S47" s="17" t="s">
        <v>614</v>
      </c>
      <c r="T47" s="17" t="s">
        <v>615</v>
      </c>
      <c r="AK47" s="17" t="s">
        <v>562</v>
      </c>
      <c r="AL47" s="17" t="s">
        <v>2868</v>
      </c>
      <c r="AS47" s="26" t="s">
        <v>3198</v>
      </c>
      <c r="AT47" s="26" t="s">
        <v>3199</v>
      </c>
    </row>
    <row r="48" spans="1:46" x14ac:dyDescent="0.25">
      <c r="A48" s="17" t="s">
        <v>617</v>
      </c>
      <c r="B48" s="17" t="s">
        <v>618</v>
      </c>
      <c r="G48" s="21" t="s">
        <v>619</v>
      </c>
      <c r="H48" s="17" t="s">
        <v>620</v>
      </c>
      <c r="M48" s="25" t="s">
        <v>621</v>
      </c>
      <c r="N48" s="25" t="s">
        <v>622</v>
      </c>
      <c r="S48" s="17" t="s">
        <v>623</v>
      </c>
      <c r="T48" s="17" t="s">
        <v>624</v>
      </c>
      <c r="AK48" s="17" t="s">
        <v>571</v>
      </c>
      <c r="AL48" s="17" t="s">
        <v>2869</v>
      </c>
      <c r="AS48" s="26" t="s">
        <v>3200</v>
      </c>
      <c r="AT48" s="26" t="s">
        <v>3201</v>
      </c>
    </row>
    <row r="49" spans="1:46" x14ac:dyDescent="0.25">
      <c r="A49" s="17" t="s">
        <v>626</v>
      </c>
      <c r="B49" s="17" t="s">
        <v>627</v>
      </c>
      <c r="G49" s="21" t="s">
        <v>628</v>
      </c>
      <c r="H49" s="17" t="s">
        <v>629</v>
      </c>
      <c r="M49" s="25" t="s">
        <v>630</v>
      </c>
      <c r="N49" s="25" t="s">
        <v>631</v>
      </c>
      <c r="S49" s="17" t="s">
        <v>632</v>
      </c>
      <c r="T49" s="17" t="s">
        <v>633</v>
      </c>
      <c r="AK49" s="17" t="s">
        <v>580</v>
      </c>
      <c r="AL49" s="17" t="s">
        <v>2870</v>
      </c>
      <c r="AS49" s="26" t="s">
        <v>3202</v>
      </c>
      <c r="AT49" s="26" t="s">
        <v>3203</v>
      </c>
    </row>
    <row r="50" spans="1:46" x14ac:dyDescent="0.25">
      <c r="A50" s="17" t="s">
        <v>635</v>
      </c>
      <c r="B50" s="17" t="s">
        <v>636</v>
      </c>
      <c r="G50" s="21" t="s">
        <v>637</v>
      </c>
      <c r="H50" s="17" t="s">
        <v>638</v>
      </c>
      <c r="M50" s="25" t="s">
        <v>639</v>
      </c>
      <c r="N50" s="25" t="s">
        <v>640</v>
      </c>
      <c r="S50" s="17" t="s">
        <v>641</v>
      </c>
      <c r="T50" s="17" t="s">
        <v>642</v>
      </c>
      <c r="AK50" s="17" t="s">
        <v>589</v>
      </c>
      <c r="AL50" s="17" t="s">
        <v>2871</v>
      </c>
      <c r="AS50" s="26" t="s">
        <v>3204</v>
      </c>
      <c r="AT50" s="26" t="s">
        <v>3205</v>
      </c>
    </row>
    <row r="51" spans="1:46" x14ac:dyDescent="0.25">
      <c r="A51" s="17" t="s">
        <v>644</v>
      </c>
      <c r="B51" s="17" t="s">
        <v>645</v>
      </c>
      <c r="G51" s="21" t="s">
        <v>646</v>
      </c>
      <c r="H51" s="17" t="s">
        <v>647</v>
      </c>
      <c r="M51" s="25" t="s">
        <v>648</v>
      </c>
      <c r="N51" s="25" t="s">
        <v>649</v>
      </c>
      <c r="S51" s="17" t="s">
        <v>650</v>
      </c>
      <c r="T51" s="17" t="s">
        <v>651</v>
      </c>
      <c r="AK51" s="17" t="s">
        <v>598</v>
      </c>
      <c r="AL51" s="17" t="s">
        <v>2872</v>
      </c>
      <c r="AS51" s="26" t="s">
        <v>3206</v>
      </c>
      <c r="AT51" s="26" t="s">
        <v>3207</v>
      </c>
    </row>
    <row r="52" spans="1:46" x14ac:dyDescent="0.25">
      <c r="A52" s="17" t="s">
        <v>653</v>
      </c>
      <c r="B52" s="17" t="s">
        <v>654</v>
      </c>
      <c r="G52" s="21" t="s">
        <v>655</v>
      </c>
      <c r="H52" s="17" t="s">
        <v>656</v>
      </c>
      <c r="M52" s="25" t="s">
        <v>657</v>
      </c>
      <c r="N52" s="25" t="s">
        <v>658</v>
      </c>
      <c r="S52" s="17" t="s">
        <v>659</v>
      </c>
      <c r="T52" s="17" t="s">
        <v>660</v>
      </c>
      <c r="AK52" s="17" t="s">
        <v>607</v>
      </c>
      <c r="AL52" s="17" t="s">
        <v>2873</v>
      </c>
      <c r="AS52" s="26" t="s">
        <v>3208</v>
      </c>
      <c r="AT52" s="26" t="s">
        <v>3209</v>
      </c>
    </row>
    <row r="53" spans="1:46" x14ac:dyDescent="0.25">
      <c r="A53" s="17" t="s">
        <v>662</v>
      </c>
      <c r="B53" s="17" t="s">
        <v>663</v>
      </c>
      <c r="G53" s="21" t="s">
        <v>664</v>
      </c>
      <c r="H53" s="17" t="s">
        <v>665</v>
      </c>
      <c r="M53" s="25" t="s">
        <v>666</v>
      </c>
      <c r="N53" s="25" t="s">
        <v>667</v>
      </c>
      <c r="S53" s="17" t="s">
        <v>668</v>
      </c>
      <c r="T53" s="17" t="s">
        <v>669</v>
      </c>
      <c r="AK53" s="17" t="s">
        <v>616</v>
      </c>
      <c r="AL53" s="17" t="s">
        <v>2874</v>
      </c>
      <c r="AS53" s="26" t="s">
        <v>3210</v>
      </c>
      <c r="AT53" s="26" t="s">
        <v>3211</v>
      </c>
    </row>
    <row r="54" spans="1:46" x14ac:dyDescent="0.25">
      <c r="A54" s="17" t="s">
        <v>671</v>
      </c>
      <c r="B54" s="17" t="s">
        <v>672</v>
      </c>
      <c r="G54" s="21" t="s">
        <v>673</v>
      </c>
      <c r="H54" s="17" t="s">
        <v>674</v>
      </c>
      <c r="M54" s="25" t="s">
        <v>675</v>
      </c>
      <c r="N54" s="25" t="s">
        <v>676</v>
      </c>
      <c r="S54" s="17" t="s">
        <v>677</v>
      </c>
      <c r="T54" s="17" t="s">
        <v>678</v>
      </c>
      <c r="AK54" s="17" t="s">
        <v>625</v>
      </c>
      <c r="AL54" s="17" t="s">
        <v>2875</v>
      </c>
      <c r="AS54" s="26" t="s">
        <v>3212</v>
      </c>
      <c r="AT54" s="26" t="s">
        <v>393</v>
      </c>
    </row>
    <row r="55" spans="1:46" x14ac:dyDescent="0.25">
      <c r="A55" s="17" t="s">
        <v>680</v>
      </c>
      <c r="B55" s="17" t="s">
        <v>681</v>
      </c>
      <c r="G55" s="21" t="s">
        <v>682</v>
      </c>
      <c r="H55" s="17" t="s">
        <v>683</v>
      </c>
      <c r="M55" s="25" t="s">
        <v>684</v>
      </c>
      <c r="N55" s="25" t="s">
        <v>685</v>
      </c>
      <c r="S55" s="17" t="s">
        <v>686</v>
      </c>
      <c r="T55" s="17" t="s">
        <v>687</v>
      </c>
      <c r="AK55" s="17" t="s">
        <v>634</v>
      </c>
      <c r="AL55" s="17" t="s">
        <v>2876</v>
      </c>
      <c r="AS55" s="26" t="s">
        <v>3213</v>
      </c>
      <c r="AT55" s="26" t="s">
        <v>402</v>
      </c>
    </row>
    <row r="56" spans="1:46" x14ac:dyDescent="0.25">
      <c r="A56" s="17" t="s">
        <v>689</v>
      </c>
      <c r="B56" s="17" t="s">
        <v>690</v>
      </c>
      <c r="G56" s="21" t="s">
        <v>691</v>
      </c>
      <c r="H56" s="17" t="s">
        <v>692</v>
      </c>
      <c r="M56" s="25" t="s">
        <v>693</v>
      </c>
      <c r="N56" s="25" t="s">
        <v>694</v>
      </c>
      <c r="S56" s="17" t="s">
        <v>695</v>
      </c>
      <c r="T56" s="17" t="s">
        <v>696</v>
      </c>
      <c r="AK56" s="17" t="s">
        <v>643</v>
      </c>
      <c r="AL56" s="17" t="s">
        <v>847</v>
      </c>
      <c r="AS56" s="26" t="s">
        <v>3214</v>
      </c>
      <c r="AT56" s="26" t="s">
        <v>429</v>
      </c>
    </row>
    <row r="57" spans="1:46" x14ac:dyDescent="0.25">
      <c r="A57" s="17" t="s">
        <v>698</v>
      </c>
      <c r="B57" s="17" t="s">
        <v>699</v>
      </c>
      <c r="G57" s="21" t="s">
        <v>700</v>
      </c>
      <c r="H57" s="17" t="s">
        <v>701</v>
      </c>
      <c r="M57" s="25" t="s">
        <v>702</v>
      </c>
      <c r="N57" s="25" t="s">
        <v>703</v>
      </c>
      <c r="S57" s="17" t="s">
        <v>704</v>
      </c>
      <c r="T57" s="17" t="s">
        <v>705</v>
      </c>
      <c r="AK57" s="17" t="s">
        <v>652</v>
      </c>
      <c r="AL57" s="17" t="s">
        <v>856</v>
      </c>
      <c r="AS57" s="26" t="s">
        <v>3215</v>
      </c>
      <c r="AT57" s="26" t="s">
        <v>456</v>
      </c>
    </row>
    <row r="58" spans="1:46" x14ac:dyDescent="0.25">
      <c r="A58" s="17" t="s">
        <v>707</v>
      </c>
      <c r="B58" s="17" t="s">
        <v>708</v>
      </c>
      <c r="G58" s="21" t="s">
        <v>709</v>
      </c>
      <c r="H58" s="17" t="s">
        <v>710</v>
      </c>
      <c r="M58" s="25" t="s">
        <v>711</v>
      </c>
      <c r="N58" s="25" t="s">
        <v>712</v>
      </c>
      <c r="S58" s="17" t="s">
        <v>713</v>
      </c>
      <c r="T58" s="17" t="s">
        <v>714</v>
      </c>
      <c r="AK58" s="17" t="s">
        <v>661</v>
      </c>
      <c r="AL58" s="17" t="s">
        <v>2877</v>
      </c>
      <c r="AS58" s="26" t="s">
        <v>3216</v>
      </c>
      <c r="AT58" s="26" t="s">
        <v>465</v>
      </c>
    </row>
    <row r="59" spans="1:46" x14ac:dyDescent="0.25">
      <c r="A59" s="17" t="s">
        <v>716</v>
      </c>
      <c r="B59" s="17" t="s">
        <v>717</v>
      </c>
      <c r="G59" s="21" t="s">
        <v>718</v>
      </c>
      <c r="H59" s="17" t="s">
        <v>719</v>
      </c>
      <c r="M59" s="25" t="s">
        <v>720</v>
      </c>
      <c r="N59" s="25" t="s">
        <v>721</v>
      </c>
      <c r="S59" s="17" t="s">
        <v>722</v>
      </c>
      <c r="T59" s="17" t="s">
        <v>723</v>
      </c>
      <c r="AK59" s="17" t="s">
        <v>670</v>
      </c>
      <c r="AL59" s="17" t="s">
        <v>2878</v>
      </c>
      <c r="AS59" s="26" t="s">
        <v>3217</v>
      </c>
      <c r="AT59" s="26" t="s">
        <v>492</v>
      </c>
    </row>
    <row r="60" spans="1:46" x14ac:dyDescent="0.25">
      <c r="A60" s="17" t="s">
        <v>725</v>
      </c>
      <c r="B60" s="17" t="s">
        <v>726</v>
      </c>
      <c r="G60" s="21" t="s">
        <v>727</v>
      </c>
      <c r="H60" s="17" t="s">
        <v>728</v>
      </c>
      <c r="M60" s="25" t="s">
        <v>729</v>
      </c>
      <c r="N60" s="25" t="s">
        <v>730</v>
      </c>
      <c r="S60" s="17" t="s">
        <v>731</v>
      </c>
      <c r="T60" s="17" t="s">
        <v>732</v>
      </c>
      <c r="AK60" s="17" t="s">
        <v>679</v>
      </c>
      <c r="AL60" s="17" t="s">
        <v>2879</v>
      </c>
      <c r="AS60" s="26" t="s">
        <v>3218</v>
      </c>
      <c r="AT60" s="26" t="s">
        <v>573</v>
      </c>
    </row>
    <row r="61" spans="1:46" x14ac:dyDescent="0.25">
      <c r="A61" s="17" t="s">
        <v>734</v>
      </c>
      <c r="B61" s="17" t="s">
        <v>735</v>
      </c>
      <c r="G61" s="21" t="s">
        <v>736</v>
      </c>
      <c r="H61" s="17" t="s">
        <v>737</v>
      </c>
      <c r="M61" s="25" t="s">
        <v>738</v>
      </c>
      <c r="N61" s="25" t="s">
        <v>739</v>
      </c>
      <c r="S61" s="17" t="s">
        <v>740</v>
      </c>
      <c r="T61" s="17" t="s">
        <v>741</v>
      </c>
      <c r="AK61" s="17" t="s">
        <v>688</v>
      </c>
      <c r="AL61" s="17" t="s">
        <v>2880</v>
      </c>
      <c r="AS61" s="26" t="s">
        <v>3219</v>
      </c>
      <c r="AT61" s="26" t="s">
        <v>735</v>
      </c>
    </row>
    <row r="62" spans="1:46" x14ac:dyDescent="0.25">
      <c r="A62" s="17" t="s">
        <v>743</v>
      </c>
      <c r="B62" s="17" t="s">
        <v>744</v>
      </c>
      <c r="G62" s="21" t="s">
        <v>745</v>
      </c>
      <c r="H62" s="17" t="s">
        <v>746</v>
      </c>
      <c r="M62" s="25" t="s">
        <v>747</v>
      </c>
      <c r="N62" s="25" t="s">
        <v>748</v>
      </c>
      <c r="S62" s="17" t="s">
        <v>749</v>
      </c>
      <c r="T62" s="17" t="s">
        <v>750</v>
      </c>
      <c r="AK62" s="17" t="s">
        <v>697</v>
      </c>
      <c r="AL62" s="17" t="s">
        <v>2881</v>
      </c>
      <c r="AS62" s="26" t="s">
        <v>3220</v>
      </c>
      <c r="AT62" s="26" t="s">
        <v>753</v>
      </c>
    </row>
    <row r="63" spans="1:46" x14ac:dyDescent="0.25">
      <c r="A63" s="17" t="s">
        <v>752</v>
      </c>
      <c r="B63" s="17" t="s">
        <v>753</v>
      </c>
      <c r="G63" s="21" t="s">
        <v>754</v>
      </c>
      <c r="H63" s="17" t="s">
        <v>755</v>
      </c>
      <c r="M63" s="25" t="s">
        <v>756</v>
      </c>
      <c r="N63" s="25" t="s">
        <v>757</v>
      </c>
      <c r="S63" s="17" t="s">
        <v>758</v>
      </c>
      <c r="T63" s="17" t="s">
        <v>759</v>
      </c>
      <c r="AK63" s="17" t="s">
        <v>706</v>
      </c>
      <c r="AL63" s="17" t="s">
        <v>2882</v>
      </c>
      <c r="AS63" s="26" t="s">
        <v>3221</v>
      </c>
      <c r="AT63" s="26" t="s">
        <v>798</v>
      </c>
    </row>
    <row r="64" spans="1:46" x14ac:dyDescent="0.25">
      <c r="A64" s="17" t="s">
        <v>761</v>
      </c>
      <c r="B64" s="17" t="s">
        <v>762</v>
      </c>
      <c r="G64" s="21" t="s">
        <v>763</v>
      </c>
      <c r="H64" s="17" t="s">
        <v>764</v>
      </c>
      <c r="M64" s="25" t="s">
        <v>765</v>
      </c>
      <c r="N64" s="25" t="s">
        <v>766</v>
      </c>
      <c r="S64" s="17" t="s">
        <v>767</v>
      </c>
      <c r="T64" s="17" t="s">
        <v>768</v>
      </c>
      <c r="AK64" s="17" t="s">
        <v>715</v>
      </c>
      <c r="AL64" s="17" t="s">
        <v>2883</v>
      </c>
      <c r="AS64" s="26" t="s">
        <v>3222</v>
      </c>
      <c r="AT64" s="26" t="s">
        <v>807</v>
      </c>
    </row>
    <row r="65" spans="1:46" x14ac:dyDescent="0.25">
      <c r="A65" s="17" t="s">
        <v>770</v>
      </c>
      <c r="B65" s="17" t="s">
        <v>771</v>
      </c>
      <c r="G65" s="21" t="s">
        <v>772</v>
      </c>
      <c r="H65" s="17" t="s">
        <v>773</v>
      </c>
      <c r="M65" s="25" t="s">
        <v>774</v>
      </c>
      <c r="N65" s="25" t="s">
        <v>775</v>
      </c>
      <c r="S65" s="17" t="s">
        <v>776</v>
      </c>
      <c r="T65" s="17" t="s">
        <v>777</v>
      </c>
      <c r="AK65" s="17" t="s">
        <v>724</v>
      </c>
      <c r="AL65" s="17" t="s">
        <v>2884</v>
      </c>
      <c r="AS65" s="26" t="s">
        <v>3223</v>
      </c>
      <c r="AT65" s="26" t="s">
        <v>816</v>
      </c>
    </row>
    <row r="66" spans="1:46" x14ac:dyDescent="0.25">
      <c r="A66" s="17" t="s">
        <v>779</v>
      </c>
      <c r="B66" s="17" t="s">
        <v>780</v>
      </c>
      <c r="G66" s="21" t="s">
        <v>781</v>
      </c>
      <c r="H66" s="17" t="s">
        <v>782</v>
      </c>
      <c r="M66" s="25" t="s">
        <v>783</v>
      </c>
      <c r="N66" s="25" t="s">
        <v>784</v>
      </c>
      <c r="S66" s="17" t="s">
        <v>785</v>
      </c>
      <c r="T66" s="17" t="s">
        <v>786</v>
      </c>
      <c r="AK66" s="17" t="s">
        <v>733</v>
      </c>
      <c r="AL66" s="17" t="s">
        <v>2885</v>
      </c>
      <c r="AS66" s="26" t="s">
        <v>3224</v>
      </c>
      <c r="AT66" s="26" t="s">
        <v>852</v>
      </c>
    </row>
    <row r="67" spans="1:46" x14ac:dyDescent="0.25">
      <c r="A67" s="17" t="s">
        <v>788</v>
      </c>
      <c r="B67" s="17" t="s">
        <v>789</v>
      </c>
      <c r="G67" s="21" t="s">
        <v>790</v>
      </c>
      <c r="H67" s="17" t="s">
        <v>791</v>
      </c>
      <c r="M67" s="25" t="s">
        <v>792</v>
      </c>
      <c r="N67" s="25" t="s">
        <v>793</v>
      </c>
      <c r="S67" s="17" t="s">
        <v>794</v>
      </c>
      <c r="T67" s="17" t="s">
        <v>795</v>
      </c>
      <c r="AK67" s="17" t="s">
        <v>742</v>
      </c>
      <c r="AL67" s="17" t="s">
        <v>2886</v>
      </c>
      <c r="AS67" s="26" t="s">
        <v>3225</v>
      </c>
      <c r="AT67" s="26" t="s">
        <v>861</v>
      </c>
    </row>
    <row r="68" spans="1:46" x14ac:dyDescent="0.25">
      <c r="A68" s="17" t="s">
        <v>797</v>
      </c>
      <c r="B68" s="17" t="s">
        <v>798</v>
      </c>
      <c r="G68" s="21" t="s">
        <v>799</v>
      </c>
      <c r="H68" s="17" t="s">
        <v>800</v>
      </c>
      <c r="M68" s="25" t="s">
        <v>801</v>
      </c>
      <c r="N68" s="25" t="s">
        <v>802</v>
      </c>
      <c r="S68" s="17" t="s">
        <v>803</v>
      </c>
      <c r="T68" s="17" t="s">
        <v>804</v>
      </c>
      <c r="AK68" s="17" t="s">
        <v>751</v>
      </c>
      <c r="AL68" s="17" t="s">
        <v>2887</v>
      </c>
      <c r="AS68" s="26" t="s">
        <v>3226</v>
      </c>
      <c r="AT68" s="26" t="s">
        <v>897</v>
      </c>
    </row>
    <row r="69" spans="1:46" x14ac:dyDescent="0.25">
      <c r="A69" s="17" t="s">
        <v>806</v>
      </c>
      <c r="B69" s="17" t="s">
        <v>807</v>
      </c>
      <c r="G69" s="21" t="s">
        <v>808</v>
      </c>
      <c r="H69" s="17" t="s">
        <v>809</v>
      </c>
      <c r="M69" s="25" t="s">
        <v>810</v>
      </c>
      <c r="N69" s="25" t="s">
        <v>811</v>
      </c>
      <c r="S69" s="17" t="s">
        <v>812</v>
      </c>
      <c r="T69" s="17" t="s">
        <v>813</v>
      </c>
      <c r="AK69" s="17" t="s">
        <v>760</v>
      </c>
      <c r="AL69" s="17" t="s">
        <v>2888</v>
      </c>
      <c r="AS69" s="26" t="s">
        <v>3227</v>
      </c>
      <c r="AT69" s="26" t="s">
        <v>906</v>
      </c>
    </row>
    <row r="70" spans="1:46" x14ac:dyDescent="0.25">
      <c r="A70" s="17" t="s">
        <v>815</v>
      </c>
      <c r="B70" s="17" t="s">
        <v>816</v>
      </c>
      <c r="G70" s="21" t="s">
        <v>817</v>
      </c>
      <c r="H70" s="17" t="s">
        <v>818</v>
      </c>
      <c r="M70" s="25" t="s">
        <v>819</v>
      </c>
      <c r="N70" s="25" t="s">
        <v>820</v>
      </c>
      <c r="S70" s="17" t="s">
        <v>821</v>
      </c>
      <c r="T70" s="17" t="s">
        <v>822</v>
      </c>
      <c r="AK70" s="17" t="s">
        <v>769</v>
      </c>
      <c r="AL70" s="17" t="s">
        <v>2889</v>
      </c>
      <c r="AS70" s="26" t="s">
        <v>3228</v>
      </c>
      <c r="AT70" s="26" t="s">
        <v>951</v>
      </c>
    </row>
    <row r="71" spans="1:46" x14ac:dyDescent="0.25">
      <c r="A71" s="17" t="s">
        <v>824</v>
      </c>
      <c r="B71" s="17" t="s">
        <v>825</v>
      </c>
      <c r="G71" s="21" t="s">
        <v>826</v>
      </c>
      <c r="H71" s="17" t="s">
        <v>827</v>
      </c>
      <c r="M71" s="25" t="s">
        <v>828</v>
      </c>
      <c r="N71" s="25" t="s">
        <v>829</v>
      </c>
      <c r="S71" s="17" t="s">
        <v>830</v>
      </c>
      <c r="T71" s="17" t="s">
        <v>831</v>
      </c>
      <c r="AK71" s="17" t="s">
        <v>778</v>
      </c>
      <c r="AL71" s="17" t="s">
        <v>2890</v>
      </c>
      <c r="AS71" s="26" t="s">
        <v>3229</v>
      </c>
      <c r="AT71" s="26" t="s">
        <v>1283</v>
      </c>
    </row>
    <row r="72" spans="1:46" x14ac:dyDescent="0.25">
      <c r="A72" s="17" t="s">
        <v>833</v>
      </c>
      <c r="B72" s="17" t="s">
        <v>834</v>
      </c>
      <c r="G72" s="21" t="s">
        <v>835</v>
      </c>
      <c r="H72" s="17" t="s">
        <v>836</v>
      </c>
      <c r="M72" s="25" t="s">
        <v>837</v>
      </c>
      <c r="N72" s="25" t="s">
        <v>838</v>
      </c>
      <c r="S72" s="17" t="s">
        <v>839</v>
      </c>
      <c r="T72" s="17" t="s">
        <v>840</v>
      </c>
      <c r="AK72" s="17" t="s">
        <v>787</v>
      </c>
      <c r="AL72" s="17" t="s">
        <v>2891</v>
      </c>
      <c r="AS72" s="26" t="s">
        <v>3230</v>
      </c>
      <c r="AT72" s="26" t="s">
        <v>3231</v>
      </c>
    </row>
    <row r="73" spans="1:46" x14ac:dyDescent="0.25">
      <c r="A73" s="17" t="s">
        <v>842</v>
      </c>
      <c r="B73" s="17" t="s">
        <v>843</v>
      </c>
      <c r="G73" s="21" t="s">
        <v>844</v>
      </c>
      <c r="H73" s="17" t="s">
        <v>845</v>
      </c>
      <c r="M73" s="25" t="s">
        <v>846</v>
      </c>
      <c r="N73" s="25" t="s">
        <v>847</v>
      </c>
      <c r="S73" s="17" t="s">
        <v>848</v>
      </c>
      <c r="T73" s="17" t="s">
        <v>849</v>
      </c>
      <c r="AK73" s="17" t="s">
        <v>796</v>
      </c>
      <c r="AL73" s="17" t="s">
        <v>2892</v>
      </c>
      <c r="AS73" s="26" t="s">
        <v>3232</v>
      </c>
      <c r="AT73" s="26" t="s">
        <v>3233</v>
      </c>
    </row>
    <row r="74" spans="1:46" x14ac:dyDescent="0.25">
      <c r="A74" s="17" t="s">
        <v>851</v>
      </c>
      <c r="B74" s="17" t="s">
        <v>852</v>
      </c>
      <c r="G74" s="21" t="s">
        <v>853</v>
      </c>
      <c r="H74" s="17" t="s">
        <v>854</v>
      </c>
      <c r="M74" s="25" t="s">
        <v>855</v>
      </c>
      <c r="N74" s="25" t="s">
        <v>856</v>
      </c>
      <c r="S74" s="17" t="s">
        <v>857</v>
      </c>
      <c r="T74" s="17" t="s">
        <v>858</v>
      </c>
      <c r="AK74" s="17" t="s">
        <v>805</v>
      </c>
      <c r="AL74" s="17" t="s">
        <v>2893</v>
      </c>
      <c r="AS74" s="26" t="s">
        <v>3234</v>
      </c>
      <c r="AT74" s="26" t="s">
        <v>3235</v>
      </c>
    </row>
    <row r="75" spans="1:46" x14ac:dyDescent="0.25">
      <c r="A75" s="17" t="s">
        <v>860</v>
      </c>
      <c r="B75" s="17" t="s">
        <v>861</v>
      </c>
      <c r="G75" s="21" t="s">
        <v>862</v>
      </c>
      <c r="H75" s="17" t="s">
        <v>863</v>
      </c>
      <c r="M75" s="25" t="s">
        <v>864</v>
      </c>
      <c r="N75" s="25" t="s">
        <v>865</v>
      </c>
      <c r="S75" s="17" t="s">
        <v>866</v>
      </c>
      <c r="T75" s="17" t="s">
        <v>867</v>
      </c>
      <c r="AK75" s="17" t="s">
        <v>814</v>
      </c>
      <c r="AL75" s="17" t="s">
        <v>2894</v>
      </c>
      <c r="AS75" s="26" t="s">
        <v>3236</v>
      </c>
      <c r="AT75" s="26" t="s">
        <v>3237</v>
      </c>
    </row>
    <row r="76" spans="1:46" x14ac:dyDescent="0.25">
      <c r="A76" s="17" t="s">
        <v>869</v>
      </c>
      <c r="B76" s="17" t="s">
        <v>870</v>
      </c>
      <c r="G76" s="21" t="s">
        <v>871</v>
      </c>
      <c r="H76" s="17" t="s">
        <v>872</v>
      </c>
      <c r="M76" s="25" t="s">
        <v>873</v>
      </c>
      <c r="N76" s="25" t="s">
        <v>874</v>
      </c>
      <c r="S76" s="17" t="s">
        <v>875</v>
      </c>
      <c r="T76" s="17" t="s">
        <v>876</v>
      </c>
      <c r="AK76" s="17" t="s">
        <v>823</v>
      </c>
      <c r="AL76" s="17" t="s">
        <v>2895</v>
      </c>
      <c r="AS76" s="26" t="s">
        <v>3238</v>
      </c>
      <c r="AT76" s="26" t="s">
        <v>3239</v>
      </c>
    </row>
    <row r="77" spans="1:46" x14ac:dyDescent="0.25">
      <c r="A77" s="17" t="s">
        <v>878</v>
      </c>
      <c r="B77" s="17" t="s">
        <v>879</v>
      </c>
      <c r="G77" s="21" t="s">
        <v>880</v>
      </c>
      <c r="H77" s="17" t="s">
        <v>881</v>
      </c>
      <c r="M77" s="25" t="s">
        <v>882</v>
      </c>
      <c r="N77" s="25" t="s">
        <v>883</v>
      </c>
      <c r="S77" s="17" t="s">
        <v>884</v>
      </c>
      <c r="T77" s="17" t="s">
        <v>885</v>
      </c>
      <c r="AK77" s="17" t="s">
        <v>832</v>
      </c>
      <c r="AL77" s="17" t="s">
        <v>2896</v>
      </c>
      <c r="AS77" s="26" t="s">
        <v>3240</v>
      </c>
      <c r="AT77" s="26" t="s">
        <v>3241</v>
      </c>
    </row>
    <row r="78" spans="1:46" x14ac:dyDescent="0.25">
      <c r="A78" s="17" t="s">
        <v>887</v>
      </c>
      <c r="B78" s="17" t="s">
        <v>888</v>
      </c>
      <c r="G78" s="21" t="s">
        <v>889</v>
      </c>
      <c r="H78" s="17" t="s">
        <v>890</v>
      </c>
      <c r="M78" s="25" t="s">
        <v>891</v>
      </c>
      <c r="N78" s="25" t="s">
        <v>892</v>
      </c>
      <c r="S78" s="17" t="s">
        <v>893</v>
      </c>
      <c r="T78" s="17" t="s">
        <v>894</v>
      </c>
      <c r="AK78" s="17" t="s">
        <v>841</v>
      </c>
      <c r="AL78" s="17" t="s">
        <v>2897</v>
      </c>
      <c r="AS78" s="26" t="s">
        <v>3242</v>
      </c>
      <c r="AT78" s="26" t="s">
        <v>3243</v>
      </c>
    </row>
    <row r="79" spans="1:46" x14ac:dyDescent="0.25">
      <c r="A79" s="17" t="s">
        <v>896</v>
      </c>
      <c r="B79" s="17" t="s">
        <v>897</v>
      </c>
      <c r="G79" s="21" t="s">
        <v>898</v>
      </c>
      <c r="H79" s="17" t="s">
        <v>899</v>
      </c>
      <c r="M79" s="25" t="s">
        <v>900</v>
      </c>
      <c r="N79" s="25" t="s">
        <v>901</v>
      </c>
      <c r="S79" s="17" t="s">
        <v>902</v>
      </c>
      <c r="T79" s="17" t="s">
        <v>903</v>
      </c>
      <c r="AK79" s="17" t="s">
        <v>850</v>
      </c>
      <c r="AL79" s="17" t="s">
        <v>2898</v>
      </c>
      <c r="AS79" s="26" t="s">
        <v>3244</v>
      </c>
      <c r="AT79" s="26" t="s">
        <v>3245</v>
      </c>
    </row>
    <row r="80" spans="1:46" x14ac:dyDescent="0.25">
      <c r="A80" s="17" t="s">
        <v>905</v>
      </c>
      <c r="B80" s="17" t="s">
        <v>906</v>
      </c>
      <c r="G80" s="21" t="s">
        <v>907</v>
      </c>
      <c r="H80" s="17" t="s">
        <v>908</v>
      </c>
      <c r="M80" s="25" t="s">
        <v>909</v>
      </c>
      <c r="N80" s="25" t="s">
        <v>910</v>
      </c>
      <c r="S80" s="17" t="s">
        <v>911</v>
      </c>
      <c r="T80" s="17" t="s">
        <v>912</v>
      </c>
      <c r="AK80" s="17" t="s">
        <v>859</v>
      </c>
      <c r="AL80" s="17" t="s">
        <v>2899</v>
      </c>
      <c r="AS80" s="26" t="s">
        <v>3246</v>
      </c>
      <c r="AT80" s="26" t="s">
        <v>3247</v>
      </c>
    </row>
    <row r="81" spans="1:46" x14ac:dyDescent="0.25">
      <c r="A81" s="17" t="s">
        <v>914</v>
      </c>
      <c r="B81" s="17" t="s">
        <v>915</v>
      </c>
      <c r="G81" s="21" t="s">
        <v>916</v>
      </c>
      <c r="H81" s="17" t="s">
        <v>917</v>
      </c>
      <c r="M81" s="25" t="s">
        <v>918</v>
      </c>
      <c r="N81" s="25" t="s">
        <v>919</v>
      </c>
      <c r="S81" s="17" t="s">
        <v>920</v>
      </c>
      <c r="T81" s="17" t="s">
        <v>921</v>
      </c>
      <c r="AK81" s="17" t="s">
        <v>868</v>
      </c>
      <c r="AL81" s="17" t="s">
        <v>2900</v>
      </c>
      <c r="AS81" s="26" t="s">
        <v>3248</v>
      </c>
      <c r="AT81" s="26" t="s">
        <v>3249</v>
      </c>
    </row>
    <row r="82" spans="1:46" x14ac:dyDescent="0.25">
      <c r="A82" s="17" t="s">
        <v>923</v>
      </c>
      <c r="B82" s="17" t="s">
        <v>924</v>
      </c>
      <c r="G82" s="21" t="s">
        <v>925</v>
      </c>
      <c r="H82" s="17" t="s">
        <v>926</v>
      </c>
      <c r="M82" s="25" t="s">
        <v>927</v>
      </c>
      <c r="N82" s="25" t="s">
        <v>928</v>
      </c>
      <c r="S82" s="17" t="s">
        <v>929</v>
      </c>
      <c r="T82" s="17" t="s">
        <v>930</v>
      </c>
      <c r="AK82" s="17" t="s">
        <v>877</v>
      </c>
      <c r="AL82" s="17" t="s">
        <v>2901</v>
      </c>
      <c r="AS82" s="26" t="s">
        <v>3250</v>
      </c>
      <c r="AT82" s="26" t="s">
        <v>3251</v>
      </c>
    </row>
    <row r="83" spans="1:46" x14ac:dyDescent="0.25">
      <c r="A83" s="17" t="s">
        <v>932</v>
      </c>
      <c r="B83" s="17" t="s">
        <v>933</v>
      </c>
      <c r="G83" s="21" t="s">
        <v>934</v>
      </c>
      <c r="H83" s="17" t="s">
        <v>935</v>
      </c>
      <c r="M83" s="25" t="s">
        <v>936</v>
      </c>
      <c r="N83" s="25" t="s">
        <v>937</v>
      </c>
      <c r="S83" s="17" t="s">
        <v>938</v>
      </c>
      <c r="T83" s="17" t="s">
        <v>939</v>
      </c>
      <c r="AK83" s="17" t="s">
        <v>886</v>
      </c>
      <c r="AL83" s="17" t="s">
        <v>2902</v>
      </c>
      <c r="AS83" s="26" t="s">
        <v>3252</v>
      </c>
      <c r="AT83" s="26" t="s">
        <v>3253</v>
      </c>
    </row>
    <row r="84" spans="1:46" x14ac:dyDescent="0.25">
      <c r="A84" s="17" t="s">
        <v>941</v>
      </c>
      <c r="B84" s="17" t="s">
        <v>942</v>
      </c>
      <c r="G84" s="21" t="s">
        <v>943</v>
      </c>
      <c r="H84" s="17" t="s">
        <v>944</v>
      </c>
      <c r="M84" s="25" t="s">
        <v>945</v>
      </c>
      <c r="N84" s="25" t="s">
        <v>946</v>
      </c>
      <c r="S84" s="17" t="s">
        <v>947</v>
      </c>
      <c r="T84" s="17" t="s">
        <v>948</v>
      </c>
      <c r="AK84" s="17" t="s">
        <v>895</v>
      </c>
      <c r="AL84" s="17" t="s">
        <v>2903</v>
      </c>
      <c r="AS84" s="26" t="s">
        <v>3254</v>
      </c>
      <c r="AT84" s="26" t="s">
        <v>3255</v>
      </c>
    </row>
    <row r="85" spans="1:46" x14ac:dyDescent="0.25">
      <c r="A85" s="17" t="s">
        <v>950</v>
      </c>
      <c r="B85" s="17" t="s">
        <v>951</v>
      </c>
      <c r="G85" s="21" t="s">
        <v>952</v>
      </c>
      <c r="H85" s="17" t="s">
        <v>953</v>
      </c>
      <c r="M85" s="25" t="s">
        <v>954</v>
      </c>
      <c r="N85" s="25" t="s">
        <v>955</v>
      </c>
      <c r="S85" s="17" t="s">
        <v>956</v>
      </c>
      <c r="T85" s="17" t="s">
        <v>957</v>
      </c>
      <c r="AK85" s="17" t="s">
        <v>904</v>
      </c>
      <c r="AL85" s="17" t="s">
        <v>2904</v>
      </c>
      <c r="AS85" s="26" t="s">
        <v>3256</v>
      </c>
      <c r="AT85" s="26" t="s">
        <v>3257</v>
      </c>
    </row>
    <row r="86" spans="1:46" x14ac:dyDescent="0.25">
      <c r="A86" s="17" t="s">
        <v>959</v>
      </c>
      <c r="B86" s="17" t="s">
        <v>960</v>
      </c>
      <c r="G86" s="21" t="s">
        <v>961</v>
      </c>
      <c r="H86" s="17" t="s">
        <v>962</v>
      </c>
      <c r="M86" s="25" t="s">
        <v>963</v>
      </c>
      <c r="N86" s="25" t="s">
        <v>964</v>
      </c>
      <c r="S86" s="17" t="s">
        <v>965</v>
      </c>
      <c r="T86" s="17" t="s">
        <v>966</v>
      </c>
      <c r="AK86" s="17" t="s">
        <v>913</v>
      </c>
      <c r="AL86" s="17" t="s">
        <v>2905</v>
      </c>
      <c r="AS86" s="26" t="s">
        <v>3258</v>
      </c>
      <c r="AT86" s="26" t="s">
        <v>3259</v>
      </c>
    </row>
    <row r="87" spans="1:46" x14ac:dyDescent="0.25">
      <c r="A87" s="17" t="s">
        <v>968</v>
      </c>
      <c r="B87" s="17" t="s">
        <v>969</v>
      </c>
      <c r="G87" s="21" t="s">
        <v>970</v>
      </c>
      <c r="H87" s="17" t="s">
        <v>971</v>
      </c>
      <c r="M87" s="25" t="s">
        <v>972</v>
      </c>
      <c r="N87" s="25" t="s">
        <v>973</v>
      </c>
      <c r="S87" s="17" t="s">
        <v>974</v>
      </c>
      <c r="T87" s="17" t="s">
        <v>975</v>
      </c>
      <c r="AK87" s="17" t="s">
        <v>922</v>
      </c>
      <c r="AL87" s="17" t="s">
        <v>2906</v>
      </c>
      <c r="AS87" s="26" t="s">
        <v>3260</v>
      </c>
      <c r="AT87" s="26" t="s">
        <v>3261</v>
      </c>
    </row>
    <row r="88" spans="1:46" x14ac:dyDescent="0.25">
      <c r="A88" s="17" t="s">
        <v>977</v>
      </c>
      <c r="B88" s="17" t="s">
        <v>978</v>
      </c>
      <c r="G88" s="21" t="s">
        <v>979</v>
      </c>
      <c r="H88" s="17" t="s">
        <v>980</v>
      </c>
      <c r="M88" s="25" t="s">
        <v>981</v>
      </c>
      <c r="N88" s="25" t="s">
        <v>982</v>
      </c>
      <c r="S88" s="17" t="s">
        <v>983</v>
      </c>
      <c r="T88" s="17" t="s">
        <v>984</v>
      </c>
      <c r="AK88" s="17" t="s">
        <v>931</v>
      </c>
      <c r="AL88" s="17" t="s">
        <v>2907</v>
      </c>
      <c r="AS88" s="26" t="s">
        <v>3262</v>
      </c>
      <c r="AT88" s="26" t="s">
        <v>3263</v>
      </c>
    </row>
    <row r="89" spans="1:46" x14ac:dyDescent="0.25">
      <c r="A89" s="17" t="s">
        <v>986</v>
      </c>
      <c r="B89" s="17" t="s">
        <v>987</v>
      </c>
      <c r="G89" s="21" t="s">
        <v>988</v>
      </c>
      <c r="H89" s="17" t="s">
        <v>989</v>
      </c>
      <c r="M89" s="25" t="s">
        <v>990</v>
      </c>
      <c r="N89" s="25" t="s">
        <v>991</v>
      </c>
      <c r="S89" s="17" t="s">
        <v>992</v>
      </c>
      <c r="T89" s="17" t="s">
        <v>993</v>
      </c>
      <c r="AK89" s="17" t="s">
        <v>940</v>
      </c>
      <c r="AL89" s="17" t="s">
        <v>2908</v>
      </c>
      <c r="AS89" s="26" t="s">
        <v>3264</v>
      </c>
      <c r="AT89" s="26" t="s">
        <v>3265</v>
      </c>
    </row>
    <row r="90" spans="1:46" x14ac:dyDescent="0.25">
      <c r="A90" s="17" t="s">
        <v>995</v>
      </c>
      <c r="B90" s="17" t="s">
        <v>996</v>
      </c>
      <c r="G90" s="21" t="s">
        <v>997</v>
      </c>
      <c r="H90" s="17" t="s">
        <v>998</v>
      </c>
      <c r="M90" s="25" t="s">
        <v>999</v>
      </c>
      <c r="N90" s="25" t="s">
        <v>1000</v>
      </c>
      <c r="S90" s="17" t="s">
        <v>1001</v>
      </c>
      <c r="T90" s="17" t="s">
        <v>1002</v>
      </c>
      <c r="AK90" s="17" t="s">
        <v>949</v>
      </c>
      <c r="AL90" s="17" t="s">
        <v>2909</v>
      </c>
      <c r="AS90" s="26" t="s">
        <v>3266</v>
      </c>
      <c r="AT90" s="26" t="s">
        <v>3267</v>
      </c>
    </row>
    <row r="91" spans="1:46" x14ac:dyDescent="0.25">
      <c r="A91" s="17" t="s">
        <v>1004</v>
      </c>
      <c r="B91" s="17" t="s">
        <v>1005</v>
      </c>
      <c r="G91" s="21" t="s">
        <v>1006</v>
      </c>
      <c r="H91" s="17" t="s">
        <v>1007</v>
      </c>
      <c r="M91" s="25" t="s">
        <v>1008</v>
      </c>
      <c r="N91" s="25" t="s">
        <v>1009</v>
      </c>
      <c r="S91" s="17" t="s">
        <v>1010</v>
      </c>
      <c r="T91" s="17" t="s">
        <v>1011</v>
      </c>
      <c r="AK91" s="17" t="s">
        <v>958</v>
      </c>
      <c r="AL91" s="17" t="s">
        <v>2910</v>
      </c>
      <c r="AS91" s="26" t="s">
        <v>3268</v>
      </c>
      <c r="AT91" s="26" t="s">
        <v>3269</v>
      </c>
    </row>
    <row r="92" spans="1:46" x14ac:dyDescent="0.25">
      <c r="A92" s="17" t="s">
        <v>1013</v>
      </c>
      <c r="B92" s="17" t="s">
        <v>1014</v>
      </c>
      <c r="G92" s="21" t="s">
        <v>1015</v>
      </c>
      <c r="H92" s="17" t="s">
        <v>1016</v>
      </c>
      <c r="M92" s="25" t="s">
        <v>1017</v>
      </c>
      <c r="N92" s="25" t="s">
        <v>1018</v>
      </c>
      <c r="S92" s="17" t="s">
        <v>1019</v>
      </c>
      <c r="T92" s="17" t="s">
        <v>1020</v>
      </c>
      <c r="AK92" s="17" t="s">
        <v>967</v>
      </c>
      <c r="AL92" s="17" t="s">
        <v>2911</v>
      </c>
      <c r="AS92" s="26" t="s">
        <v>3270</v>
      </c>
      <c r="AT92" s="26" t="s">
        <v>3271</v>
      </c>
    </row>
    <row r="93" spans="1:46" x14ac:dyDescent="0.25">
      <c r="A93" s="17" t="s">
        <v>1022</v>
      </c>
      <c r="B93" s="17" t="s">
        <v>1023</v>
      </c>
      <c r="G93" s="21" t="s">
        <v>1024</v>
      </c>
      <c r="H93" s="17" t="s">
        <v>1025</v>
      </c>
      <c r="M93" s="25" t="s">
        <v>1026</v>
      </c>
      <c r="N93" s="25" t="s">
        <v>1027</v>
      </c>
      <c r="S93" s="17" t="s">
        <v>1028</v>
      </c>
      <c r="T93" s="17" t="s">
        <v>1029</v>
      </c>
      <c r="AK93" s="17" t="s">
        <v>976</v>
      </c>
      <c r="AL93" s="17" t="s">
        <v>2912</v>
      </c>
      <c r="AS93" s="26" t="s">
        <v>3272</v>
      </c>
      <c r="AT93" s="26" t="s">
        <v>3273</v>
      </c>
    </row>
    <row r="94" spans="1:46" x14ac:dyDescent="0.25">
      <c r="A94" s="17" t="s">
        <v>1031</v>
      </c>
      <c r="B94" s="17" t="s">
        <v>1032</v>
      </c>
      <c r="G94" s="21" t="s">
        <v>1033</v>
      </c>
      <c r="H94" s="17" t="s">
        <v>1034</v>
      </c>
      <c r="M94" s="25" t="s">
        <v>1035</v>
      </c>
      <c r="N94" s="25" t="s">
        <v>1036</v>
      </c>
      <c r="S94" s="17" t="s">
        <v>1037</v>
      </c>
      <c r="T94" s="17" t="s">
        <v>1038</v>
      </c>
      <c r="AK94" s="17" t="s">
        <v>985</v>
      </c>
      <c r="AL94" s="17" t="s">
        <v>2913</v>
      </c>
      <c r="AS94" s="26" t="s">
        <v>3274</v>
      </c>
      <c r="AT94" s="26" t="s">
        <v>3275</v>
      </c>
    </row>
    <row r="95" spans="1:46" x14ac:dyDescent="0.25">
      <c r="A95" s="17" t="s">
        <v>1040</v>
      </c>
      <c r="B95" s="17" t="s">
        <v>1041</v>
      </c>
      <c r="G95" s="21" t="s">
        <v>1042</v>
      </c>
      <c r="H95" s="17" t="s">
        <v>1043</v>
      </c>
      <c r="M95" s="25" t="s">
        <v>1044</v>
      </c>
      <c r="N95" s="25" t="s">
        <v>1045</v>
      </c>
      <c r="S95" s="17" t="s">
        <v>1046</v>
      </c>
      <c r="T95" s="17" t="s">
        <v>1047</v>
      </c>
      <c r="AK95" s="17" t="s">
        <v>994</v>
      </c>
      <c r="AL95" s="17" t="s">
        <v>2914</v>
      </c>
      <c r="AS95" s="26" t="s">
        <v>3276</v>
      </c>
      <c r="AT95" s="26" t="s">
        <v>3277</v>
      </c>
    </row>
    <row r="96" spans="1:46" x14ac:dyDescent="0.25">
      <c r="A96" s="17" t="s">
        <v>1049</v>
      </c>
      <c r="B96" s="17" t="s">
        <v>1050</v>
      </c>
      <c r="G96" s="21" t="s">
        <v>1051</v>
      </c>
      <c r="H96" s="17" t="s">
        <v>1052</v>
      </c>
      <c r="M96" s="25" t="s">
        <v>1053</v>
      </c>
      <c r="N96" s="25" t="s">
        <v>1054</v>
      </c>
      <c r="S96" s="17" t="s">
        <v>1055</v>
      </c>
      <c r="T96" s="17" t="s">
        <v>1056</v>
      </c>
      <c r="AK96" s="17" t="s">
        <v>1003</v>
      </c>
      <c r="AL96" s="17" t="s">
        <v>2915</v>
      </c>
      <c r="AS96" s="26" t="s">
        <v>3278</v>
      </c>
      <c r="AT96" s="26" t="s">
        <v>3279</v>
      </c>
    </row>
    <row r="97" spans="1:90" x14ac:dyDescent="0.25">
      <c r="A97" s="17" t="s">
        <v>1058</v>
      </c>
      <c r="B97" s="17" t="s">
        <v>1059</v>
      </c>
      <c r="G97" s="21" t="s">
        <v>1060</v>
      </c>
      <c r="H97" s="17" t="s">
        <v>1061</v>
      </c>
      <c r="M97" s="25" t="s">
        <v>1062</v>
      </c>
      <c r="N97" s="25" t="s">
        <v>1063</v>
      </c>
      <c r="S97" s="17" t="s">
        <v>1064</v>
      </c>
      <c r="T97" s="17" t="s">
        <v>1065</v>
      </c>
      <c r="AK97" s="17" t="s">
        <v>1012</v>
      </c>
      <c r="AL97" s="17" t="s">
        <v>2916</v>
      </c>
      <c r="AS97" s="26" t="s">
        <v>3112</v>
      </c>
      <c r="AT97" s="26" t="s">
        <v>3280</v>
      </c>
    </row>
    <row r="98" spans="1:90" x14ac:dyDescent="0.25">
      <c r="A98" s="17" t="s">
        <v>1067</v>
      </c>
      <c r="B98" s="17" t="s">
        <v>1068</v>
      </c>
      <c r="G98" s="21" t="s">
        <v>1069</v>
      </c>
      <c r="H98" s="17" t="s">
        <v>1070</v>
      </c>
      <c r="M98" s="25" t="s">
        <v>1071</v>
      </c>
      <c r="N98" s="25" t="s">
        <v>1072</v>
      </c>
      <c r="S98" s="17" t="s">
        <v>1073</v>
      </c>
      <c r="T98" s="17" t="s">
        <v>1074</v>
      </c>
      <c r="AK98" s="17" t="s">
        <v>1021</v>
      </c>
      <c r="AL98" s="17" t="s">
        <v>2917</v>
      </c>
      <c r="AS98" s="26" t="s">
        <v>3114</v>
      </c>
      <c r="AT98" s="26" t="s">
        <v>3281</v>
      </c>
    </row>
    <row r="99" spans="1:90" x14ac:dyDescent="0.25">
      <c r="A99" s="17" t="s">
        <v>1076</v>
      </c>
      <c r="B99" s="17" t="s">
        <v>1077</v>
      </c>
      <c r="G99" s="21" t="s">
        <v>1078</v>
      </c>
      <c r="H99" s="17" t="s">
        <v>1079</v>
      </c>
      <c r="M99" s="25" t="s">
        <v>1080</v>
      </c>
      <c r="N99" s="25" t="s">
        <v>1081</v>
      </c>
      <c r="S99" s="17" t="s">
        <v>1082</v>
      </c>
      <c r="T99" s="17" t="s">
        <v>1083</v>
      </c>
      <c r="AK99" s="17" t="s">
        <v>1030</v>
      </c>
      <c r="AL99" s="17" t="s">
        <v>2918</v>
      </c>
      <c r="AS99" s="26" t="s">
        <v>3282</v>
      </c>
      <c r="AT99" s="26" t="s">
        <v>3283</v>
      </c>
    </row>
    <row r="100" spans="1:90" x14ac:dyDescent="0.25">
      <c r="A100" s="17" t="s">
        <v>1085</v>
      </c>
      <c r="B100" s="17" t="s">
        <v>1086</v>
      </c>
      <c r="G100" s="21" t="s">
        <v>1087</v>
      </c>
      <c r="H100" s="17" t="s">
        <v>1088</v>
      </c>
      <c r="M100" s="25" t="s">
        <v>1089</v>
      </c>
      <c r="N100" s="25" t="s">
        <v>1090</v>
      </c>
      <c r="S100" s="17" t="s">
        <v>1091</v>
      </c>
      <c r="T100" s="17" t="s">
        <v>1092</v>
      </c>
      <c r="AK100" s="17" t="s">
        <v>1039</v>
      </c>
      <c r="AL100" s="17" t="s">
        <v>2919</v>
      </c>
      <c r="AS100" s="26" t="s">
        <v>3284</v>
      </c>
      <c r="AT100" s="26" t="s">
        <v>3285</v>
      </c>
    </row>
    <row r="101" spans="1:90" x14ac:dyDescent="0.25">
      <c r="A101" s="17" t="s">
        <v>1094</v>
      </c>
      <c r="B101" s="17" t="s">
        <v>1095</v>
      </c>
      <c r="G101" s="21" t="s">
        <v>1096</v>
      </c>
      <c r="H101" s="17" t="s">
        <v>1097</v>
      </c>
      <c r="M101" s="25" t="s">
        <v>1098</v>
      </c>
      <c r="N101" s="25" t="s">
        <v>1099</v>
      </c>
      <c r="S101" s="17" t="s">
        <v>1100</v>
      </c>
      <c r="T101" s="17" t="s">
        <v>1101</v>
      </c>
      <c r="AK101" s="17" t="s">
        <v>1048</v>
      </c>
      <c r="AL101" s="17" t="s">
        <v>2920</v>
      </c>
      <c r="AS101" s="26" t="s">
        <v>3286</v>
      </c>
      <c r="AT101" s="26" t="s">
        <v>3287</v>
      </c>
    </row>
    <row r="102" spans="1:90" x14ac:dyDescent="0.25">
      <c r="A102" s="17" t="s">
        <v>1103</v>
      </c>
      <c r="B102" s="17" t="s">
        <v>1104</v>
      </c>
      <c r="G102" s="21" t="s">
        <v>1105</v>
      </c>
      <c r="H102" s="17" t="s">
        <v>1106</v>
      </c>
      <c r="M102" s="25" t="s">
        <v>1107</v>
      </c>
      <c r="N102" s="25" t="s">
        <v>1108</v>
      </c>
      <c r="S102" s="17" t="s">
        <v>1109</v>
      </c>
      <c r="T102" s="17" t="s">
        <v>1110</v>
      </c>
      <c r="AK102" s="17" t="s">
        <v>1057</v>
      </c>
      <c r="AL102" s="17" t="s">
        <v>2921</v>
      </c>
      <c r="AS102" s="26" t="s">
        <v>3288</v>
      </c>
      <c r="AT102" s="26" t="s">
        <v>3289</v>
      </c>
      <c r="BU102" t="s">
        <v>2799</v>
      </c>
      <c r="BV102" t="s">
        <v>2799</v>
      </c>
      <c r="CK102" t="s">
        <v>2799</v>
      </c>
      <c r="CL102" t="s">
        <v>2799</v>
      </c>
    </row>
    <row r="103" spans="1:90" x14ac:dyDescent="0.25">
      <c r="A103" s="17" t="s">
        <v>1112</v>
      </c>
      <c r="B103" s="17" t="s">
        <v>1113</v>
      </c>
      <c r="G103" s="17" t="s">
        <v>1114</v>
      </c>
      <c r="H103" s="17" t="s">
        <v>1115</v>
      </c>
      <c r="M103" s="25" t="s">
        <v>1116</v>
      </c>
      <c r="N103" s="25" t="s">
        <v>1117</v>
      </c>
      <c r="S103" s="17" t="s">
        <v>1118</v>
      </c>
      <c r="T103" s="17" t="s">
        <v>1119</v>
      </c>
      <c r="AK103" s="17" t="s">
        <v>1066</v>
      </c>
      <c r="AL103" s="17" t="s">
        <v>2922</v>
      </c>
      <c r="AS103" s="26" t="s">
        <v>3290</v>
      </c>
      <c r="AT103" s="26" t="s">
        <v>3291</v>
      </c>
    </row>
    <row r="104" spans="1:90" x14ac:dyDescent="0.25">
      <c r="A104" s="17" t="s">
        <v>1121</v>
      </c>
      <c r="B104" s="17" t="s">
        <v>1122</v>
      </c>
      <c r="G104" s="17" t="s">
        <v>1123</v>
      </c>
      <c r="H104" s="17" t="s">
        <v>1124</v>
      </c>
      <c r="M104" s="25" t="s">
        <v>1125</v>
      </c>
      <c r="N104" s="25" t="s">
        <v>1126</v>
      </c>
      <c r="S104" s="17" t="s">
        <v>1127</v>
      </c>
      <c r="T104" s="17" t="s">
        <v>1128</v>
      </c>
      <c r="AK104" s="17" t="s">
        <v>1075</v>
      </c>
      <c r="AL104" s="17" t="s">
        <v>2923</v>
      </c>
      <c r="AS104" s="26" t="s">
        <v>3124</v>
      </c>
      <c r="AT104" s="26" t="s">
        <v>3292</v>
      </c>
    </row>
    <row r="105" spans="1:90" x14ac:dyDescent="0.25">
      <c r="A105" s="17" t="s">
        <v>1130</v>
      </c>
      <c r="B105" s="17" t="s">
        <v>1131</v>
      </c>
      <c r="G105" s="17" t="s">
        <v>1132</v>
      </c>
      <c r="H105" s="17" t="s">
        <v>1133</v>
      </c>
      <c r="M105" s="25" t="s">
        <v>1134</v>
      </c>
      <c r="N105" s="25" t="s">
        <v>1135</v>
      </c>
      <c r="S105" s="17" t="s">
        <v>1136</v>
      </c>
      <c r="T105" s="17" t="s">
        <v>1137</v>
      </c>
      <c r="AK105" s="17" t="s">
        <v>1084</v>
      </c>
      <c r="AL105" s="17" t="s">
        <v>2924</v>
      </c>
      <c r="AS105" s="26" t="s">
        <v>3293</v>
      </c>
      <c r="AT105" s="26" t="s">
        <v>3294</v>
      </c>
    </row>
    <row r="106" spans="1:90" x14ac:dyDescent="0.25">
      <c r="A106" s="17" t="s">
        <v>1139</v>
      </c>
      <c r="B106" s="17" t="s">
        <v>1140</v>
      </c>
      <c r="G106" s="17" t="s">
        <v>1141</v>
      </c>
      <c r="H106" s="17" t="s">
        <v>1142</v>
      </c>
      <c r="M106" s="25" t="s">
        <v>1143</v>
      </c>
      <c r="N106" s="25" t="s">
        <v>1144</v>
      </c>
      <c r="S106" s="17" t="s">
        <v>1145</v>
      </c>
      <c r="T106" s="17" t="s">
        <v>1146</v>
      </c>
      <c r="AK106" s="17" t="s">
        <v>1093</v>
      </c>
      <c r="AL106" s="17" t="s">
        <v>2925</v>
      </c>
      <c r="AS106" s="26" t="s">
        <v>3295</v>
      </c>
      <c r="AT106" s="26" t="s">
        <v>3296</v>
      </c>
    </row>
    <row r="107" spans="1:90" x14ac:dyDescent="0.25">
      <c r="A107" s="17" t="s">
        <v>1148</v>
      </c>
      <c r="B107" s="17" t="s">
        <v>1149</v>
      </c>
      <c r="G107" s="17" t="s">
        <v>1150</v>
      </c>
      <c r="H107" s="17" t="s">
        <v>1151</v>
      </c>
      <c r="M107" s="25" t="s">
        <v>1152</v>
      </c>
      <c r="N107" s="25" t="s">
        <v>1153</v>
      </c>
      <c r="S107" s="17" t="s">
        <v>1154</v>
      </c>
      <c r="T107" s="17" t="s">
        <v>1155</v>
      </c>
      <c r="AK107" s="17" t="s">
        <v>1102</v>
      </c>
      <c r="AL107" s="17" t="s">
        <v>2926</v>
      </c>
      <c r="AS107" s="26" t="s">
        <v>3297</v>
      </c>
      <c r="AT107" s="26" t="s">
        <v>3298</v>
      </c>
    </row>
    <row r="108" spans="1:90" x14ac:dyDescent="0.25">
      <c r="A108" s="17" t="s">
        <v>1157</v>
      </c>
      <c r="B108" s="17" t="s">
        <v>1158</v>
      </c>
      <c r="G108" s="17" t="s">
        <v>1159</v>
      </c>
      <c r="H108" s="17" t="s">
        <v>1160</v>
      </c>
      <c r="M108" s="25" t="s">
        <v>1161</v>
      </c>
      <c r="N108" s="25" t="s">
        <v>1162</v>
      </c>
      <c r="S108" s="17" t="s">
        <v>1163</v>
      </c>
      <c r="T108" s="17" t="s">
        <v>1164</v>
      </c>
      <c r="AK108" s="17" t="s">
        <v>1111</v>
      </c>
      <c r="AL108" s="17" t="s">
        <v>2927</v>
      </c>
      <c r="AS108" s="26" t="s">
        <v>3299</v>
      </c>
      <c r="AT108" s="26" t="s">
        <v>3300</v>
      </c>
    </row>
    <row r="109" spans="1:90" x14ac:dyDescent="0.25">
      <c r="A109" s="17" t="s">
        <v>1166</v>
      </c>
      <c r="B109" s="17" t="s">
        <v>1167</v>
      </c>
      <c r="G109" s="17" t="s">
        <v>1168</v>
      </c>
      <c r="H109" s="17" t="s">
        <v>1169</v>
      </c>
      <c r="M109" s="25" t="s">
        <v>1170</v>
      </c>
      <c r="N109" s="25" t="s">
        <v>1171</v>
      </c>
      <c r="S109" s="17" t="s">
        <v>1172</v>
      </c>
      <c r="T109" s="17" t="s">
        <v>1173</v>
      </c>
      <c r="AK109" s="17" t="s">
        <v>1120</v>
      </c>
      <c r="AL109" s="17" t="s">
        <v>2928</v>
      </c>
      <c r="AS109" s="26" t="s">
        <v>3164</v>
      </c>
      <c r="AT109" s="26" t="s">
        <v>3301</v>
      </c>
    </row>
    <row r="110" spans="1:90" x14ac:dyDescent="0.25">
      <c r="A110" s="17" t="s">
        <v>1175</v>
      </c>
      <c r="B110" s="17" t="s">
        <v>1176</v>
      </c>
      <c r="G110" s="17" t="s">
        <v>1177</v>
      </c>
      <c r="H110" s="17" t="s">
        <v>1178</v>
      </c>
      <c r="M110" s="25" t="s">
        <v>1179</v>
      </c>
      <c r="N110" s="25" t="s">
        <v>1180</v>
      </c>
      <c r="S110" s="17" t="s">
        <v>1181</v>
      </c>
      <c r="T110" s="17" t="s">
        <v>1182</v>
      </c>
      <c r="AK110" s="17" t="s">
        <v>1129</v>
      </c>
      <c r="AL110" s="17" t="s">
        <v>2929</v>
      </c>
      <c r="AS110" s="26" t="s">
        <v>3215</v>
      </c>
      <c r="AT110" s="26" t="s">
        <v>3302</v>
      </c>
    </row>
    <row r="111" spans="1:90" x14ac:dyDescent="0.25">
      <c r="A111" s="17" t="s">
        <v>1184</v>
      </c>
      <c r="B111" s="17" t="s">
        <v>1185</v>
      </c>
      <c r="G111" s="17" t="s">
        <v>1186</v>
      </c>
      <c r="H111" s="17" t="s">
        <v>1187</v>
      </c>
      <c r="M111" s="25" t="s">
        <v>1188</v>
      </c>
      <c r="N111" s="25" t="s">
        <v>1189</v>
      </c>
      <c r="S111" s="17" t="s">
        <v>1190</v>
      </c>
      <c r="T111" s="17" t="s">
        <v>1191</v>
      </c>
      <c r="AK111" s="17" t="s">
        <v>1138</v>
      </c>
      <c r="AL111" s="17" t="s">
        <v>2930</v>
      </c>
      <c r="AS111" s="26" t="s">
        <v>3303</v>
      </c>
      <c r="AT111" s="26" t="s">
        <v>3304</v>
      </c>
    </row>
    <row r="112" spans="1:90" x14ac:dyDescent="0.25">
      <c r="A112" s="17" t="s">
        <v>1193</v>
      </c>
      <c r="B112" s="17" t="s">
        <v>1194</v>
      </c>
      <c r="G112" s="17" t="s">
        <v>1195</v>
      </c>
      <c r="H112" s="17" t="s">
        <v>1196</v>
      </c>
      <c r="M112" s="25" t="s">
        <v>1197</v>
      </c>
      <c r="N112" s="25" t="s">
        <v>1198</v>
      </c>
      <c r="S112" s="17" t="s">
        <v>1199</v>
      </c>
      <c r="T112" s="17" t="s">
        <v>1200</v>
      </c>
      <c r="AK112" s="17" t="s">
        <v>1147</v>
      </c>
      <c r="AL112" s="17" t="s">
        <v>2931</v>
      </c>
      <c r="AS112" s="26" t="s">
        <v>3305</v>
      </c>
      <c r="AT112" s="26" t="s">
        <v>3306</v>
      </c>
    </row>
    <row r="113" spans="1:46" x14ac:dyDescent="0.25">
      <c r="A113" s="17" t="s">
        <v>1202</v>
      </c>
      <c r="B113" s="17" t="s">
        <v>1203</v>
      </c>
      <c r="G113" s="17" t="s">
        <v>1204</v>
      </c>
      <c r="H113" s="17" t="s">
        <v>1205</v>
      </c>
      <c r="M113" s="25" t="s">
        <v>1206</v>
      </c>
      <c r="N113" s="25" t="s">
        <v>1207</v>
      </c>
      <c r="S113" s="17" t="s">
        <v>1208</v>
      </c>
      <c r="T113" s="17" t="s">
        <v>1209</v>
      </c>
      <c r="AK113" s="17" t="s">
        <v>1156</v>
      </c>
      <c r="AL113" s="17" t="s">
        <v>2932</v>
      </c>
      <c r="AS113" s="26" t="s">
        <v>3307</v>
      </c>
      <c r="AT113" s="26" t="s">
        <v>3308</v>
      </c>
    </row>
    <row r="114" spans="1:46" x14ac:dyDescent="0.25">
      <c r="A114" s="17" t="s">
        <v>1211</v>
      </c>
      <c r="B114" s="17" t="s">
        <v>1212</v>
      </c>
      <c r="G114" s="17" t="s">
        <v>1213</v>
      </c>
      <c r="H114" s="17" t="s">
        <v>1214</v>
      </c>
      <c r="M114" s="25" t="s">
        <v>1215</v>
      </c>
      <c r="N114" s="25" t="s">
        <v>1216</v>
      </c>
      <c r="S114" s="17" t="s">
        <v>1208</v>
      </c>
      <c r="T114" s="17" t="s">
        <v>1217</v>
      </c>
      <c r="AK114" s="17" t="s">
        <v>1165</v>
      </c>
      <c r="AL114" s="17" t="s">
        <v>2933</v>
      </c>
      <c r="AS114" s="26" t="s">
        <v>3234</v>
      </c>
      <c r="AT114" s="26" t="s">
        <v>3309</v>
      </c>
    </row>
    <row r="115" spans="1:46" x14ac:dyDescent="0.25">
      <c r="A115" s="17" t="s">
        <v>1219</v>
      </c>
      <c r="B115" s="17" t="s">
        <v>1220</v>
      </c>
      <c r="G115" s="17" t="s">
        <v>1221</v>
      </c>
      <c r="H115" s="17" t="s">
        <v>1222</v>
      </c>
      <c r="M115" s="25" t="s">
        <v>1223</v>
      </c>
      <c r="N115" s="25" t="s">
        <v>1224</v>
      </c>
      <c r="S115" s="17" t="s">
        <v>1225</v>
      </c>
      <c r="T115" s="17" t="s">
        <v>1226</v>
      </c>
      <c r="AK115" s="17" t="s">
        <v>1174</v>
      </c>
      <c r="AL115" s="17" t="s">
        <v>2934</v>
      </c>
      <c r="AS115" s="26" t="s">
        <v>3310</v>
      </c>
      <c r="AT115" s="26" t="s">
        <v>3311</v>
      </c>
    </row>
    <row r="116" spans="1:46" x14ac:dyDescent="0.25">
      <c r="A116" s="17" t="s">
        <v>1228</v>
      </c>
      <c r="B116" s="17" t="s">
        <v>1229</v>
      </c>
      <c r="G116" s="17" t="s">
        <v>1230</v>
      </c>
      <c r="H116" s="17" t="s">
        <v>1231</v>
      </c>
      <c r="M116" s="25" t="s">
        <v>1232</v>
      </c>
      <c r="N116" s="25" t="s">
        <v>1233</v>
      </c>
      <c r="S116" s="17" t="s">
        <v>1234</v>
      </c>
      <c r="T116" s="17" t="s">
        <v>1235</v>
      </c>
      <c r="AK116" s="17" t="s">
        <v>1183</v>
      </c>
      <c r="AL116" s="17" t="s">
        <v>2935</v>
      </c>
      <c r="AS116" s="26" t="s">
        <v>3312</v>
      </c>
      <c r="AT116" s="26" t="s">
        <v>3313</v>
      </c>
    </row>
    <row r="117" spans="1:46" x14ac:dyDescent="0.25">
      <c r="A117" s="17" t="s">
        <v>1237</v>
      </c>
      <c r="B117" s="17" t="s">
        <v>1238</v>
      </c>
      <c r="G117" s="17" t="s">
        <v>1239</v>
      </c>
      <c r="H117" s="17" t="s">
        <v>1240</v>
      </c>
      <c r="M117" s="25" t="s">
        <v>1241</v>
      </c>
      <c r="N117" s="25" t="s">
        <v>1242</v>
      </c>
      <c r="S117" s="17" t="s">
        <v>1243</v>
      </c>
      <c r="T117" s="17" t="s">
        <v>1244</v>
      </c>
      <c r="AK117" s="17" t="s">
        <v>1192</v>
      </c>
      <c r="AL117" s="17" t="s">
        <v>2936</v>
      </c>
      <c r="AS117" s="26" t="s">
        <v>3314</v>
      </c>
      <c r="AT117" s="26" t="s">
        <v>3315</v>
      </c>
    </row>
    <row r="118" spans="1:46" x14ac:dyDescent="0.25">
      <c r="A118" s="17" t="s">
        <v>1246</v>
      </c>
      <c r="B118" s="17" t="s">
        <v>1247</v>
      </c>
      <c r="G118" s="17" t="s">
        <v>1248</v>
      </c>
      <c r="H118" s="17" t="s">
        <v>1249</v>
      </c>
      <c r="M118" s="25" t="s">
        <v>1250</v>
      </c>
      <c r="N118" s="25" t="s">
        <v>1251</v>
      </c>
      <c r="S118" s="17" t="s">
        <v>1252</v>
      </c>
      <c r="T118" s="17" t="s">
        <v>1253</v>
      </c>
      <c r="AK118" s="17" t="s">
        <v>1201</v>
      </c>
      <c r="AL118" s="17" t="s">
        <v>2937</v>
      </c>
      <c r="AS118" s="26" t="s">
        <v>3316</v>
      </c>
      <c r="AT118" s="26" t="s">
        <v>3317</v>
      </c>
    </row>
    <row r="119" spans="1:46" x14ac:dyDescent="0.25">
      <c r="A119" s="17" t="s">
        <v>1255</v>
      </c>
      <c r="B119" s="17" t="s">
        <v>1256</v>
      </c>
      <c r="G119" s="17" t="s">
        <v>1257</v>
      </c>
      <c r="H119" s="17" t="s">
        <v>1258</v>
      </c>
      <c r="M119" s="25" t="s">
        <v>1259</v>
      </c>
      <c r="N119" s="25" t="s">
        <v>1260</v>
      </c>
      <c r="S119" s="17" t="s">
        <v>1261</v>
      </c>
      <c r="T119" s="17" t="s">
        <v>1262</v>
      </c>
      <c r="AK119" s="17" t="s">
        <v>1210</v>
      </c>
      <c r="AL119" s="17" t="s">
        <v>2938</v>
      </c>
      <c r="AS119" s="26" t="s">
        <v>3278</v>
      </c>
      <c r="AT119" s="26" t="s">
        <v>3318</v>
      </c>
    </row>
    <row r="120" spans="1:46" x14ac:dyDescent="0.25">
      <c r="A120" s="17" t="s">
        <v>1264</v>
      </c>
      <c r="B120" s="17" t="s">
        <v>1265</v>
      </c>
      <c r="G120" s="17" t="s">
        <v>1266</v>
      </c>
      <c r="H120" s="17" t="s">
        <v>1267</v>
      </c>
      <c r="M120" s="25" t="s">
        <v>1268</v>
      </c>
      <c r="N120" s="25" t="s">
        <v>1269</v>
      </c>
      <c r="S120" s="17" t="s">
        <v>1270</v>
      </c>
      <c r="T120" s="17" t="s">
        <v>1271</v>
      </c>
      <c r="AK120" s="17" t="s">
        <v>1218</v>
      </c>
      <c r="AL120" s="17" t="s">
        <v>2939</v>
      </c>
      <c r="AS120" s="26" t="s">
        <v>3319</v>
      </c>
      <c r="AT120" s="26" t="s">
        <v>420</v>
      </c>
    </row>
    <row r="121" spans="1:46" x14ac:dyDescent="0.25">
      <c r="A121" s="17" t="s">
        <v>1273</v>
      </c>
      <c r="B121" s="17" t="s">
        <v>1274</v>
      </c>
      <c r="G121" s="17" t="s">
        <v>1275</v>
      </c>
      <c r="H121" s="17" t="s">
        <v>1276</v>
      </c>
      <c r="M121" s="25" t="s">
        <v>1277</v>
      </c>
      <c r="N121" s="25" t="s">
        <v>1278</v>
      </c>
      <c r="S121" s="17" t="s">
        <v>1279</v>
      </c>
      <c r="T121" s="17" t="s">
        <v>1280</v>
      </c>
      <c r="AK121" s="17" t="s">
        <v>1227</v>
      </c>
      <c r="AL121" s="17" t="s">
        <v>2940</v>
      </c>
      <c r="AS121" s="26" t="s">
        <v>3319</v>
      </c>
      <c r="AT121" s="26" t="s">
        <v>3320</v>
      </c>
    </row>
    <row r="122" spans="1:46" x14ac:dyDescent="0.25">
      <c r="A122" s="17" t="s">
        <v>1282</v>
      </c>
      <c r="B122" s="17" t="s">
        <v>1283</v>
      </c>
      <c r="G122" s="17" t="s">
        <v>1284</v>
      </c>
      <c r="H122" s="17" t="s">
        <v>1285</v>
      </c>
      <c r="M122" s="25" t="s">
        <v>1286</v>
      </c>
      <c r="N122" s="25" t="s">
        <v>1287</v>
      </c>
      <c r="S122" s="17" t="s">
        <v>1288</v>
      </c>
      <c r="T122" s="17" t="s">
        <v>1289</v>
      </c>
      <c r="AK122" s="17" t="s">
        <v>1236</v>
      </c>
      <c r="AL122" s="17" t="s">
        <v>2941</v>
      </c>
      <c r="AS122" s="26" t="s">
        <v>3321</v>
      </c>
      <c r="AT122" s="26" t="s">
        <v>3322</v>
      </c>
    </row>
    <row r="123" spans="1:46" x14ac:dyDescent="0.25">
      <c r="A123" s="17" t="s">
        <v>1291</v>
      </c>
      <c r="B123" s="17" t="s">
        <v>1292</v>
      </c>
      <c r="G123" s="17" t="s">
        <v>1293</v>
      </c>
      <c r="H123" s="17" t="s">
        <v>1294</v>
      </c>
      <c r="M123" s="25" t="s">
        <v>1295</v>
      </c>
      <c r="N123" s="25" t="s">
        <v>1296</v>
      </c>
      <c r="S123" s="17" t="s">
        <v>1297</v>
      </c>
      <c r="T123" s="17" t="s">
        <v>1298</v>
      </c>
      <c r="AK123" s="17" t="s">
        <v>1245</v>
      </c>
      <c r="AL123" s="17" t="s">
        <v>2942</v>
      </c>
      <c r="AS123" s="26" t="s">
        <v>3323</v>
      </c>
      <c r="AT123" s="26" t="s">
        <v>3324</v>
      </c>
    </row>
    <row r="124" spans="1:46" x14ac:dyDescent="0.25">
      <c r="A124" s="17" t="s">
        <v>1300</v>
      </c>
      <c r="B124" s="17" t="s">
        <v>1301</v>
      </c>
      <c r="G124" s="17" t="s">
        <v>1302</v>
      </c>
      <c r="H124" s="17" t="s">
        <v>1303</v>
      </c>
      <c r="M124" s="25" t="s">
        <v>1304</v>
      </c>
      <c r="N124" s="25" t="s">
        <v>1305</v>
      </c>
      <c r="S124" s="17" t="s">
        <v>1306</v>
      </c>
      <c r="T124" s="17" t="s">
        <v>1307</v>
      </c>
      <c r="AK124" s="17" t="s">
        <v>1254</v>
      </c>
      <c r="AL124" s="17" t="s">
        <v>2943</v>
      </c>
      <c r="AS124" s="26" t="s">
        <v>3325</v>
      </c>
      <c r="AT124" s="26" t="s">
        <v>3326</v>
      </c>
    </row>
    <row r="125" spans="1:46" x14ac:dyDescent="0.25">
      <c r="A125" s="17" t="s">
        <v>1309</v>
      </c>
      <c r="B125" s="17" t="s">
        <v>1310</v>
      </c>
      <c r="G125" s="17" t="s">
        <v>1311</v>
      </c>
      <c r="H125" s="17" t="s">
        <v>1312</v>
      </c>
      <c r="M125" s="25" t="s">
        <v>1313</v>
      </c>
      <c r="N125" s="25" t="s">
        <v>1314</v>
      </c>
      <c r="S125" s="17" t="s">
        <v>1315</v>
      </c>
      <c r="T125" s="17" t="s">
        <v>1316</v>
      </c>
      <c r="AK125" s="17" t="s">
        <v>1263</v>
      </c>
      <c r="AL125" s="17" t="s">
        <v>2944</v>
      </c>
      <c r="AS125" s="26" t="s">
        <v>3327</v>
      </c>
      <c r="AT125" s="26" t="s">
        <v>3328</v>
      </c>
    </row>
    <row r="126" spans="1:46" x14ac:dyDescent="0.25">
      <c r="A126" s="17" t="s">
        <v>1318</v>
      </c>
      <c r="B126" s="17" t="s">
        <v>1319</v>
      </c>
      <c r="G126" s="17" t="s">
        <v>1320</v>
      </c>
      <c r="H126" s="17" t="s">
        <v>1321</v>
      </c>
      <c r="M126" s="25" t="s">
        <v>1322</v>
      </c>
      <c r="N126" s="25" t="s">
        <v>1323</v>
      </c>
      <c r="S126" s="17" t="s">
        <v>1324</v>
      </c>
      <c r="T126" s="17" t="s">
        <v>1325</v>
      </c>
      <c r="AK126" s="17" t="s">
        <v>1272</v>
      </c>
      <c r="AL126" s="17" t="s">
        <v>2945</v>
      </c>
      <c r="AS126" s="26" t="s">
        <v>3329</v>
      </c>
      <c r="AT126" s="26" t="s">
        <v>3330</v>
      </c>
    </row>
    <row r="127" spans="1:46" x14ac:dyDescent="0.25">
      <c r="A127" s="17" t="s">
        <v>1327</v>
      </c>
      <c r="B127" s="17" t="s">
        <v>1328</v>
      </c>
      <c r="G127" s="17" t="s">
        <v>1329</v>
      </c>
      <c r="H127" s="17" t="s">
        <v>1330</v>
      </c>
      <c r="M127" s="25" t="s">
        <v>1331</v>
      </c>
      <c r="N127" s="25" t="s">
        <v>1332</v>
      </c>
      <c r="S127" s="17" t="s">
        <v>1333</v>
      </c>
      <c r="T127" s="17" t="s">
        <v>1334</v>
      </c>
      <c r="AK127" s="17" t="s">
        <v>1281</v>
      </c>
      <c r="AL127" s="17" t="s">
        <v>2946</v>
      </c>
      <c r="AS127" s="26" t="s">
        <v>3331</v>
      </c>
      <c r="AT127" s="26" t="s">
        <v>3332</v>
      </c>
    </row>
    <row r="128" spans="1:46" x14ac:dyDescent="0.25">
      <c r="A128" s="17" t="s">
        <v>1336</v>
      </c>
      <c r="B128" s="17" t="s">
        <v>1337</v>
      </c>
      <c r="G128" s="17" t="s">
        <v>1338</v>
      </c>
      <c r="H128" s="17" t="s">
        <v>1339</v>
      </c>
      <c r="M128" s="25" t="s">
        <v>1340</v>
      </c>
      <c r="N128" s="25" t="s">
        <v>1341</v>
      </c>
      <c r="S128" s="17" t="s">
        <v>1342</v>
      </c>
      <c r="T128" s="17" t="s">
        <v>1343</v>
      </c>
      <c r="AK128" s="17" t="s">
        <v>1290</v>
      </c>
      <c r="AL128" s="17" t="s">
        <v>2947</v>
      </c>
      <c r="AS128" s="26" t="s">
        <v>3333</v>
      </c>
      <c r="AT128" s="26" t="s">
        <v>3334</v>
      </c>
    </row>
    <row r="129" spans="1:46" x14ac:dyDescent="0.25">
      <c r="A129" s="17" t="s">
        <v>1345</v>
      </c>
      <c r="B129" s="17" t="s">
        <v>1346</v>
      </c>
      <c r="G129" s="17" t="s">
        <v>1347</v>
      </c>
      <c r="H129" s="17" t="s">
        <v>1348</v>
      </c>
      <c r="M129" s="25" t="s">
        <v>1349</v>
      </c>
      <c r="N129" s="25" t="s">
        <v>1350</v>
      </c>
      <c r="S129" s="17" t="s">
        <v>1351</v>
      </c>
      <c r="T129" s="17" t="s">
        <v>1352</v>
      </c>
      <c r="AK129" s="17" t="s">
        <v>1299</v>
      </c>
      <c r="AL129" s="17" t="s">
        <v>2948</v>
      </c>
      <c r="AS129" s="26" t="s">
        <v>3335</v>
      </c>
      <c r="AT129" s="26" t="s">
        <v>3336</v>
      </c>
    </row>
    <row r="130" spans="1:46" x14ac:dyDescent="0.25">
      <c r="A130" s="17" t="s">
        <v>1354</v>
      </c>
      <c r="B130" s="17" t="s">
        <v>1355</v>
      </c>
      <c r="G130" s="17" t="s">
        <v>1356</v>
      </c>
      <c r="H130" s="17" t="s">
        <v>1357</v>
      </c>
      <c r="M130" s="25" t="s">
        <v>1358</v>
      </c>
      <c r="N130" s="25" t="s">
        <v>1359</v>
      </c>
      <c r="S130" s="17" t="s">
        <v>1360</v>
      </c>
      <c r="T130" s="17" t="s">
        <v>1361</v>
      </c>
      <c r="AK130" s="17" t="s">
        <v>1308</v>
      </c>
      <c r="AL130" s="17" t="s">
        <v>2949</v>
      </c>
      <c r="AS130" s="26" t="s">
        <v>3337</v>
      </c>
      <c r="AT130" s="26" t="s">
        <v>3338</v>
      </c>
    </row>
    <row r="131" spans="1:46" x14ac:dyDescent="0.25">
      <c r="A131" s="17" t="s">
        <v>1363</v>
      </c>
      <c r="B131" s="17" t="s">
        <v>1364</v>
      </c>
      <c r="G131" s="17" t="s">
        <v>1365</v>
      </c>
      <c r="H131" s="17" t="s">
        <v>1366</v>
      </c>
      <c r="M131" s="25" t="s">
        <v>1367</v>
      </c>
      <c r="N131" s="25" t="s">
        <v>1368</v>
      </c>
      <c r="S131" s="17" t="s">
        <v>1369</v>
      </c>
      <c r="T131" s="17" t="s">
        <v>1370</v>
      </c>
      <c r="AK131" s="17" t="s">
        <v>1317</v>
      </c>
      <c r="AL131" s="17" t="s">
        <v>2950</v>
      </c>
      <c r="AS131" s="26" t="s">
        <v>3339</v>
      </c>
      <c r="AT131" s="26" t="s">
        <v>3340</v>
      </c>
    </row>
    <row r="132" spans="1:46" x14ac:dyDescent="0.25">
      <c r="A132" s="17" t="s">
        <v>1372</v>
      </c>
      <c r="B132" s="17" t="s">
        <v>1373</v>
      </c>
      <c r="G132" s="17" t="s">
        <v>1374</v>
      </c>
      <c r="H132" s="17" t="s">
        <v>1375</v>
      </c>
      <c r="M132" s="25" t="s">
        <v>1376</v>
      </c>
      <c r="N132" s="25" t="s">
        <v>1377</v>
      </c>
      <c r="S132" s="17" t="s">
        <v>1378</v>
      </c>
      <c r="T132" s="17" t="s">
        <v>1379</v>
      </c>
      <c r="AK132" s="17" t="s">
        <v>1326</v>
      </c>
      <c r="AL132" s="17" t="s">
        <v>2951</v>
      </c>
      <c r="AS132" s="26" t="s">
        <v>3341</v>
      </c>
      <c r="AT132" s="26" t="s">
        <v>3341</v>
      </c>
    </row>
    <row r="133" spans="1:46" x14ac:dyDescent="0.25">
      <c r="A133" s="17" t="s">
        <v>1381</v>
      </c>
      <c r="B133" s="17" t="s">
        <v>1382</v>
      </c>
      <c r="G133" s="17" t="s">
        <v>1383</v>
      </c>
      <c r="H133" s="17" t="s">
        <v>1384</v>
      </c>
      <c r="M133" s="25" t="s">
        <v>1385</v>
      </c>
      <c r="N133" s="25" t="s">
        <v>1386</v>
      </c>
      <c r="S133" s="17" t="s">
        <v>1387</v>
      </c>
      <c r="T133" s="17" t="s">
        <v>1388</v>
      </c>
      <c r="AK133" s="17" t="s">
        <v>1335</v>
      </c>
      <c r="AL133" s="17" t="s">
        <v>2952</v>
      </c>
      <c r="AS133" s="26" t="s">
        <v>3342</v>
      </c>
      <c r="AT133" s="26" t="s">
        <v>3343</v>
      </c>
    </row>
    <row r="134" spans="1:46" x14ac:dyDescent="0.25">
      <c r="A134" s="17" t="s">
        <v>1390</v>
      </c>
      <c r="B134" s="17" t="s">
        <v>1391</v>
      </c>
      <c r="G134" s="17" t="s">
        <v>1392</v>
      </c>
      <c r="H134" s="17" t="s">
        <v>1393</v>
      </c>
      <c r="M134" s="25" t="s">
        <v>1394</v>
      </c>
      <c r="N134" s="25" t="s">
        <v>1395</v>
      </c>
      <c r="S134" s="17" t="s">
        <v>1396</v>
      </c>
      <c r="T134" s="17" t="s">
        <v>1397</v>
      </c>
      <c r="AK134" s="17" t="s">
        <v>1344</v>
      </c>
      <c r="AL134" s="17" t="s">
        <v>2953</v>
      </c>
      <c r="AS134" s="26" t="s">
        <v>3344</v>
      </c>
      <c r="AT134" s="26" t="s">
        <v>3345</v>
      </c>
    </row>
    <row r="135" spans="1:46" x14ac:dyDescent="0.25">
      <c r="A135" s="17" t="s">
        <v>1399</v>
      </c>
      <c r="B135" s="17" t="s">
        <v>1400</v>
      </c>
      <c r="G135" s="17" t="s">
        <v>1401</v>
      </c>
      <c r="H135" s="17" t="s">
        <v>1402</v>
      </c>
      <c r="M135" s="25" t="s">
        <v>1403</v>
      </c>
      <c r="N135" s="25" t="s">
        <v>1404</v>
      </c>
      <c r="S135" s="17" t="s">
        <v>1405</v>
      </c>
      <c r="T135" s="17" t="s">
        <v>1406</v>
      </c>
      <c r="AK135" s="17" t="s">
        <v>1353</v>
      </c>
      <c r="AL135" s="17" t="s">
        <v>2954</v>
      </c>
      <c r="AS135" s="26" t="s">
        <v>3346</v>
      </c>
      <c r="AT135" s="26" t="s">
        <v>3347</v>
      </c>
    </row>
    <row r="136" spans="1:46" x14ac:dyDescent="0.25">
      <c r="A136" s="17" t="s">
        <v>1408</v>
      </c>
      <c r="B136" s="17" t="s">
        <v>1409</v>
      </c>
      <c r="G136" s="17" t="s">
        <v>1410</v>
      </c>
      <c r="H136" s="17" t="s">
        <v>1411</v>
      </c>
      <c r="M136" s="25" t="s">
        <v>1412</v>
      </c>
      <c r="N136" s="25" t="s">
        <v>1413</v>
      </c>
      <c r="S136" s="17" t="s">
        <v>1414</v>
      </c>
      <c r="T136" s="17" t="s">
        <v>1415</v>
      </c>
      <c r="AK136" s="17" t="s">
        <v>1362</v>
      </c>
      <c r="AL136" s="17" t="s">
        <v>2955</v>
      </c>
      <c r="AS136" s="26" t="s">
        <v>3348</v>
      </c>
      <c r="AT136" s="26" t="s">
        <v>3349</v>
      </c>
    </row>
    <row r="137" spans="1:46" x14ac:dyDescent="0.25">
      <c r="A137" s="17" t="s">
        <v>1417</v>
      </c>
      <c r="B137" s="17" t="s">
        <v>1418</v>
      </c>
      <c r="G137" s="17" t="s">
        <v>1419</v>
      </c>
      <c r="H137" s="17" t="s">
        <v>1420</v>
      </c>
      <c r="M137" s="25" t="s">
        <v>1421</v>
      </c>
      <c r="N137" s="25" t="s">
        <v>1422</v>
      </c>
      <c r="S137" s="17" t="s">
        <v>1423</v>
      </c>
      <c r="T137" s="17" t="s">
        <v>1424</v>
      </c>
      <c r="AK137" s="17" t="s">
        <v>1371</v>
      </c>
      <c r="AL137" s="17" t="s">
        <v>2956</v>
      </c>
      <c r="AS137" s="26" t="s">
        <v>3350</v>
      </c>
      <c r="AT137" s="26" t="s">
        <v>3351</v>
      </c>
    </row>
    <row r="138" spans="1:46" x14ac:dyDescent="0.25">
      <c r="A138" s="17" t="s">
        <v>1426</v>
      </c>
      <c r="B138" s="17" t="s">
        <v>1427</v>
      </c>
      <c r="G138" s="17" t="s">
        <v>1428</v>
      </c>
      <c r="H138" s="17" t="s">
        <v>1429</v>
      </c>
      <c r="M138" s="25" t="s">
        <v>1430</v>
      </c>
      <c r="N138" s="25" t="s">
        <v>1431</v>
      </c>
      <c r="S138" s="17" t="s">
        <v>1432</v>
      </c>
      <c r="T138" s="17" t="s">
        <v>1433</v>
      </c>
      <c r="AK138" s="17" t="s">
        <v>1380</v>
      </c>
      <c r="AL138" s="17" t="s">
        <v>2957</v>
      </c>
      <c r="AS138" s="26" t="s">
        <v>3352</v>
      </c>
      <c r="AT138" s="26" t="s">
        <v>3353</v>
      </c>
    </row>
    <row r="139" spans="1:46" x14ac:dyDescent="0.25">
      <c r="A139" s="17" t="s">
        <v>1435</v>
      </c>
      <c r="B139" s="17" t="s">
        <v>1436</v>
      </c>
      <c r="G139" s="17" t="s">
        <v>1437</v>
      </c>
      <c r="H139" s="17" t="s">
        <v>1438</v>
      </c>
      <c r="M139" s="25" t="s">
        <v>1439</v>
      </c>
      <c r="N139" s="25" t="s">
        <v>1440</v>
      </c>
      <c r="S139" s="17" t="s">
        <v>1441</v>
      </c>
      <c r="T139" s="17" t="s">
        <v>1442</v>
      </c>
      <c r="AK139" s="17" t="s">
        <v>1389</v>
      </c>
      <c r="AL139" s="17" t="s">
        <v>2958</v>
      </c>
      <c r="AS139" s="26" t="s">
        <v>3354</v>
      </c>
      <c r="AT139" s="26" t="s">
        <v>3355</v>
      </c>
    </row>
    <row r="140" spans="1:46" x14ac:dyDescent="0.25">
      <c r="A140" s="17" t="s">
        <v>1444</v>
      </c>
      <c r="B140" s="17" t="s">
        <v>1445</v>
      </c>
      <c r="G140" s="17" t="s">
        <v>1446</v>
      </c>
      <c r="H140" s="17" t="s">
        <v>1447</v>
      </c>
      <c r="M140" s="25" t="s">
        <v>1448</v>
      </c>
      <c r="N140" s="25" t="s">
        <v>1449</v>
      </c>
      <c r="S140" s="17" t="s">
        <v>1450</v>
      </c>
      <c r="T140" s="17" t="s">
        <v>1451</v>
      </c>
      <c r="AK140" s="17" t="s">
        <v>1398</v>
      </c>
      <c r="AL140" s="17" t="s">
        <v>2959</v>
      </c>
      <c r="AS140" s="26" t="s">
        <v>3356</v>
      </c>
      <c r="AT140" s="26" t="s">
        <v>3357</v>
      </c>
    </row>
    <row r="141" spans="1:46" x14ac:dyDescent="0.25">
      <c r="A141" s="17" t="s">
        <v>1453</v>
      </c>
      <c r="B141" s="17" t="s">
        <v>1454</v>
      </c>
      <c r="G141" s="17" t="s">
        <v>1455</v>
      </c>
      <c r="H141" s="17" t="s">
        <v>1456</v>
      </c>
      <c r="M141" s="25" t="s">
        <v>1457</v>
      </c>
      <c r="N141" s="25" t="s">
        <v>1458</v>
      </c>
      <c r="S141" s="17" t="s">
        <v>1459</v>
      </c>
      <c r="T141" s="17" t="s">
        <v>1460</v>
      </c>
      <c r="AK141" s="17" t="s">
        <v>1407</v>
      </c>
      <c r="AL141" s="17" t="s">
        <v>2960</v>
      </c>
      <c r="AS141" s="26" t="s">
        <v>3358</v>
      </c>
      <c r="AT141" s="26" t="s">
        <v>3359</v>
      </c>
    </row>
    <row r="142" spans="1:46" x14ac:dyDescent="0.25">
      <c r="A142" s="17" t="s">
        <v>1462</v>
      </c>
      <c r="B142" s="17" t="s">
        <v>1463</v>
      </c>
      <c r="G142" s="17" t="s">
        <v>1464</v>
      </c>
      <c r="H142" s="17" t="s">
        <v>1465</v>
      </c>
      <c r="M142" s="25" t="s">
        <v>1466</v>
      </c>
      <c r="N142" s="25" t="s">
        <v>1467</v>
      </c>
      <c r="S142" s="17" t="s">
        <v>1468</v>
      </c>
      <c r="T142" s="17" t="s">
        <v>1469</v>
      </c>
      <c r="AK142" s="17" t="s">
        <v>1416</v>
      </c>
      <c r="AL142" s="17" t="s">
        <v>2961</v>
      </c>
      <c r="AS142" s="26" t="s">
        <v>3360</v>
      </c>
      <c r="AT142" s="26" t="s">
        <v>1292</v>
      </c>
    </row>
    <row r="143" spans="1:46" x14ac:dyDescent="0.25">
      <c r="A143" s="17" t="s">
        <v>1471</v>
      </c>
      <c r="B143" s="17" t="s">
        <v>1472</v>
      </c>
      <c r="G143" s="17" t="s">
        <v>1473</v>
      </c>
      <c r="H143" s="17" t="s">
        <v>1474</v>
      </c>
      <c r="M143" s="25" t="s">
        <v>1475</v>
      </c>
      <c r="N143" s="25" t="s">
        <v>1476</v>
      </c>
      <c r="S143" s="17" t="s">
        <v>1477</v>
      </c>
      <c r="T143" s="17" t="s">
        <v>1478</v>
      </c>
      <c r="AK143" s="17" t="s">
        <v>1425</v>
      </c>
      <c r="AL143" s="17" t="s">
        <v>2962</v>
      </c>
      <c r="AS143" s="26" t="s">
        <v>3361</v>
      </c>
      <c r="AT143" s="26" t="s">
        <v>3362</v>
      </c>
    </row>
    <row r="144" spans="1:46" x14ac:dyDescent="0.25">
      <c r="A144" s="17" t="s">
        <v>1480</v>
      </c>
      <c r="B144" s="17" t="s">
        <v>1481</v>
      </c>
      <c r="G144" s="17" t="s">
        <v>1482</v>
      </c>
      <c r="H144" s="17" t="s">
        <v>1483</v>
      </c>
      <c r="M144" s="25" t="s">
        <v>1484</v>
      </c>
      <c r="N144" s="25" t="s">
        <v>1485</v>
      </c>
      <c r="S144" s="17" t="s">
        <v>1486</v>
      </c>
      <c r="T144" s="17" t="s">
        <v>1487</v>
      </c>
      <c r="AK144" s="17" t="s">
        <v>1434</v>
      </c>
      <c r="AL144" s="17" t="s">
        <v>2963</v>
      </c>
      <c r="AS144" s="26" t="s">
        <v>3363</v>
      </c>
      <c r="AT144" s="26" t="s">
        <v>3363</v>
      </c>
    </row>
    <row r="145" spans="1:46" x14ac:dyDescent="0.25">
      <c r="A145" s="17" t="s">
        <v>1489</v>
      </c>
      <c r="B145" s="17" t="s">
        <v>1490</v>
      </c>
      <c r="G145" s="17" t="s">
        <v>1491</v>
      </c>
      <c r="H145" s="17" t="s">
        <v>1492</v>
      </c>
      <c r="M145" s="25" t="s">
        <v>1493</v>
      </c>
      <c r="N145" s="25" t="s">
        <v>1494</v>
      </c>
      <c r="S145" s="17" t="s">
        <v>1495</v>
      </c>
      <c r="T145" s="17" t="s">
        <v>1496</v>
      </c>
      <c r="AK145" s="17" t="s">
        <v>1443</v>
      </c>
      <c r="AL145" s="17" t="s">
        <v>2964</v>
      </c>
      <c r="AS145" s="26" t="s">
        <v>3364</v>
      </c>
      <c r="AT145" s="26" t="s">
        <v>3365</v>
      </c>
    </row>
    <row r="146" spans="1:46" x14ac:dyDescent="0.25">
      <c r="A146" s="17" t="s">
        <v>1498</v>
      </c>
      <c r="B146" s="17" t="s">
        <v>1499</v>
      </c>
      <c r="G146" s="17" t="s">
        <v>1500</v>
      </c>
      <c r="H146" s="17" t="s">
        <v>1501</v>
      </c>
      <c r="M146" s="25" t="s">
        <v>1502</v>
      </c>
      <c r="N146" s="25" t="s">
        <v>1503</v>
      </c>
      <c r="S146" s="17" t="s">
        <v>1504</v>
      </c>
      <c r="T146" s="17" t="s">
        <v>1505</v>
      </c>
      <c r="AK146" s="17" t="s">
        <v>1452</v>
      </c>
      <c r="AL146" s="17" t="s">
        <v>2965</v>
      </c>
      <c r="AS146" s="26" t="s">
        <v>3051</v>
      </c>
      <c r="AT146" s="26" t="s">
        <v>3366</v>
      </c>
    </row>
    <row r="147" spans="1:46" x14ac:dyDescent="0.25">
      <c r="A147" s="17" t="s">
        <v>1507</v>
      </c>
      <c r="B147" s="17" t="s">
        <v>1508</v>
      </c>
      <c r="G147" s="17" t="s">
        <v>1509</v>
      </c>
      <c r="H147" s="17" t="s">
        <v>1510</v>
      </c>
      <c r="M147" s="25" t="s">
        <v>1511</v>
      </c>
      <c r="N147" s="25" t="s">
        <v>1512</v>
      </c>
      <c r="S147" s="17" t="s">
        <v>1513</v>
      </c>
      <c r="T147" s="17" t="s">
        <v>1514</v>
      </c>
      <c r="AK147" s="17" t="s">
        <v>1461</v>
      </c>
      <c r="AL147" s="17" t="s">
        <v>2966</v>
      </c>
      <c r="AS147" s="26" t="s">
        <v>3367</v>
      </c>
      <c r="AT147" s="26" t="s">
        <v>3367</v>
      </c>
    </row>
    <row r="148" spans="1:46" x14ac:dyDescent="0.25">
      <c r="A148" s="17" t="s">
        <v>1516</v>
      </c>
      <c r="B148" s="17" t="s">
        <v>1517</v>
      </c>
      <c r="G148" s="17" t="s">
        <v>1518</v>
      </c>
      <c r="H148" s="17" t="s">
        <v>1519</v>
      </c>
      <c r="M148" s="25" t="s">
        <v>1520</v>
      </c>
      <c r="N148" s="25" t="s">
        <v>1521</v>
      </c>
      <c r="S148" s="17" t="s">
        <v>1522</v>
      </c>
      <c r="T148" s="17" t="s">
        <v>1523</v>
      </c>
      <c r="AK148" s="17" t="s">
        <v>1470</v>
      </c>
      <c r="AL148" s="17" t="s">
        <v>2967</v>
      </c>
    </row>
    <row r="149" spans="1:46" x14ac:dyDescent="0.25">
      <c r="A149" s="17" t="s">
        <v>1525</v>
      </c>
      <c r="B149" s="17" t="s">
        <v>1526</v>
      </c>
      <c r="G149" s="17" t="s">
        <v>1527</v>
      </c>
      <c r="H149" s="17" t="s">
        <v>1528</v>
      </c>
      <c r="M149" s="25" t="s">
        <v>1529</v>
      </c>
      <c r="N149" s="25" t="s">
        <v>1530</v>
      </c>
      <c r="S149" s="17" t="s">
        <v>1531</v>
      </c>
      <c r="T149" s="17" t="s">
        <v>1532</v>
      </c>
      <c r="AK149" s="17" t="s">
        <v>1479</v>
      </c>
      <c r="AL149" s="17" t="s">
        <v>2968</v>
      </c>
    </row>
    <row r="150" spans="1:46" x14ac:dyDescent="0.25">
      <c r="A150" s="17" t="s">
        <v>1534</v>
      </c>
      <c r="B150" s="17" t="s">
        <v>1535</v>
      </c>
      <c r="G150" s="17" t="s">
        <v>1536</v>
      </c>
      <c r="H150" s="17" t="s">
        <v>1537</v>
      </c>
      <c r="M150" s="25" t="s">
        <v>1538</v>
      </c>
      <c r="N150" s="25" t="s">
        <v>1539</v>
      </c>
      <c r="S150" s="17" t="s">
        <v>1540</v>
      </c>
      <c r="T150" s="17" t="s">
        <v>1541</v>
      </c>
      <c r="AK150" s="17" t="s">
        <v>1488</v>
      </c>
      <c r="AL150" s="17" t="s">
        <v>2969</v>
      </c>
    </row>
    <row r="151" spans="1:46" x14ac:dyDescent="0.25">
      <c r="A151" s="17" t="s">
        <v>1543</v>
      </c>
      <c r="B151" s="17" t="s">
        <v>1544</v>
      </c>
      <c r="G151" s="17" t="s">
        <v>1545</v>
      </c>
      <c r="H151" s="17" t="s">
        <v>1546</v>
      </c>
      <c r="M151" s="25" t="s">
        <v>1547</v>
      </c>
      <c r="N151" s="25" t="s">
        <v>1548</v>
      </c>
      <c r="S151" s="17" t="s">
        <v>1549</v>
      </c>
      <c r="T151" s="17" t="s">
        <v>1550</v>
      </c>
      <c r="AK151" s="17" t="s">
        <v>1497</v>
      </c>
      <c r="AL151" s="17" t="s">
        <v>2970</v>
      </c>
    </row>
    <row r="152" spans="1:46" x14ac:dyDescent="0.25">
      <c r="A152" s="17" t="s">
        <v>1552</v>
      </c>
      <c r="B152" s="17" t="s">
        <v>1553</v>
      </c>
      <c r="G152" s="17" t="s">
        <v>1554</v>
      </c>
      <c r="H152" s="17" t="s">
        <v>1555</v>
      </c>
      <c r="M152" s="25" t="s">
        <v>1556</v>
      </c>
      <c r="N152" s="25" t="s">
        <v>1557</v>
      </c>
      <c r="S152" s="17" t="s">
        <v>1558</v>
      </c>
      <c r="T152" s="17" t="s">
        <v>1559</v>
      </c>
      <c r="AK152" s="17" t="s">
        <v>1506</v>
      </c>
      <c r="AL152" s="17" t="s">
        <v>2971</v>
      </c>
    </row>
    <row r="153" spans="1:46" x14ac:dyDescent="0.25">
      <c r="A153" s="17" t="s">
        <v>1561</v>
      </c>
      <c r="B153" s="17" t="s">
        <v>1562</v>
      </c>
      <c r="G153" s="17" t="s">
        <v>1563</v>
      </c>
      <c r="H153" s="17" t="s">
        <v>1564</v>
      </c>
      <c r="M153" s="25" t="s">
        <v>1565</v>
      </c>
      <c r="N153" s="25" t="s">
        <v>1566</v>
      </c>
      <c r="S153" s="17" t="s">
        <v>1567</v>
      </c>
      <c r="T153" s="17" t="s">
        <v>1568</v>
      </c>
      <c r="AK153" s="17" t="s">
        <v>1515</v>
      </c>
      <c r="AL153" s="17" t="s">
        <v>2972</v>
      </c>
    </row>
    <row r="154" spans="1:46" x14ac:dyDescent="0.25">
      <c r="A154" s="17" t="s">
        <v>1569</v>
      </c>
      <c r="B154" s="17" t="s">
        <v>1570</v>
      </c>
      <c r="G154" s="17" t="s">
        <v>1571</v>
      </c>
      <c r="H154" s="17" t="s">
        <v>1572</v>
      </c>
      <c r="M154" s="25" t="s">
        <v>1573</v>
      </c>
      <c r="N154" s="25" t="s">
        <v>1574</v>
      </c>
      <c r="S154" s="17" t="s">
        <v>1575</v>
      </c>
      <c r="T154" s="17" t="s">
        <v>1576</v>
      </c>
      <c r="AK154" s="17" t="s">
        <v>1524</v>
      </c>
      <c r="AL154" s="17" t="s">
        <v>1296</v>
      </c>
    </row>
    <row r="155" spans="1:46" x14ac:dyDescent="0.25">
      <c r="A155" s="17" t="s">
        <v>1578</v>
      </c>
      <c r="B155" s="17" t="s">
        <v>1579</v>
      </c>
      <c r="G155" s="17" t="s">
        <v>1580</v>
      </c>
      <c r="H155" s="17" t="s">
        <v>1581</v>
      </c>
      <c r="M155" s="25" t="s">
        <v>1582</v>
      </c>
      <c r="N155" s="25" t="s">
        <v>1583</v>
      </c>
      <c r="S155" s="17" t="s">
        <v>1584</v>
      </c>
      <c r="T155" s="17" t="s">
        <v>1585</v>
      </c>
      <c r="AK155" s="17" t="s">
        <v>1533</v>
      </c>
      <c r="AL155" s="17" t="s">
        <v>1377</v>
      </c>
    </row>
    <row r="156" spans="1:46" x14ac:dyDescent="0.25">
      <c r="A156" s="17" t="s">
        <v>1587</v>
      </c>
      <c r="B156" s="17" t="s">
        <v>1588</v>
      </c>
      <c r="G156" s="17" t="s">
        <v>1589</v>
      </c>
      <c r="H156" s="17" t="s">
        <v>1590</v>
      </c>
      <c r="M156" s="25" t="s">
        <v>1591</v>
      </c>
      <c r="N156" s="25" t="s">
        <v>1592</v>
      </c>
      <c r="S156" s="17" t="s">
        <v>1593</v>
      </c>
      <c r="T156" s="17" t="s">
        <v>1594</v>
      </c>
      <c r="AK156" s="17" t="s">
        <v>1542</v>
      </c>
      <c r="AL156" s="17" t="s">
        <v>1332</v>
      </c>
    </row>
    <row r="157" spans="1:46" x14ac:dyDescent="0.25">
      <c r="A157" s="17" t="s">
        <v>1596</v>
      </c>
      <c r="B157" s="17" t="s">
        <v>1597</v>
      </c>
      <c r="G157" s="17" t="s">
        <v>1598</v>
      </c>
      <c r="H157" s="17" t="s">
        <v>1599</v>
      </c>
      <c r="M157" s="25" t="s">
        <v>1600</v>
      </c>
      <c r="N157" s="25" t="s">
        <v>1601</v>
      </c>
      <c r="S157" s="17" t="s">
        <v>1602</v>
      </c>
      <c r="T157" s="17" t="s">
        <v>1603</v>
      </c>
      <c r="AK157" s="17" t="s">
        <v>1551</v>
      </c>
      <c r="AL157" s="17" t="s">
        <v>2973</v>
      </c>
    </row>
    <row r="158" spans="1:46" x14ac:dyDescent="0.25">
      <c r="A158" s="17" t="s">
        <v>1605</v>
      </c>
      <c r="B158" s="17" t="s">
        <v>1606</v>
      </c>
      <c r="G158" s="17" t="s">
        <v>1607</v>
      </c>
      <c r="H158" s="17" t="s">
        <v>1608</v>
      </c>
      <c r="M158" s="25" t="s">
        <v>1609</v>
      </c>
      <c r="N158" s="25" t="s">
        <v>1610</v>
      </c>
      <c r="S158" s="17" t="s">
        <v>1611</v>
      </c>
      <c r="T158" s="17" t="s">
        <v>1612</v>
      </c>
      <c r="AK158" s="17" t="s">
        <v>1560</v>
      </c>
      <c r="AL158" s="17" t="s">
        <v>2974</v>
      </c>
    </row>
    <row r="159" spans="1:46" x14ac:dyDescent="0.25">
      <c r="A159" s="17" t="s">
        <v>1614</v>
      </c>
      <c r="B159" s="17" t="s">
        <v>1615</v>
      </c>
      <c r="G159" s="17" t="s">
        <v>1616</v>
      </c>
      <c r="H159" s="17" t="s">
        <v>1617</v>
      </c>
      <c r="M159" s="25" t="s">
        <v>1618</v>
      </c>
      <c r="N159" s="25" t="s">
        <v>1619</v>
      </c>
      <c r="S159" s="17" t="s">
        <v>1620</v>
      </c>
      <c r="T159" s="17" t="s">
        <v>1621</v>
      </c>
      <c r="AK159" s="17" t="s">
        <v>1551</v>
      </c>
      <c r="AL159" s="17" t="s">
        <v>1700</v>
      </c>
    </row>
    <row r="160" spans="1:46" x14ac:dyDescent="0.25">
      <c r="A160" s="17" t="s">
        <v>1623</v>
      </c>
      <c r="B160" s="17" t="s">
        <v>1624</v>
      </c>
      <c r="G160" s="17" t="s">
        <v>1625</v>
      </c>
      <c r="H160" s="17" t="s">
        <v>1626</v>
      </c>
      <c r="M160" s="25" t="s">
        <v>1627</v>
      </c>
      <c r="N160" s="25" t="s">
        <v>1628</v>
      </c>
      <c r="S160" s="17" t="s">
        <v>1629</v>
      </c>
      <c r="T160" s="17" t="s">
        <v>1630</v>
      </c>
      <c r="AK160" s="17" t="s">
        <v>1577</v>
      </c>
      <c r="AL160" s="17" t="s">
        <v>1714</v>
      </c>
    </row>
    <row r="161" spans="1:38" x14ac:dyDescent="0.25">
      <c r="A161" s="17" t="s">
        <v>1632</v>
      </c>
      <c r="B161" s="17" t="s">
        <v>1633</v>
      </c>
      <c r="G161" s="17" t="s">
        <v>1634</v>
      </c>
      <c r="H161" s="17" t="s">
        <v>1635</v>
      </c>
      <c r="M161" s="25" t="s">
        <v>1636</v>
      </c>
      <c r="N161" s="25" t="s">
        <v>1637</v>
      </c>
      <c r="S161" s="17" t="s">
        <v>1638</v>
      </c>
      <c r="T161" s="17" t="s">
        <v>1639</v>
      </c>
      <c r="AK161" s="17" t="s">
        <v>1586</v>
      </c>
      <c r="AL161" s="17" t="s">
        <v>2975</v>
      </c>
    </row>
    <row r="162" spans="1:38" x14ac:dyDescent="0.25">
      <c r="A162" s="17" t="s">
        <v>1641</v>
      </c>
      <c r="B162" s="17" t="s">
        <v>1642</v>
      </c>
      <c r="G162" s="17" t="s">
        <v>1643</v>
      </c>
      <c r="H162" s="17" t="s">
        <v>1644</v>
      </c>
      <c r="M162" s="25" t="s">
        <v>1645</v>
      </c>
      <c r="N162" s="25" t="s">
        <v>1646</v>
      </c>
      <c r="S162" s="17" t="s">
        <v>1647</v>
      </c>
      <c r="T162" s="17" t="s">
        <v>1648</v>
      </c>
      <c r="AK162" s="17" t="s">
        <v>1595</v>
      </c>
      <c r="AL162" s="17" t="s">
        <v>2976</v>
      </c>
    </row>
    <row r="163" spans="1:38" x14ac:dyDescent="0.25">
      <c r="A163" s="17" t="s">
        <v>1650</v>
      </c>
      <c r="B163" s="17" t="s">
        <v>1651</v>
      </c>
      <c r="G163" s="17" t="s">
        <v>1652</v>
      </c>
      <c r="H163" s="17" t="s">
        <v>1653</v>
      </c>
      <c r="M163" s="25" t="s">
        <v>1654</v>
      </c>
      <c r="N163" s="25" t="s">
        <v>1655</v>
      </c>
      <c r="S163" s="17" t="s">
        <v>1656</v>
      </c>
      <c r="T163" s="17" t="s">
        <v>1657</v>
      </c>
      <c r="AK163" s="17" t="s">
        <v>1604</v>
      </c>
      <c r="AL163" s="17" t="s">
        <v>2977</v>
      </c>
    </row>
    <row r="164" spans="1:38" x14ac:dyDescent="0.25">
      <c r="A164" s="17" t="s">
        <v>1659</v>
      </c>
      <c r="B164" s="17" t="s">
        <v>1660</v>
      </c>
      <c r="G164" s="17" t="s">
        <v>1661</v>
      </c>
      <c r="H164" s="17" t="s">
        <v>1662</v>
      </c>
      <c r="M164" s="25" t="s">
        <v>1663</v>
      </c>
      <c r="N164" s="25" t="s">
        <v>1664</v>
      </c>
      <c r="S164" s="17" t="s">
        <v>1665</v>
      </c>
      <c r="T164" s="17" t="s">
        <v>1666</v>
      </c>
      <c r="AK164" s="17" t="s">
        <v>1613</v>
      </c>
      <c r="AL164" s="17" t="s">
        <v>2978</v>
      </c>
    </row>
    <row r="165" spans="1:38" x14ac:dyDescent="0.25">
      <c r="A165" s="17" t="s">
        <v>1668</v>
      </c>
      <c r="B165" s="17" t="s">
        <v>1669</v>
      </c>
      <c r="G165" s="17" t="s">
        <v>1670</v>
      </c>
      <c r="H165" s="17" t="s">
        <v>1671</v>
      </c>
      <c r="M165" s="25" t="s">
        <v>1672</v>
      </c>
      <c r="N165" s="25" t="s">
        <v>1673</v>
      </c>
      <c r="S165" s="17" t="s">
        <v>1674</v>
      </c>
      <c r="T165" s="17" t="s">
        <v>1675</v>
      </c>
      <c r="AK165" s="17" t="s">
        <v>1622</v>
      </c>
      <c r="AL165" s="17" t="s">
        <v>334</v>
      </c>
    </row>
    <row r="166" spans="1:38" x14ac:dyDescent="0.25">
      <c r="A166" s="17" t="s">
        <v>1677</v>
      </c>
      <c r="B166" s="17" t="s">
        <v>1678</v>
      </c>
      <c r="G166" s="17" t="s">
        <v>1679</v>
      </c>
      <c r="H166" s="17" t="s">
        <v>1680</v>
      </c>
      <c r="M166" s="25" t="s">
        <v>1681</v>
      </c>
      <c r="N166" s="25" t="s">
        <v>1682</v>
      </c>
      <c r="S166" s="17" t="s">
        <v>1683</v>
      </c>
      <c r="T166" s="17" t="s">
        <v>1684</v>
      </c>
      <c r="AK166" s="17" t="s">
        <v>1631</v>
      </c>
      <c r="AL166" s="17" t="s">
        <v>2979</v>
      </c>
    </row>
    <row r="167" spans="1:38" x14ac:dyDescent="0.25">
      <c r="A167" s="17" t="s">
        <v>1686</v>
      </c>
      <c r="B167" s="17" t="s">
        <v>1687</v>
      </c>
      <c r="G167" s="17" t="s">
        <v>1688</v>
      </c>
      <c r="H167" s="17" t="s">
        <v>1689</v>
      </c>
      <c r="M167" s="25" t="s">
        <v>1690</v>
      </c>
      <c r="N167" s="25" t="s">
        <v>1691</v>
      </c>
      <c r="S167" s="17" t="s">
        <v>1692</v>
      </c>
      <c r="T167" s="17" t="s">
        <v>1693</v>
      </c>
      <c r="AK167" s="17" t="s">
        <v>1640</v>
      </c>
      <c r="AL167" s="17" t="s">
        <v>2980</v>
      </c>
    </row>
    <row r="168" spans="1:38" x14ac:dyDescent="0.25">
      <c r="A168" s="17" t="s">
        <v>1695</v>
      </c>
      <c r="B168" s="17" t="s">
        <v>1696</v>
      </c>
      <c r="G168" s="17" t="s">
        <v>1697</v>
      </c>
      <c r="H168" s="17" t="s">
        <v>1698</v>
      </c>
      <c r="M168" s="25" t="s">
        <v>1699</v>
      </c>
      <c r="N168" s="25" t="s">
        <v>1700</v>
      </c>
      <c r="S168" s="17" t="s">
        <v>1701</v>
      </c>
      <c r="T168" s="17" t="s">
        <v>1702</v>
      </c>
      <c r="AK168" s="17" t="s">
        <v>1649</v>
      </c>
      <c r="AL168" s="17" t="s">
        <v>1707</v>
      </c>
    </row>
    <row r="169" spans="1:38" x14ac:dyDescent="0.25">
      <c r="A169" s="17" t="s">
        <v>1704</v>
      </c>
      <c r="B169" s="17" t="s">
        <v>1705</v>
      </c>
      <c r="G169" s="17" t="s">
        <v>1643</v>
      </c>
      <c r="H169" s="17" t="s">
        <v>1644</v>
      </c>
      <c r="M169" s="25" t="s">
        <v>1706</v>
      </c>
      <c r="N169" s="25" t="s">
        <v>1707</v>
      </c>
      <c r="S169" s="17" t="s">
        <v>1708</v>
      </c>
      <c r="T169" s="17" t="s">
        <v>1709</v>
      </c>
      <c r="AK169" s="17" t="s">
        <v>1658</v>
      </c>
      <c r="AL169" s="17" t="s">
        <v>964</v>
      </c>
    </row>
    <row r="170" spans="1:38" x14ac:dyDescent="0.25">
      <c r="A170" s="17" t="s">
        <v>1711</v>
      </c>
      <c r="B170" s="17" t="s">
        <v>1712</v>
      </c>
      <c r="G170" s="17" t="s">
        <v>1652</v>
      </c>
      <c r="H170" s="17" t="s">
        <v>1653</v>
      </c>
      <c r="M170" s="25" t="s">
        <v>1713</v>
      </c>
      <c r="N170" s="25" t="s">
        <v>1714</v>
      </c>
      <c r="S170" s="17" t="s">
        <v>1715</v>
      </c>
      <c r="T170" s="17" t="s">
        <v>1716</v>
      </c>
      <c r="AK170" s="17" t="s">
        <v>1667</v>
      </c>
      <c r="AL170" s="17" t="s">
        <v>973</v>
      </c>
    </row>
    <row r="171" spans="1:38" x14ac:dyDescent="0.25">
      <c r="A171" s="17" t="s">
        <v>1718</v>
      </c>
      <c r="B171" s="17" t="s">
        <v>1719</v>
      </c>
      <c r="G171" s="17" t="s">
        <v>1661</v>
      </c>
      <c r="H171" s="17" t="s">
        <v>1662</v>
      </c>
      <c r="M171" s="25" t="s">
        <v>1720</v>
      </c>
      <c r="N171" s="25" t="s">
        <v>1721</v>
      </c>
      <c r="S171" s="17" t="s">
        <v>1722</v>
      </c>
      <c r="T171" s="17" t="s">
        <v>1723</v>
      </c>
      <c r="AK171" s="17" t="s">
        <v>1676</v>
      </c>
      <c r="AL171" s="17" t="s">
        <v>982</v>
      </c>
    </row>
    <row r="172" spans="1:38" x14ac:dyDescent="0.25">
      <c r="A172" s="17" t="s">
        <v>1725</v>
      </c>
      <c r="B172" s="17" t="s">
        <v>1726</v>
      </c>
      <c r="G172" s="17" t="s">
        <v>1670</v>
      </c>
      <c r="H172" s="17" t="s">
        <v>1671</v>
      </c>
      <c r="M172" s="25" t="s">
        <v>1727</v>
      </c>
      <c r="N172" s="25" t="s">
        <v>1728</v>
      </c>
      <c r="S172" s="17" t="s">
        <v>1729</v>
      </c>
      <c r="T172" s="17" t="s">
        <v>1730</v>
      </c>
      <c r="AK172" s="17" t="s">
        <v>1685</v>
      </c>
      <c r="AL172" s="17" t="s">
        <v>991</v>
      </c>
    </row>
    <row r="173" spans="1:38" x14ac:dyDescent="0.25">
      <c r="A173" s="17" t="s">
        <v>1732</v>
      </c>
      <c r="B173" s="17" t="s">
        <v>1733</v>
      </c>
      <c r="G173" s="17" t="s">
        <v>1679</v>
      </c>
      <c r="H173" s="17" t="s">
        <v>1680</v>
      </c>
      <c r="M173" s="25" t="s">
        <v>1734</v>
      </c>
      <c r="N173" s="25" t="s">
        <v>1735</v>
      </c>
      <c r="S173" s="17" t="s">
        <v>1736</v>
      </c>
      <c r="T173" s="17" t="s">
        <v>1737</v>
      </c>
      <c r="AK173" s="17" t="s">
        <v>1694</v>
      </c>
      <c r="AL173" s="17" t="s">
        <v>2981</v>
      </c>
    </row>
    <row r="174" spans="1:38" x14ac:dyDescent="0.25">
      <c r="A174" s="17" t="s">
        <v>1739</v>
      </c>
      <c r="B174" s="17" t="s">
        <v>1740</v>
      </c>
      <c r="G174" s="17" t="s">
        <v>1688</v>
      </c>
      <c r="H174" s="17" t="s">
        <v>1689</v>
      </c>
      <c r="M174" s="25" t="s">
        <v>1741</v>
      </c>
      <c r="N174" s="25" t="s">
        <v>1742</v>
      </c>
      <c r="S174" s="17" t="s">
        <v>1743</v>
      </c>
      <c r="T174" s="17" t="s">
        <v>1744</v>
      </c>
      <c r="AK174" s="17" t="s">
        <v>1703</v>
      </c>
      <c r="AL174" s="17" t="s">
        <v>2982</v>
      </c>
    </row>
    <row r="175" spans="1:38" x14ac:dyDescent="0.25">
      <c r="A175" s="17" t="s">
        <v>1746</v>
      </c>
      <c r="B175" s="17" t="s">
        <v>1747</v>
      </c>
      <c r="G175" s="17" t="s">
        <v>1697</v>
      </c>
      <c r="H175" s="17" t="s">
        <v>1698</v>
      </c>
      <c r="M175" s="25" t="s">
        <v>1748</v>
      </c>
      <c r="N175" s="25" t="s">
        <v>1749</v>
      </c>
      <c r="S175" s="17" t="s">
        <v>1750</v>
      </c>
      <c r="T175" s="17" t="s">
        <v>1751</v>
      </c>
      <c r="AK175" s="17" t="s">
        <v>1710</v>
      </c>
      <c r="AL175" s="17" t="s">
        <v>2983</v>
      </c>
    </row>
    <row r="176" spans="1:38" x14ac:dyDescent="0.25">
      <c r="A176" s="17" t="s">
        <v>1754</v>
      </c>
      <c r="B176" s="17" t="s">
        <v>1755</v>
      </c>
      <c r="G176" s="16"/>
      <c r="M176" s="25" t="s">
        <v>1756</v>
      </c>
      <c r="N176" s="25" t="s">
        <v>1757</v>
      </c>
      <c r="S176" s="17" t="s">
        <v>1758</v>
      </c>
      <c r="T176" s="17" t="s">
        <v>1759</v>
      </c>
      <c r="AK176" s="17" t="s">
        <v>1717</v>
      </c>
      <c r="AL176" s="17" t="s">
        <v>2984</v>
      </c>
    </row>
    <row r="177" spans="1:38" x14ac:dyDescent="0.25">
      <c r="A177" s="17" t="s">
        <v>1761</v>
      </c>
      <c r="B177" s="17" t="s">
        <v>1762</v>
      </c>
      <c r="G177" s="16"/>
      <c r="M177" s="25" t="s">
        <v>1763</v>
      </c>
      <c r="N177" s="25" t="s">
        <v>1764</v>
      </c>
      <c r="S177" s="17" t="s">
        <v>1765</v>
      </c>
      <c r="T177" s="17" t="s">
        <v>1766</v>
      </c>
      <c r="AK177" s="17" t="s">
        <v>1724</v>
      </c>
      <c r="AL177" s="17" t="s">
        <v>2985</v>
      </c>
    </row>
    <row r="178" spans="1:38" x14ac:dyDescent="0.25">
      <c r="A178" s="17" t="s">
        <v>1768</v>
      </c>
      <c r="B178" s="17" t="s">
        <v>1769</v>
      </c>
      <c r="G178" s="16"/>
      <c r="M178" s="25" t="s">
        <v>1770</v>
      </c>
      <c r="N178" s="25" t="s">
        <v>1771</v>
      </c>
      <c r="S178" s="17" t="s">
        <v>1772</v>
      </c>
      <c r="T178" s="17" t="s">
        <v>1773</v>
      </c>
      <c r="AK178" s="17" t="s">
        <v>1731</v>
      </c>
      <c r="AL178" s="17" t="s">
        <v>2986</v>
      </c>
    </row>
    <row r="179" spans="1:38" x14ac:dyDescent="0.25">
      <c r="A179" s="17" t="s">
        <v>1775</v>
      </c>
      <c r="B179" s="17" t="s">
        <v>1776</v>
      </c>
      <c r="G179" s="16"/>
      <c r="M179" s="25" t="s">
        <v>1777</v>
      </c>
      <c r="N179" s="25" t="s">
        <v>1778</v>
      </c>
      <c r="S179" s="17" t="s">
        <v>1779</v>
      </c>
      <c r="T179" s="17" t="s">
        <v>1780</v>
      </c>
      <c r="AK179" s="17" t="s">
        <v>1738</v>
      </c>
      <c r="AL179" s="17" t="s">
        <v>2987</v>
      </c>
    </row>
    <row r="180" spans="1:38" x14ac:dyDescent="0.25">
      <c r="A180" s="17" t="s">
        <v>1782</v>
      </c>
      <c r="B180" s="17" t="s">
        <v>1783</v>
      </c>
      <c r="G180" s="16"/>
      <c r="M180" s="25" t="s">
        <v>1784</v>
      </c>
      <c r="N180" s="25" t="s">
        <v>1785</v>
      </c>
      <c r="S180" s="17" t="s">
        <v>1786</v>
      </c>
      <c r="T180" s="17" t="s">
        <v>1787</v>
      </c>
      <c r="AK180" s="17" t="s">
        <v>1745</v>
      </c>
      <c r="AL180" s="17" t="s">
        <v>2988</v>
      </c>
    </row>
    <row r="181" spans="1:38" x14ac:dyDescent="0.25">
      <c r="A181" s="17" t="s">
        <v>1789</v>
      </c>
      <c r="B181" s="17" t="s">
        <v>1790</v>
      </c>
      <c r="G181" s="16"/>
      <c r="M181" s="25" t="s">
        <v>1791</v>
      </c>
      <c r="N181" s="25" t="s">
        <v>1792</v>
      </c>
      <c r="S181" s="17" t="s">
        <v>1793</v>
      </c>
      <c r="T181" s="17" t="s">
        <v>1794</v>
      </c>
      <c r="AK181" s="17" t="s">
        <v>1752</v>
      </c>
      <c r="AL181" s="17" t="s">
        <v>1753</v>
      </c>
    </row>
    <row r="182" spans="1:38" x14ac:dyDescent="0.25">
      <c r="A182" s="17" t="s">
        <v>1796</v>
      </c>
      <c r="B182" s="17" t="s">
        <v>1797</v>
      </c>
      <c r="G182" s="16"/>
      <c r="M182" s="25" t="s">
        <v>1798</v>
      </c>
      <c r="N182" s="25" t="s">
        <v>1799</v>
      </c>
      <c r="S182" s="17" t="s">
        <v>1800</v>
      </c>
      <c r="T182" s="17" t="s">
        <v>1801</v>
      </c>
      <c r="AK182" s="17" t="s">
        <v>1760</v>
      </c>
      <c r="AL182" s="17" t="s">
        <v>2989</v>
      </c>
    </row>
    <row r="183" spans="1:38" x14ac:dyDescent="0.25">
      <c r="A183" s="17" t="s">
        <v>1803</v>
      </c>
      <c r="B183" s="17" t="s">
        <v>1804</v>
      </c>
      <c r="G183" s="16"/>
      <c r="M183" s="25" t="s">
        <v>1805</v>
      </c>
      <c r="N183" s="25" t="s">
        <v>1806</v>
      </c>
      <c r="S183" s="17" t="s">
        <v>1807</v>
      </c>
      <c r="T183" s="17" t="s">
        <v>1808</v>
      </c>
      <c r="AK183" s="17" t="s">
        <v>1767</v>
      </c>
      <c r="AL183" s="17" t="s">
        <v>2990</v>
      </c>
    </row>
    <row r="184" spans="1:38" x14ac:dyDescent="0.25">
      <c r="A184" s="17" t="s">
        <v>1810</v>
      </c>
      <c r="B184" s="17" t="s">
        <v>1811</v>
      </c>
      <c r="G184" s="16"/>
      <c r="M184" s="25" t="s">
        <v>1812</v>
      </c>
      <c r="N184" s="25" t="s">
        <v>1813</v>
      </c>
      <c r="S184" s="17" t="s">
        <v>1814</v>
      </c>
      <c r="T184" s="17" t="s">
        <v>1815</v>
      </c>
      <c r="AK184" s="17" t="s">
        <v>1774</v>
      </c>
      <c r="AL184" s="17" t="s">
        <v>2991</v>
      </c>
    </row>
    <row r="185" spans="1:38" x14ac:dyDescent="0.25">
      <c r="A185" s="17" t="s">
        <v>1817</v>
      </c>
      <c r="B185" s="17" t="s">
        <v>1818</v>
      </c>
      <c r="G185" s="16"/>
      <c r="M185" s="25" t="s">
        <v>1819</v>
      </c>
      <c r="N185" s="25" t="s">
        <v>1820</v>
      </c>
      <c r="S185" s="17" t="s">
        <v>1821</v>
      </c>
      <c r="T185" s="17" t="s">
        <v>1822</v>
      </c>
      <c r="AK185" s="17" t="s">
        <v>1781</v>
      </c>
      <c r="AL185" s="17" t="s">
        <v>2992</v>
      </c>
    </row>
    <row r="186" spans="1:38" x14ac:dyDescent="0.25">
      <c r="A186" s="17" t="s">
        <v>1824</v>
      </c>
      <c r="B186" s="17" t="s">
        <v>1825</v>
      </c>
      <c r="G186" s="16"/>
      <c r="M186" s="25" t="s">
        <v>1826</v>
      </c>
      <c r="N186" s="25" t="s">
        <v>1827</v>
      </c>
      <c r="S186" s="17" t="s">
        <v>1828</v>
      </c>
      <c r="T186" s="17" t="s">
        <v>1829</v>
      </c>
      <c r="AK186" s="17" t="s">
        <v>1788</v>
      </c>
      <c r="AL186" s="17" t="s">
        <v>2993</v>
      </c>
    </row>
    <row r="187" spans="1:38" x14ac:dyDescent="0.25">
      <c r="A187" s="17" t="s">
        <v>1831</v>
      </c>
      <c r="B187" s="17" t="s">
        <v>1832</v>
      </c>
      <c r="G187" s="16"/>
      <c r="M187" s="25" t="s">
        <v>1833</v>
      </c>
      <c r="N187" s="25" t="s">
        <v>1834</v>
      </c>
      <c r="S187" s="17" t="s">
        <v>1835</v>
      </c>
      <c r="T187" s="17" t="s">
        <v>1836</v>
      </c>
      <c r="AK187" s="17" t="s">
        <v>1795</v>
      </c>
      <c r="AL187" s="17" t="s">
        <v>2994</v>
      </c>
    </row>
    <row r="188" spans="1:38" x14ac:dyDescent="0.25">
      <c r="A188" s="17" t="s">
        <v>1838</v>
      </c>
      <c r="B188" s="17" t="s">
        <v>1839</v>
      </c>
      <c r="G188" s="16"/>
      <c r="M188" s="25" t="s">
        <v>1840</v>
      </c>
      <c r="N188" s="25" t="s">
        <v>1841</v>
      </c>
      <c r="S188" s="17" t="s">
        <v>1842</v>
      </c>
      <c r="T188" s="17" t="s">
        <v>1843</v>
      </c>
      <c r="AK188" s="17" t="s">
        <v>1802</v>
      </c>
      <c r="AL188" s="17" t="s">
        <v>2995</v>
      </c>
    </row>
    <row r="189" spans="1:38" x14ac:dyDescent="0.25">
      <c r="A189" s="17" t="s">
        <v>1845</v>
      </c>
      <c r="B189" s="17" t="s">
        <v>1846</v>
      </c>
      <c r="G189" s="16"/>
      <c r="M189" s="25" t="s">
        <v>1847</v>
      </c>
      <c r="N189" s="25" t="s">
        <v>1848</v>
      </c>
      <c r="S189" s="17" t="s">
        <v>1849</v>
      </c>
      <c r="T189" s="17" t="s">
        <v>1850</v>
      </c>
      <c r="AK189" s="17" t="s">
        <v>1809</v>
      </c>
      <c r="AL189" s="17" t="s">
        <v>2996</v>
      </c>
    </row>
    <row r="190" spans="1:38" x14ac:dyDescent="0.25">
      <c r="A190" s="17" t="s">
        <v>1852</v>
      </c>
      <c r="B190" s="17" t="s">
        <v>1853</v>
      </c>
      <c r="G190" s="16"/>
      <c r="M190" s="25" t="s">
        <v>1854</v>
      </c>
      <c r="N190" s="25" t="s">
        <v>1855</v>
      </c>
      <c r="S190" s="17" t="s">
        <v>1856</v>
      </c>
      <c r="T190" s="17" t="s">
        <v>1857</v>
      </c>
      <c r="AK190" s="17" t="s">
        <v>1816</v>
      </c>
      <c r="AL190" s="17" t="s">
        <v>2997</v>
      </c>
    </row>
    <row r="191" spans="1:38" x14ac:dyDescent="0.25">
      <c r="A191" s="17" t="s">
        <v>1859</v>
      </c>
      <c r="B191" s="17" t="s">
        <v>1860</v>
      </c>
      <c r="G191" s="16"/>
      <c r="M191" s="25" t="s">
        <v>1861</v>
      </c>
      <c r="N191" s="25" t="s">
        <v>1862</v>
      </c>
      <c r="S191" s="17" t="s">
        <v>1863</v>
      </c>
      <c r="T191" s="17" t="s">
        <v>1864</v>
      </c>
      <c r="AK191" s="17" t="s">
        <v>1823</v>
      </c>
      <c r="AL191" s="17" t="s">
        <v>2998</v>
      </c>
    </row>
    <row r="192" spans="1:38" x14ac:dyDescent="0.25">
      <c r="A192" s="17" t="s">
        <v>1866</v>
      </c>
      <c r="B192" s="17" t="s">
        <v>1867</v>
      </c>
      <c r="G192" s="16"/>
      <c r="M192" s="25" t="s">
        <v>1868</v>
      </c>
      <c r="N192" s="25" t="s">
        <v>1869</v>
      </c>
      <c r="S192" s="17" t="s">
        <v>1870</v>
      </c>
      <c r="T192" s="17" t="s">
        <v>1871</v>
      </c>
      <c r="AK192" s="17" t="s">
        <v>1830</v>
      </c>
      <c r="AL192" s="17" t="s">
        <v>2999</v>
      </c>
    </row>
    <row r="193" spans="1:38" x14ac:dyDescent="0.25">
      <c r="A193" s="17" t="s">
        <v>1873</v>
      </c>
      <c r="B193" s="17" t="s">
        <v>1874</v>
      </c>
      <c r="G193" s="16"/>
      <c r="M193" s="25" t="s">
        <v>1875</v>
      </c>
      <c r="N193" s="25" t="s">
        <v>1876</v>
      </c>
      <c r="S193" s="17" t="s">
        <v>1877</v>
      </c>
      <c r="T193" s="17" t="s">
        <v>1878</v>
      </c>
      <c r="AK193" s="17" t="s">
        <v>1837</v>
      </c>
      <c r="AL193" s="17" t="s">
        <v>3000</v>
      </c>
    </row>
    <row r="194" spans="1:38" x14ac:dyDescent="0.25">
      <c r="A194" s="17" t="s">
        <v>1880</v>
      </c>
      <c r="B194" s="17" t="s">
        <v>1881</v>
      </c>
      <c r="G194" s="16"/>
      <c r="S194" s="17" t="s">
        <v>1882</v>
      </c>
      <c r="T194" s="17" t="s">
        <v>1883</v>
      </c>
      <c r="AK194" s="17" t="s">
        <v>1844</v>
      </c>
      <c r="AL194" s="17" t="s">
        <v>3001</v>
      </c>
    </row>
    <row r="195" spans="1:38" x14ac:dyDescent="0.25">
      <c r="A195" s="17" t="s">
        <v>1885</v>
      </c>
      <c r="B195" s="17" t="s">
        <v>1886</v>
      </c>
      <c r="G195" s="16"/>
      <c r="S195" s="17" t="s">
        <v>1887</v>
      </c>
      <c r="T195" s="17" t="s">
        <v>1888</v>
      </c>
      <c r="AK195" s="17" t="s">
        <v>1851</v>
      </c>
      <c r="AL195" s="17" t="s">
        <v>3002</v>
      </c>
    </row>
    <row r="196" spans="1:38" x14ac:dyDescent="0.25">
      <c r="A196" s="17" t="s">
        <v>1890</v>
      </c>
      <c r="B196" s="17" t="s">
        <v>1891</v>
      </c>
      <c r="G196" s="16"/>
      <c r="S196" s="17" t="s">
        <v>1892</v>
      </c>
      <c r="T196" s="17" t="s">
        <v>1893</v>
      </c>
      <c r="AK196" s="17" t="s">
        <v>1858</v>
      </c>
      <c r="AL196" s="17" t="s">
        <v>3003</v>
      </c>
    </row>
    <row r="197" spans="1:38" x14ac:dyDescent="0.25">
      <c r="A197" s="17" t="s">
        <v>1895</v>
      </c>
      <c r="B197" s="17" t="s">
        <v>1896</v>
      </c>
      <c r="G197" s="16"/>
      <c r="S197" s="17" t="s">
        <v>1897</v>
      </c>
      <c r="T197" s="17" t="s">
        <v>1898</v>
      </c>
      <c r="AK197" s="17" t="s">
        <v>1865</v>
      </c>
      <c r="AL197" s="17" t="s">
        <v>3004</v>
      </c>
    </row>
    <row r="198" spans="1:38" x14ac:dyDescent="0.25">
      <c r="A198" s="17" t="s">
        <v>1900</v>
      </c>
      <c r="B198" s="17" t="s">
        <v>1901</v>
      </c>
      <c r="G198" s="16"/>
      <c r="S198" s="17" t="s">
        <v>1902</v>
      </c>
      <c r="T198" s="17" t="s">
        <v>1903</v>
      </c>
      <c r="AK198" s="17" t="s">
        <v>1872</v>
      </c>
      <c r="AL198" s="17" t="s">
        <v>3005</v>
      </c>
    </row>
    <row r="199" spans="1:38" x14ac:dyDescent="0.25">
      <c r="A199" s="17" t="s">
        <v>1905</v>
      </c>
      <c r="B199" s="17" t="s">
        <v>1906</v>
      </c>
      <c r="G199" s="16"/>
      <c r="S199" s="17" t="s">
        <v>1907</v>
      </c>
      <c r="T199" s="17" t="s">
        <v>1908</v>
      </c>
      <c r="AK199" s="17" t="s">
        <v>1879</v>
      </c>
      <c r="AL199" s="17" t="s">
        <v>3006</v>
      </c>
    </row>
    <row r="200" spans="1:38" x14ac:dyDescent="0.25">
      <c r="A200" s="17" t="s">
        <v>1910</v>
      </c>
      <c r="B200" s="17" t="s">
        <v>1911</v>
      </c>
      <c r="G200" s="16"/>
      <c r="S200" s="17" t="s">
        <v>1912</v>
      </c>
      <c r="T200" s="17" t="s">
        <v>1913</v>
      </c>
      <c r="AK200" s="17" t="s">
        <v>1884</v>
      </c>
      <c r="AL200" s="17" t="s">
        <v>3007</v>
      </c>
    </row>
    <row r="201" spans="1:38" x14ac:dyDescent="0.25">
      <c r="A201" s="17" t="s">
        <v>1915</v>
      </c>
      <c r="B201" s="17" t="s">
        <v>1916</v>
      </c>
      <c r="G201" s="16"/>
      <c r="S201" s="17" t="s">
        <v>1917</v>
      </c>
      <c r="T201" s="17" t="s">
        <v>1918</v>
      </c>
      <c r="AK201" s="17" t="s">
        <v>1889</v>
      </c>
      <c r="AL201" s="17" t="s">
        <v>3008</v>
      </c>
    </row>
    <row r="202" spans="1:38" x14ac:dyDescent="0.25">
      <c r="A202" s="17" t="s">
        <v>1920</v>
      </c>
      <c r="B202" s="17" t="s">
        <v>1921</v>
      </c>
      <c r="G202" s="16"/>
      <c r="S202" s="17" t="s">
        <v>1922</v>
      </c>
      <c r="T202" s="17" t="s">
        <v>1923</v>
      </c>
      <c r="AK202" s="17" t="s">
        <v>1894</v>
      </c>
      <c r="AL202" s="17" t="s">
        <v>3009</v>
      </c>
    </row>
    <row r="203" spans="1:38" x14ac:dyDescent="0.25">
      <c r="A203" s="17" t="s">
        <v>1925</v>
      </c>
      <c r="B203" s="17" t="s">
        <v>1926</v>
      </c>
      <c r="G203" s="16"/>
      <c r="S203" s="17" t="s">
        <v>1927</v>
      </c>
      <c r="T203" s="17" t="s">
        <v>1928</v>
      </c>
      <c r="AK203" s="17" t="s">
        <v>1899</v>
      </c>
      <c r="AL203" s="17" t="s">
        <v>3010</v>
      </c>
    </row>
    <row r="204" spans="1:38" x14ac:dyDescent="0.25">
      <c r="A204" s="17" t="s">
        <v>1930</v>
      </c>
      <c r="B204" s="17" t="s">
        <v>1931</v>
      </c>
      <c r="G204" s="16"/>
      <c r="S204" s="17" t="s">
        <v>1932</v>
      </c>
      <c r="T204" s="17" t="s">
        <v>1933</v>
      </c>
      <c r="AK204" s="17" t="s">
        <v>1904</v>
      </c>
      <c r="AL204" s="17" t="s">
        <v>3011</v>
      </c>
    </row>
    <row r="205" spans="1:38" x14ac:dyDescent="0.25">
      <c r="A205" s="17" t="s">
        <v>1935</v>
      </c>
      <c r="B205" s="17" t="s">
        <v>1936</v>
      </c>
      <c r="G205" s="16"/>
      <c r="S205" s="17" t="s">
        <v>1937</v>
      </c>
      <c r="T205" s="17" t="s">
        <v>1938</v>
      </c>
      <c r="AK205" s="17" t="s">
        <v>1909</v>
      </c>
      <c r="AL205" s="17" t="s">
        <v>3012</v>
      </c>
    </row>
    <row r="206" spans="1:38" x14ac:dyDescent="0.25">
      <c r="A206" s="17" t="s">
        <v>1940</v>
      </c>
      <c r="B206" s="17" t="s">
        <v>1941</v>
      </c>
      <c r="G206" s="16"/>
      <c r="S206" s="17" t="s">
        <v>1942</v>
      </c>
      <c r="T206" s="17" t="s">
        <v>1943</v>
      </c>
      <c r="AK206" s="17" t="s">
        <v>1914</v>
      </c>
      <c r="AL206" s="17" t="s">
        <v>3013</v>
      </c>
    </row>
    <row r="207" spans="1:38" x14ac:dyDescent="0.25">
      <c r="A207" s="17" t="s">
        <v>1945</v>
      </c>
      <c r="B207" s="17" t="s">
        <v>1946</v>
      </c>
      <c r="G207" s="16"/>
      <c r="S207" s="17" t="s">
        <v>1947</v>
      </c>
      <c r="T207" s="17" t="s">
        <v>1948</v>
      </c>
      <c r="AK207" s="17" t="s">
        <v>1919</v>
      </c>
      <c r="AL207" s="17" t="s">
        <v>3014</v>
      </c>
    </row>
    <row r="208" spans="1:38" x14ac:dyDescent="0.25">
      <c r="A208" s="17" t="s">
        <v>1950</v>
      </c>
      <c r="B208" s="17" t="s">
        <v>1951</v>
      </c>
      <c r="G208" s="16"/>
      <c r="S208" s="17" t="s">
        <v>1952</v>
      </c>
      <c r="T208" s="17" t="s">
        <v>1953</v>
      </c>
      <c r="AK208" s="17" t="s">
        <v>1924</v>
      </c>
      <c r="AL208" s="17" t="s">
        <v>3015</v>
      </c>
    </row>
    <row r="209" spans="1:38" x14ac:dyDescent="0.25">
      <c r="A209" s="17" t="s">
        <v>1955</v>
      </c>
      <c r="B209" s="17" t="s">
        <v>1956</v>
      </c>
      <c r="G209" s="16"/>
      <c r="S209" s="17" t="s">
        <v>1957</v>
      </c>
      <c r="T209" s="17" t="s">
        <v>1958</v>
      </c>
      <c r="AK209" s="17" t="s">
        <v>1929</v>
      </c>
      <c r="AL209" s="17" t="s">
        <v>3016</v>
      </c>
    </row>
    <row r="210" spans="1:38" x14ac:dyDescent="0.25">
      <c r="A210" s="17" t="s">
        <v>1960</v>
      </c>
      <c r="B210" s="17" t="s">
        <v>1961</v>
      </c>
      <c r="G210" s="16"/>
      <c r="S210" s="17" t="s">
        <v>1962</v>
      </c>
      <c r="T210" s="17" t="s">
        <v>1963</v>
      </c>
      <c r="AK210" s="17" t="s">
        <v>1934</v>
      </c>
      <c r="AL210" s="17" t="s">
        <v>3017</v>
      </c>
    </row>
    <row r="211" spans="1:38" x14ac:dyDescent="0.25">
      <c r="A211" s="17" t="s">
        <v>1965</v>
      </c>
      <c r="B211" s="17" t="s">
        <v>1966</v>
      </c>
      <c r="G211" s="16"/>
      <c r="S211" s="17" t="s">
        <v>1967</v>
      </c>
      <c r="T211" s="17" t="s">
        <v>1968</v>
      </c>
      <c r="AK211" s="17" t="s">
        <v>1939</v>
      </c>
      <c r="AL211" s="17" t="s">
        <v>3018</v>
      </c>
    </row>
    <row r="212" spans="1:38" x14ac:dyDescent="0.25">
      <c r="A212" s="17" t="s">
        <v>1970</v>
      </c>
      <c r="B212" s="17" t="s">
        <v>1971</v>
      </c>
      <c r="G212" s="16"/>
      <c r="S212" s="17" t="s">
        <v>1972</v>
      </c>
      <c r="T212" s="17" t="s">
        <v>1973</v>
      </c>
      <c r="AK212" s="17" t="s">
        <v>1944</v>
      </c>
      <c r="AL212" s="17" t="s">
        <v>3019</v>
      </c>
    </row>
    <row r="213" spans="1:38" x14ac:dyDescent="0.25">
      <c r="A213" s="17" t="s">
        <v>1975</v>
      </c>
      <c r="B213" s="17" t="s">
        <v>1976</v>
      </c>
      <c r="G213" s="16"/>
      <c r="S213" s="17" t="s">
        <v>1977</v>
      </c>
      <c r="T213" s="17" t="s">
        <v>1978</v>
      </c>
      <c r="AK213" s="17" t="s">
        <v>1949</v>
      </c>
      <c r="AL213" s="17" t="s">
        <v>3020</v>
      </c>
    </row>
    <row r="214" spans="1:38" x14ac:dyDescent="0.25">
      <c r="A214" s="17" t="s">
        <v>1980</v>
      </c>
      <c r="B214" s="17" t="s">
        <v>1981</v>
      </c>
      <c r="G214" s="16"/>
      <c r="S214" s="17" t="s">
        <v>1982</v>
      </c>
      <c r="T214" s="17" t="s">
        <v>1983</v>
      </c>
      <c r="AK214" s="17" t="s">
        <v>1954</v>
      </c>
      <c r="AL214" s="17" t="s">
        <v>3021</v>
      </c>
    </row>
    <row r="215" spans="1:38" x14ac:dyDescent="0.25">
      <c r="A215" s="17" t="s">
        <v>1985</v>
      </c>
      <c r="B215" s="17" t="s">
        <v>1986</v>
      </c>
      <c r="G215" s="16"/>
      <c r="S215" s="17" t="s">
        <v>1987</v>
      </c>
      <c r="T215" s="17" t="s">
        <v>1988</v>
      </c>
      <c r="AK215" s="17" t="s">
        <v>1959</v>
      </c>
      <c r="AL215" s="17" t="s">
        <v>3022</v>
      </c>
    </row>
    <row r="216" spans="1:38" x14ac:dyDescent="0.25">
      <c r="A216" s="17" t="s">
        <v>1990</v>
      </c>
      <c r="B216" s="17" t="s">
        <v>1991</v>
      </c>
      <c r="G216" s="16"/>
      <c r="S216" s="17" t="s">
        <v>1992</v>
      </c>
      <c r="T216" s="17" t="s">
        <v>1993</v>
      </c>
      <c r="AK216" s="17" t="s">
        <v>1964</v>
      </c>
      <c r="AL216" s="17" t="s">
        <v>3023</v>
      </c>
    </row>
    <row r="217" spans="1:38" x14ac:dyDescent="0.25">
      <c r="A217" s="17" t="s">
        <v>1995</v>
      </c>
      <c r="B217" s="17" t="s">
        <v>1996</v>
      </c>
      <c r="G217" s="16"/>
      <c r="S217" s="17" t="s">
        <v>1997</v>
      </c>
      <c r="T217" s="17" t="s">
        <v>1998</v>
      </c>
      <c r="AK217" s="17" t="s">
        <v>1969</v>
      </c>
      <c r="AL217" s="17" t="s">
        <v>3024</v>
      </c>
    </row>
    <row r="218" spans="1:38" x14ac:dyDescent="0.25">
      <c r="A218" s="17" t="s">
        <v>2000</v>
      </c>
      <c r="B218" s="17" t="s">
        <v>2001</v>
      </c>
      <c r="G218" s="16"/>
      <c r="S218" s="17" t="s">
        <v>2002</v>
      </c>
      <c r="T218" s="17" t="s">
        <v>2003</v>
      </c>
      <c r="AK218" s="17" t="s">
        <v>1974</v>
      </c>
      <c r="AL218" s="17" t="s">
        <v>3025</v>
      </c>
    </row>
    <row r="219" spans="1:38" x14ac:dyDescent="0.25">
      <c r="A219" s="17" t="s">
        <v>2005</v>
      </c>
      <c r="B219" s="17" t="s">
        <v>2006</v>
      </c>
      <c r="G219" s="16"/>
      <c r="S219" s="17" t="s">
        <v>2007</v>
      </c>
      <c r="T219" s="17" t="s">
        <v>2008</v>
      </c>
      <c r="AK219" s="17" t="s">
        <v>1979</v>
      </c>
      <c r="AL219" s="17" t="s">
        <v>3026</v>
      </c>
    </row>
    <row r="220" spans="1:38" x14ac:dyDescent="0.25">
      <c r="A220" s="17" t="s">
        <v>2010</v>
      </c>
      <c r="B220" s="17" t="s">
        <v>2011</v>
      </c>
      <c r="G220" s="16"/>
      <c r="S220" s="17" t="s">
        <v>2012</v>
      </c>
      <c r="T220" s="17" t="s">
        <v>2013</v>
      </c>
      <c r="AK220" s="17" t="s">
        <v>1984</v>
      </c>
      <c r="AL220" s="17" t="s">
        <v>3027</v>
      </c>
    </row>
    <row r="221" spans="1:38" x14ac:dyDescent="0.25">
      <c r="A221" s="17" t="s">
        <v>2015</v>
      </c>
      <c r="B221" s="17" t="s">
        <v>2016</v>
      </c>
      <c r="G221" s="16"/>
      <c r="S221" s="17" t="s">
        <v>2017</v>
      </c>
      <c r="T221" s="17" t="s">
        <v>2018</v>
      </c>
      <c r="AK221" s="17" t="s">
        <v>1989</v>
      </c>
      <c r="AL221" s="17" t="s">
        <v>3028</v>
      </c>
    </row>
    <row r="222" spans="1:38" x14ac:dyDescent="0.25">
      <c r="A222" s="17" t="s">
        <v>2020</v>
      </c>
      <c r="B222" s="17" t="s">
        <v>2021</v>
      </c>
      <c r="G222" s="16"/>
      <c r="S222" s="17" t="s">
        <v>2022</v>
      </c>
      <c r="T222" s="17" t="s">
        <v>2023</v>
      </c>
      <c r="AK222" s="17" t="s">
        <v>1994</v>
      </c>
      <c r="AL222" s="17" t="s">
        <v>3029</v>
      </c>
    </row>
    <row r="223" spans="1:38" x14ac:dyDescent="0.25">
      <c r="A223" s="17" t="s">
        <v>2025</v>
      </c>
      <c r="B223" s="17" t="s">
        <v>2026</v>
      </c>
      <c r="G223" s="16"/>
      <c r="S223" s="17" t="s">
        <v>2027</v>
      </c>
      <c r="T223" s="17" t="s">
        <v>2028</v>
      </c>
      <c r="AK223" s="17" t="s">
        <v>1999</v>
      </c>
      <c r="AL223" s="17" t="s">
        <v>3030</v>
      </c>
    </row>
    <row r="224" spans="1:38" x14ac:dyDescent="0.25">
      <c r="A224" s="17" t="s">
        <v>2030</v>
      </c>
      <c r="B224" s="17" t="s">
        <v>2031</v>
      </c>
      <c r="G224" s="16"/>
      <c r="S224" s="17" t="s">
        <v>2032</v>
      </c>
      <c r="T224" s="17" t="s">
        <v>2033</v>
      </c>
      <c r="AK224" s="17" t="s">
        <v>2004</v>
      </c>
      <c r="AL224" s="17" t="s">
        <v>3031</v>
      </c>
    </row>
    <row r="225" spans="1:38" x14ac:dyDescent="0.25">
      <c r="A225" s="17" t="s">
        <v>2035</v>
      </c>
      <c r="B225" s="17" t="s">
        <v>2036</v>
      </c>
      <c r="G225" s="16"/>
      <c r="S225" s="17" t="s">
        <v>2037</v>
      </c>
      <c r="T225" s="17" t="s">
        <v>2038</v>
      </c>
      <c r="AK225" s="17" t="s">
        <v>2009</v>
      </c>
      <c r="AL225" s="17" t="s">
        <v>3032</v>
      </c>
    </row>
    <row r="226" spans="1:38" x14ac:dyDescent="0.25">
      <c r="A226" s="17" t="s">
        <v>2040</v>
      </c>
      <c r="B226" s="17" t="s">
        <v>2041</v>
      </c>
      <c r="G226" s="16"/>
      <c r="S226" s="17" t="s">
        <v>2042</v>
      </c>
      <c r="T226" s="17" t="s">
        <v>2043</v>
      </c>
      <c r="AK226" s="17" t="s">
        <v>2014</v>
      </c>
      <c r="AL226" s="17" t="s">
        <v>3033</v>
      </c>
    </row>
    <row r="227" spans="1:38" x14ac:dyDescent="0.25">
      <c r="A227" s="17" t="s">
        <v>2045</v>
      </c>
      <c r="B227" s="17" t="s">
        <v>2046</v>
      </c>
      <c r="G227" s="16"/>
      <c r="S227" s="17" t="s">
        <v>2047</v>
      </c>
      <c r="T227" s="17" t="s">
        <v>2048</v>
      </c>
      <c r="AK227" s="17" t="s">
        <v>2019</v>
      </c>
      <c r="AL227" s="17" t="s">
        <v>3034</v>
      </c>
    </row>
    <row r="228" spans="1:38" x14ac:dyDescent="0.25">
      <c r="A228" s="17" t="s">
        <v>2050</v>
      </c>
      <c r="B228" s="17" t="s">
        <v>2051</v>
      </c>
      <c r="G228" s="16"/>
      <c r="S228" s="17" t="s">
        <v>2052</v>
      </c>
      <c r="T228" s="17" t="s">
        <v>2053</v>
      </c>
      <c r="AK228" s="17" t="s">
        <v>2024</v>
      </c>
      <c r="AL228" s="17" t="s">
        <v>3035</v>
      </c>
    </row>
    <row r="229" spans="1:38" x14ac:dyDescent="0.25">
      <c r="A229" s="17" t="s">
        <v>2055</v>
      </c>
      <c r="B229" s="17" t="s">
        <v>2056</v>
      </c>
      <c r="G229" s="16"/>
      <c r="S229" s="17" t="s">
        <v>2057</v>
      </c>
      <c r="T229" s="17" t="s">
        <v>2058</v>
      </c>
      <c r="AK229" s="17" t="s">
        <v>2029</v>
      </c>
      <c r="AL229" s="17" t="s">
        <v>3036</v>
      </c>
    </row>
    <row r="230" spans="1:38" x14ac:dyDescent="0.25">
      <c r="A230" s="17" t="s">
        <v>2060</v>
      </c>
      <c r="B230" s="17" t="s">
        <v>2061</v>
      </c>
      <c r="G230" s="16"/>
      <c r="S230" s="17" t="s">
        <v>2062</v>
      </c>
      <c r="T230" s="17" t="s">
        <v>2063</v>
      </c>
      <c r="AK230" s="17" t="s">
        <v>2034</v>
      </c>
      <c r="AL230" s="17" t="s">
        <v>3037</v>
      </c>
    </row>
    <row r="231" spans="1:38" x14ac:dyDescent="0.25">
      <c r="A231" s="17" t="s">
        <v>2065</v>
      </c>
      <c r="B231" s="17" t="s">
        <v>2066</v>
      </c>
      <c r="G231" s="16"/>
      <c r="S231" s="17" t="s">
        <v>2067</v>
      </c>
      <c r="T231" s="17" t="s">
        <v>2068</v>
      </c>
      <c r="AK231" s="17" t="s">
        <v>2039</v>
      </c>
      <c r="AL231" s="17" t="s">
        <v>3038</v>
      </c>
    </row>
    <row r="232" spans="1:38" x14ac:dyDescent="0.25">
      <c r="A232" s="17" t="s">
        <v>2071</v>
      </c>
      <c r="B232" s="17" t="s">
        <v>2072</v>
      </c>
      <c r="G232" s="16"/>
      <c r="S232" s="17" t="s">
        <v>2073</v>
      </c>
      <c r="T232" s="17" t="s">
        <v>2074</v>
      </c>
      <c r="AK232" s="17" t="s">
        <v>2044</v>
      </c>
      <c r="AL232" s="17" t="s">
        <v>3039</v>
      </c>
    </row>
    <row r="233" spans="1:38" x14ac:dyDescent="0.25">
      <c r="A233" s="17" t="s">
        <v>2075</v>
      </c>
      <c r="B233" s="17" t="s">
        <v>2076</v>
      </c>
      <c r="G233" s="16"/>
      <c r="S233" s="17" t="s">
        <v>2077</v>
      </c>
      <c r="T233" s="17" t="s">
        <v>2078</v>
      </c>
      <c r="AK233" s="17" t="s">
        <v>2049</v>
      </c>
      <c r="AL233" s="17" t="s">
        <v>3040</v>
      </c>
    </row>
    <row r="234" spans="1:38" x14ac:dyDescent="0.25">
      <c r="A234" s="17" t="s">
        <v>2079</v>
      </c>
      <c r="B234" s="17" t="s">
        <v>2080</v>
      </c>
      <c r="G234" s="16"/>
      <c r="S234" s="17" t="s">
        <v>2081</v>
      </c>
      <c r="T234" s="17" t="s">
        <v>2082</v>
      </c>
      <c r="AK234" s="17" t="s">
        <v>2054</v>
      </c>
      <c r="AL234" s="17" t="s">
        <v>3041</v>
      </c>
    </row>
    <row r="235" spans="1:38" x14ac:dyDescent="0.25">
      <c r="A235" s="17" t="s">
        <v>2085</v>
      </c>
      <c r="B235" s="17" t="s">
        <v>2086</v>
      </c>
      <c r="G235" s="16"/>
      <c r="S235" s="17" t="s">
        <v>2087</v>
      </c>
      <c r="T235" s="17" t="s">
        <v>2088</v>
      </c>
      <c r="AK235" s="17" t="s">
        <v>2059</v>
      </c>
      <c r="AL235" s="17" t="s">
        <v>3042</v>
      </c>
    </row>
    <row r="236" spans="1:38" x14ac:dyDescent="0.25">
      <c r="A236" s="17" t="s">
        <v>2091</v>
      </c>
      <c r="B236" s="17" t="s">
        <v>2092</v>
      </c>
      <c r="G236" s="16"/>
      <c r="S236" s="17" t="s">
        <v>2093</v>
      </c>
      <c r="T236" s="17" t="s">
        <v>2094</v>
      </c>
      <c r="AK236" s="17" t="s">
        <v>2064</v>
      </c>
      <c r="AL236" s="17" t="s">
        <v>3043</v>
      </c>
    </row>
    <row r="237" spans="1:38" x14ac:dyDescent="0.25">
      <c r="A237" s="17" t="s">
        <v>2096</v>
      </c>
      <c r="B237" s="17" t="s">
        <v>2097</v>
      </c>
      <c r="G237" s="16"/>
      <c r="S237" s="17" t="s">
        <v>2098</v>
      </c>
      <c r="T237" s="17" t="s">
        <v>2099</v>
      </c>
      <c r="AK237" s="17" t="s">
        <v>2069</v>
      </c>
      <c r="AL237" s="17" t="s">
        <v>2070</v>
      </c>
    </row>
    <row r="238" spans="1:38" x14ac:dyDescent="0.25">
      <c r="A238" s="17" t="s">
        <v>2102</v>
      </c>
      <c r="B238" s="17" t="s">
        <v>2103</v>
      </c>
      <c r="G238" s="16"/>
      <c r="S238" s="17" t="s">
        <v>2104</v>
      </c>
      <c r="T238" s="17" t="s">
        <v>2105</v>
      </c>
      <c r="AK238" s="17" t="s">
        <v>3044</v>
      </c>
      <c r="AL238" s="17" t="s">
        <v>3045</v>
      </c>
    </row>
    <row r="239" spans="1:38" x14ac:dyDescent="0.25">
      <c r="A239" s="17" t="s">
        <v>2108</v>
      </c>
      <c r="B239" s="17" t="s">
        <v>2109</v>
      </c>
      <c r="G239" s="16"/>
      <c r="S239" s="17" t="s">
        <v>2110</v>
      </c>
      <c r="T239" s="17" t="s">
        <v>2111</v>
      </c>
      <c r="AK239" s="17" t="s">
        <v>519</v>
      </c>
      <c r="AL239" s="17" t="s">
        <v>3046</v>
      </c>
    </row>
    <row r="240" spans="1:38" x14ac:dyDescent="0.25">
      <c r="A240" s="17" t="s">
        <v>2113</v>
      </c>
      <c r="B240" s="17" t="s">
        <v>2114</v>
      </c>
      <c r="G240" s="16"/>
      <c r="S240" s="17" t="s">
        <v>2115</v>
      </c>
      <c r="T240" s="17" t="s">
        <v>2116</v>
      </c>
      <c r="AK240" s="17" t="s">
        <v>2083</v>
      </c>
      <c r="AL240" s="17" t="s">
        <v>2084</v>
      </c>
    </row>
    <row r="241" spans="1:38" x14ac:dyDescent="0.25">
      <c r="A241" s="17" t="s">
        <v>2118</v>
      </c>
      <c r="B241" s="17" t="s">
        <v>2119</v>
      </c>
      <c r="G241" s="16"/>
      <c r="S241" s="17" t="s">
        <v>2120</v>
      </c>
      <c r="T241" s="17" t="s">
        <v>2121</v>
      </c>
      <c r="AK241" s="17" t="s">
        <v>2089</v>
      </c>
      <c r="AL241" s="17" t="s">
        <v>2090</v>
      </c>
    </row>
    <row r="242" spans="1:38" x14ac:dyDescent="0.25">
      <c r="A242" s="17" t="s">
        <v>2123</v>
      </c>
      <c r="B242" s="17" t="s">
        <v>2124</v>
      </c>
      <c r="G242" s="16"/>
      <c r="S242" s="17" t="s">
        <v>2125</v>
      </c>
      <c r="T242" s="17" t="s">
        <v>2126</v>
      </c>
      <c r="AK242" s="17" t="s">
        <v>2095</v>
      </c>
      <c r="AL242" s="17" t="s">
        <v>2095</v>
      </c>
    </row>
    <row r="243" spans="1:38" x14ac:dyDescent="0.25">
      <c r="A243" s="17" t="s">
        <v>2128</v>
      </c>
      <c r="B243" s="17" t="s">
        <v>2129</v>
      </c>
      <c r="G243" s="16"/>
      <c r="S243" s="17" t="s">
        <v>2130</v>
      </c>
      <c r="T243" s="17" t="s">
        <v>2131</v>
      </c>
      <c r="AK243" s="17" t="s">
        <v>2100</v>
      </c>
      <c r="AL243" s="17" t="s">
        <v>2101</v>
      </c>
    </row>
    <row r="244" spans="1:38" x14ac:dyDescent="0.25">
      <c r="A244" s="17" t="s">
        <v>2134</v>
      </c>
      <c r="B244" s="17" t="s">
        <v>2135</v>
      </c>
      <c r="G244" s="16"/>
      <c r="S244" s="17" t="s">
        <v>2136</v>
      </c>
      <c r="T244" s="17" t="s">
        <v>2137</v>
      </c>
      <c r="AK244" s="17" t="s">
        <v>2106</v>
      </c>
      <c r="AL244" s="17" t="s">
        <v>2107</v>
      </c>
    </row>
    <row r="245" spans="1:38" x14ac:dyDescent="0.25">
      <c r="A245" s="17" t="s">
        <v>2140</v>
      </c>
      <c r="B245" s="17" t="s">
        <v>2141</v>
      </c>
      <c r="G245" s="16"/>
      <c r="S245" s="17" t="s">
        <v>2142</v>
      </c>
      <c r="T245" s="17" t="s">
        <v>2143</v>
      </c>
      <c r="AK245" s="17" t="s">
        <v>2112</v>
      </c>
      <c r="AL245" s="17" t="s">
        <v>483</v>
      </c>
    </row>
    <row r="246" spans="1:38" x14ac:dyDescent="0.25">
      <c r="A246" s="17" t="s">
        <v>2145</v>
      </c>
      <c r="B246" s="17" t="s">
        <v>2146</v>
      </c>
      <c r="G246" s="16"/>
      <c r="S246" s="17" t="s">
        <v>2147</v>
      </c>
      <c r="T246" s="17" t="s">
        <v>2148</v>
      </c>
      <c r="AK246" s="17" t="s">
        <v>2117</v>
      </c>
      <c r="AL246" s="17" t="s">
        <v>3047</v>
      </c>
    </row>
    <row r="247" spans="1:38" x14ac:dyDescent="0.25">
      <c r="A247" s="17" t="s">
        <v>2151</v>
      </c>
      <c r="B247" s="17" t="s">
        <v>2152</v>
      </c>
      <c r="G247" s="16"/>
      <c r="S247" s="17" t="s">
        <v>2153</v>
      </c>
      <c r="T247" s="17" t="s">
        <v>2154</v>
      </c>
      <c r="AK247" s="17" t="s">
        <v>2122</v>
      </c>
      <c r="AL247" s="17" t="s">
        <v>3048</v>
      </c>
    </row>
    <row r="248" spans="1:38" x14ac:dyDescent="0.25">
      <c r="A248" s="17" t="s">
        <v>2157</v>
      </c>
      <c r="B248" s="17" t="s">
        <v>2158</v>
      </c>
      <c r="G248" s="16"/>
      <c r="S248" s="17" t="s">
        <v>2159</v>
      </c>
      <c r="T248" s="17" t="s">
        <v>2160</v>
      </c>
      <c r="AK248" s="17" t="s">
        <v>2069</v>
      </c>
      <c r="AL248" s="17" t="s">
        <v>2127</v>
      </c>
    </row>
    <row r="249" spans="1:38" x14ac:dyDescent="0.25">
      <c r="A249" s="17" t="s">
        <v>2162</v>
      </c>
      <c r="B249" s="17" t="s">
        <v>2163</v>
      </c>
      <c r="G249" s="16"/>
      <c r="S249" s="17" t="s">
        <v>2164</v>
      </c>
      <c r="T249" s="17" t="s">
        <v>2165</v>
      </c>
      <c r="AK249" s="17" t="s">
        <v>2132</v>
      </c>
      <c r="AL249" s="17" t="s">
        <v>2133</v>
      </c>
    </row>
    <row r="250" spans="1:38" x14ac:dyDescent="0.25">
      <c r="A250" s="17" t="s">
        <v>2168</v>
      </c>
      <c r="B250" s="17" t="s">
        <v>2169</v>
      </c>
      <c r="G250" s="16"/>
      <c r="S250" s="17" t="s">
        <v>2170</v>
      </c>
      <c r="T250" s="17" t="s">
        <v>2171</v>
      </c>
      <c r="AK250" s="17" t="s">
        <v>2138</v>
      </c>
      <c r="AL250" s="17" t="s">
        <v>2139</v>
      </c>
    </row>
    <row r="251" spans="1:38" x14ac:dyDescent="0.25">
      <c r="A251" s="17" t="s">
        <v>2174</v>
      </c>
      <c r="B251" s="17" t="s">
        <v>2175</v>
      </c>
      <c r="G251" s="16"/>
      <c r="S251" s="17" t="s">
        <v>2176</v>
      </c>
      <c r="T251" s="17" t="s">
        <v>2177</v>
      </c>
      <c r="AK251" s="17" t="s">
        <v>2144</v>
      </c>
      <c r="AL251" s="17" t="s">
        <v>3049</v>
      </c>
    </row>
    <row r="252" spans="1:38" x14ac:dyDescent="0.25">
      <c r="A252" s="17" t="s">
        <v>2180</v>
      </c>
      <c r="B252" s="17" t="s">
        <v>2181</v>
      </c>
      <c r="G252" s="16"/>
      <c r="S252" s="17" t="s">
        <v>2182</v>
      </c>
      <c r="T252" s="17" t="s">
        <v>2183</v>
      </c>
      <c r="AK252" s="17" t="s">
        <v>2149</v>
      </c>
      <c r="AL252" s="17" t="s">
        <v>2150</v>
      </c>
    </row>
    <row r="253" spans="1:38" x14ac:dyDescent="0.25">
      <c r="A253" s="17" t="s">
        <v>2186</v>
      </c>
      <c r="B253" s="17" t="s">
        <v>2187</v>
      </c>
      <c r="G253" s="16"/>
      <c r="S253" s="17" t="s">
        <v>2188</v>
      </c>
      <c r="T253" s="17" t="s">
        <v>2189</v>
      </c>
      <c r="AK253" s="17" t="s">
        <v>2155</v>
      </c>
      <c r="AL253" s="17" t="s">
        <v>2156</v>
      </c>
    </row>
    <row r="254" spans="1:38" x14ac:dyDescent="0.25">
      <c r="A254" s="17" t="s">
        <v>2192</v>
      </c>
      <c r="B254" s="17" t="s">
        <v>2193</v>
      </c>
      <c r="G254" s="16"/>
      <c r="S254" s="17" t="s">
        <v>2194</v>
      </c>
      <c r="T254" s="17" t="s">
        <v>2195</v>
      </c>
      <c r="AK254" s="17" t="s">
        <v>2161</v>
      </c>
      <c r="AL254" s="17" t="s">
        <v>3050</v>
      </c>
    </row>
    <row r="255" spans="1:38" x14ac:dyDescent="0.25">
      <c r="A255" s="17" t="s">
        <v>2196</v>
      </c>
      <c r="B255" s="17" t="s">
        <v>2197</v>
      </c>
      <c r="G255" s="16"/>
      <c r="S255" s="17" t="s">
        <v>2198</v>
      </c>
      <c r="T255" s="17" t="s">
        <v>2199</v>
      </c>
      <c r="AK255" s="17" t="s">
        <v>2166</v>
      </c>
      <c r="AL255" s="17" t="s">
        <v>2167</v>
      </c>
    </row>
    <row r="256" spans="1:38" x14ac:dyDescent="0.25">
      <c r="A256" s="17" t="s">
        <v>2200</v>
      </c>
      <c r="B256" s="17" t="s">
        <v>2201</v>
      </c>
      <c r="G256" s="16"/>
      <c r="S256" s="17" t="s">
        <v>2202</v>
      </c>
      <c r="T256" s="17" t="s">
        <v>2203</v>
      </c>
      <c r="AK256" s="17" t="s">
        <v>2172</v>
      </c>
      <c r="AL256" s="17" t="s">
        <v>2173</v>
      </c>
    </row>
    <row r="257" spans="1:38" x14ac:dyDescent="0.25">
      <c r="A257" s="17" t="s">
        <v>2204</v>
      </c>
      <c r="B257" s="17" t="s">
        <v>2205</v>
      </c>
      <c r="G257" s="16"/>
      <c r="S257" s="17" t="s">
        <v>2206</v>
      </c>
      <c r="T257" s="17" t="s">
        <v>2207</v>
      </c>
      <c r="AK257" s="17" t="s">
        <v>2178</v>
      </c>
      <c r="AL257" s="17" t="s">
        <v>2179</v>
      </c>
    </row>
    <row r="258" spans="1:38" x14ac:dyDescent="0.25">
      <c r="A258" s="17" t="s">
        <v>2208</v>
      </c>
      <c r="B258" s="17" t="s">
        <v>2209</v>
      </c>
      <c r="G258" s="16"/>
      <c r="S258" s="17" t="s">
        <v>2210</v>
      </c>
      <c r="T258" s="17" t="s">
        <v>2211</v>
      </c>
      <c r="AK258" s="17" t="s">
        <v>2184</v>
      </c>
      <c r="AL258" s="17" t="s">
        <v>2185</v>
      </c>
    </row>
    <row r="259" spans="1:38" x14ac:dyDescent="0.25">
      <c r="A259" s="17" t="s">
        <v>2212</v>
      </c>
      <c r="B259" s="17" t="s">
        <v>2213</v>
      </c>
      <c r="G259" s="16"/>
      <c r="S259" s="17" t="s">
        <v>2214</v>
      </c>
      <c r="T259" s="17" t="s">
        <v>2215</v>
      </c>
      <c r="AK259" s="17" t="s">
        <v>2190</v>
      </c>
      <c r="AL259" s="17" t="s">
        <v>2191</v>
      </c>
    </row>
    <row r="260" spans="1:38" x14ac:dyDescent="0.25">
      <c r="A260" s="17" t="s">
        <v>2216</v>
      </c>
      <c r="B260" s="17" t="s">
        <v>2217</v>
      </c>
      <c r="G260" s="16"/>
      <c r="S260" s="17" t="s">
        <v>2218</v>
      </c>
      <c r="T260" s="17" t="s">
        <v>2219</v>
      </c>
      <c r="AK260" s="17" t="s">
        <v>3051</v>
      </c>
      <c r="AL260" s="17" t="s">
        <v>3051</v>
      </c>
    </row>
    <row r="261" spans="1:38" x14ac:dyDescent="0.25">
      <c r="A261" s="17" t="s">
        <v>2220</v>
      </c>
      <c r="B261" s="17" t="s">
        <v>2221</v>
      </c>
      <c r="G261" s="16"/>
      <c r="S261" s="17" t="s">
        <v>2222</v>
      </c>
      <c r="T261" s="17" t="s">
        <v>2223</v>
      </c>
      <c r="AK261" s="17" t="s">
        <v>3051</v>
      </c>
      <c r="AL261" s="17" t="s">
        <v>3052</v>
      </c>
    </row>
    <row r="262" spans="1:38" x14ac:dyDescent="0.25">
      <c r="A262" s="17" t="s">
        <v>2224</v>
      </c>
      <c r="B262" s="17" t="s">
        <v>2225</v>
      </c>
      <c r="G262" s="16"/>
      <c r="S262" s="17" t="s">
        <v>2226</v>
      </c>
      <c r="T262" s="17" t="s">
        <v>2227</v>
      </c>
    </row>
    <row r="263" spans="1:38" x14ac:dyDescent="0.25">
      <c r="A263" s="17" t="s">
        <v>2228</v>
      </c>
      <c r="B263" s="17" t="s">
        <v>2229</v>
      </c>
      <c r="G263" s="16"/>
      <c r="S263" s="17" t="s">
        <v>2230</v>
      </c>
      <c r="T263" s="17" t="s">
        <v>2231</v>
      </c>
    </row>
    <row r="264" spans="1:38" x14ac:dyDescent="0.25">
      <c r="A264" s="17" t="s">
        <v>2232</v>
      </c>
      <c r="B264" s="17" t="s">
        <v>2233</v>
      </c>
      <c r="G264" s="16"/>
      <c r="S264" s="17" t="s">
        <v>2234</v>
      </c>
      <c r="T264" s="17" t="s">
        <v>2235</v>
      </c>
    </row>
    <row r="265" spans="1:38" x14ac:dyDescent="0.25">
      <c r="A265" s="17" t="s">
        <v>2236</v>
      </c>
      <c r="B265" s="17" t="s">
        <v>2237</v>
      </c>
      <c r="G265" s="16"/>
      <c r="S265" s="17" t="s">
        <v>2238</v>
      </c>
      <c r="T265" s="17" t="s">
        <v>2239</v>
      </c>
    </row>
    <row r="266" spans="1:38" x14ac:dyDescent="0.25">
      <c r="A266" s="17" t="s">
        <v>2240</v>
      </c>
      <c r="B266" s="17" t="s">
        <v>2241</v>
      </c>
      <c r="G266" s="16"/>
      <c r="S266" s="17" t="s">
        <v>2242</v>
      </c>
      <c r="T266" s="17" t="s">
        <v>2243</v>
      </c>
    </row>
    <row r="267" spans="1:38" x14ac:dyDescent="0.25">
      <c r="A267" s="17" t="s">
        <v>2244</v>
      </c>
      <c r="B267" s="17" t="s">
        <v>2245</v>
      </c>
      <c r="G267" s="16"/>
      <c r="S267" s="17" t="s">
        <v>2246</v>
      </c>
      <c r="T267" s="17" t="s">
        <v>2247</v>
      </c>
    </row>
    <row r="268" spans="1:38" x14ac:dyDescent="0.25">
      <c r="A268" s="17" t="s">
        <v>2248</v>
      </c>
      <c r="B268" s="17" t="s">
        <v>2249</v>
      </c>
      <c r="G268" s="16"/>
      <c r="S268" s="17" t="s">
        <v>2250</v>
      </c>
      <c r="T268" s="17" t="s">
        <v>2251</v>
      </c>
    </row>
    <row r="269" spans="1:38" x14ac:dyDescent="0.25">
      <c r="A269" s="17" t="s">
        <v>2252</v>
      </c>
      <c r="B269" s="17" t="s">
        <v>2253</v>
      </c>
      <c r="G269" s="16"/>
      <c r="S269" s="17" t="s">
        <v>2254</v>
      </c>
      <c r="T269" s="17" t="s">
        <v>2255</v>
      </c>
    </row>
    <row r="270" spans="1:38" x14ac:dyDescent="0.25">
      <c r="A270" s="17" t="s">
        <v>2256</v>
      </c>
      <c r="B270" s="17" t="s">
        <v>2257</v>
      </c>
      <c r="G270" s="16"/>
      <c r="S270" s="17" t="s">
        <v>2258</v>
      </c>
      <c r="T270" s="17" t="s">
        <v>2259</v>
      </c>
    </row>
    <row r="271" spans="1:38" x14ac:dyDescent="0.25">
      <c r="A271" s="17" t="s">
        <v>2260</v>
      </c>
      <c r="B271" s="17" t="s">
        <v>2261</v>
      </c>
      <c r="G271" s="16"/>
      <c r="S271" s="17" t="s">
        <v>2262</v>
      </c>
      <c r="T271" s="17" t="s">
        <v>2263</v>
      </c>
    </row>
    <row r="272" spans="1:38" x14ac:dyDescent="0.25">
      <c r="A272" s="17" t="s">
        <v>2264</v>
      </c>
      <c r="B272" s="17" t="s">
        <v>2265</v>
      </c>
      <c r="G272" s="16"/>
      <c r="S272" s="17" t="s">
        <v>2266</v>
      </c>
      <c r="T272" s="17" t="s">
        <v>2267</v>
      </c>
    </row>
    <row r="273" spans="1:20" x14ac:dyDescent="0.25">
      <c r="A273" s="17" t="s">
        <v>2268</v>
      </c>
      <c r="B273" s="17" t="s">
        <v>2269</v>
      </c>
      <c r="G273" s="16"/>
      <c r="S273" s="17" t="s">
        <v>2270</v>
      </c>
      <c r="T273" s="17" t="s">
        <v>2271</v>
      </c>
    </row>
    <row r="274" spans="1:20" x14ac:dyDescent="0.25">
      <c r="A274" s="17" t="s">
        <v>2272</v>
      </c>
      <c r="B274" s="17" t="s">
        <v>2273</v>
      </c>
      <c r="G274" s="16"/>
      <c r="S274" s="17" t="s">
        <v>2274</v>
      </c>
      <c r="T274" s="17" t="s">
        <v>2275</v>
      </c>
    </row>
    <row r="275" spans="1:20" x14ac:dyDescent="0.25">
      <c r="A275" s="17" t="s">
        <v>2276</v>
      </c>
      <c r="B275" s="17" t="s">
        <v>2277</v>
      </c>
      <c r="G275" s="16"/>
      <c r="S275" s="17" t="s">
        <v>2278</v>
      </c>
      <c r="T275" s="17" t="s">
        <v>2279</v>
      </c>
    </row>
    <row r="276" spans="1:20" x14ac:dyDescent="0.25">
      <c r="A276" s="17" t="s">
        <v>2280</v>
      </c>
      <c r="B276" s="17" t="s">
        <v>2281</v>
      </c>
      <c r="G276" s="16"/>
      <c r="S276" s="17" t="s">
        <v>2282</v>
      </c>
      <c r="T276" s="17" t="s">
        <v>2283</v>
      </c>
    </row>
    <row r="277" spans="1:20" x14ac:dyDescent="0.25">
      <c r="A277" s="17" t="s">
        <v>2284</v>
      </c>
      <c r="B277" s="17" t="s">
        <v>2285</v>
      </c>
      <c r="G277" s="16"/>
      <c r="S277" s="17" t="s">
        <v>2286</v>
      </c>
      <c r="T277" s="17" t="s">
        <v>2287</v>
      </c>
    </row>
    <row r="278" spans="1:20" x14ac:dyDescent="0.25">
      <c r="A278" s="17" t="s">
        <v>2288</v>
      </c>
      <c r="B278" s="17" t="s">
        <v>2289</v>
      </c>
      <c r="G278" s="16"/>
      <c r="S278" s="17" t="s">
        <v>2290</v>
      </c>
      <c r="T278" s="17" t="s">
        <v>2291</v>
      </c>
    </row>
    <row r="279" spans="1:20" x14ac:dyDescent="0.25">
      <c r="A279" s="17" t="s">
        <v>2292</v>
      </c>
      <c r="B279" s="17" t="s">
        <v>2293</v>
      </c>
      <c r="G279" s="16"/>
      <c r="S279" s="17" t="s">
        <v>2294</v>
      </c>
      <c r="T279" s="17" t="s">
        <v>2295</v>
      </c>
    </row>
    <row r="280" spans="1:20" x14ac:dyDescent="0.25">
      <c r="A280" s="17" t="s">
        <v>2296</v>
      </c>
      <c r="B280" s="17" t="s">
        <v>2297</v>
      </c>
      <c r="G280" s="16"/>
      <c r="S280" s="17" t="s">
        <v>2298</v>
      </c>
      <c r="T280" s="17" t="s">
        <v>2299</v>
      </c>
    </row>
    <row r="281" spans="1:20" x14ac:dyDescent="0.25">
      <c r="A281" s="17" t="s">
        <v>2300</v>
      </c>
      <c r="B281" s="17" t="s">
        <v>2301</v>
      </c>
      <c r="G281" s="16"/>
      <c r="S281" s="17" t="s">
        <v>2302</v>
      </c>
      <c r="T281" s="17" t="s">
        <v>2303</v>
      </c>
    </row>
    <row r="282" spans="1:20" x14ac:dyDescent="0.25">
      <c r="A282" s="17" t="s">
        <v>2304</v>
      </c>
      <c r="B282" s="17" t="s">
        <v>2305</v>
      </c>
      <c r="G282" s="16"/>
      <c r="S282" s="17" t="s">
        <v>2306</v>
      </c>
      <c r="T282" s="17" t="s">
        <v>2307</v>
      </c>
    </row>
    <row r="283" spans="1:20" x14ac:dyDescent="0.25">
      <c r="A283" s="17" t="s">
        <v>2308</v>
      </c>
      <c r="B283" s="17" t="s">
        <v>2309</v>
      </c>
      <c r="G283" s="16"/>
      <c r="S283" s="17" t="s">
        <v>2310</v>
      </c>
      <c r="T283" s="17" t="s">
        <v>2311</v>
      </c>
    </row>
    <row r="284" spans="1:20" x14ac:dyDescent="0.25">
      <c r="A284" s="17" t="s">
        <v>2312</v>
      </c>
      <c r="B284" s="17" t="s">
        <v>2313</v>
      </c>
      <c r="G284" s="16"/>
      <c r="S284" s="17" t="s">
        <v>2314</v>
      </c>
      <c r="T284" s="17" t="s">
        <v>2315</v>
      </c>
    </row>
    <row r="285" spans="1:20" x14ac:dyDescent="0.25">
      <c r="A285" s="17" t="s">
        <v>2316</v>
      </c>
      <c r="B285" s="17" t="s">
        <v>2317</v>
      </c>
      <c r="G285" s="16"/>
      <c r="S285" s="17" t="s">
        <v>2318</v>
      </c>
      <c r="T285" s="17" t="s">
        <v>2319</v>
      </c>
    </row>
    <row r="286" spans="1:20" x14ac:dyDescent="0.25">
      <c r="A286" s="17" t="s">
        <v>2320</v>
      </c>
      <c r="B286" s="17" t="s">
        <v>2321</v>
      </c>
      <c r="G286" s="16"/>
      <c r="S286" s="17" t="s">
        <v>2322</v>
      </c>
      <c r="T286" s="17" t="s">
        <v>2323</v>
      </c>
    </row>
    <row r="287" spans="1:20" x14ac:dyDescent="0.25">
      <c r="A287" s="17" t="s">
        <v>2324</v>
      </c>
      <c r="B287" s="17" t="s">
        <v>2325</v>
      </c>
      <c r="G287" s="16"/>
      <c r="S287" s="17" t="s">
        <v>2326</v>
      </c>
      <c r="T287" s="17" t="s">
        <v>2327</v>
      </c>
    </row>
    <row r="288" spans="1:20" x14ac:dyDescent="0.25">
      <c r="A288" s="17" t="s">
        <v>2328</v>
      </c>
      <c r="B288" s="17" t="s">
        <v>2329</v>
      </c>
      <c r="G288" s="16"/>
      <c r="S288" s="17" t="s">
        <v>2330</v>
      </c>
      <c r="T288" s="17" t="s">
        <v>2331</v>
      </c>
    </row>
    <row r="289" spans="1:20" x14ac:dyDescent="0.25">
      <c r="A289" s="17" t="s">
        <v>2332</v>
      </c>
      <c r="B289" s="17" t="s">
        <v>2333</v>
      </c>
      <c r="G289" s="16"/>
      <c r="S289" s="17" t="s">
        <v>2334</v>
      </c>
      <c r="T289" s="17" t="s">
        <v>2335</v>
      </c>
    </row>
    <row r="290" spans="1:20" x14ac:dyDescent="0.25">
      <c r="A290" s="17" t="s">
        <v>2336</v>
      </c>
      <c r="B290" s="17" t="s">
        <v>2337</v>
      </c>
      <c r="G290" s="16"/>
      <c r="S290" s="17" t="s">
        <v>2338</v>
      </c>
      <c r="T290" s="17" t="s">
        <v>2339</v>
      </c>
    </row>
    <row r="291" spans="1:20" x14ac:dyDescent="0.25">
      <c r="A291" s="17" t="s">
        <v>2340</v>
      </c>
      <c r="B291" s="17" t="s">
        <v>2341</v>
      </c>
      <c r="G291" s="16"/>
      <c r="S291" s="17" t="s">
        <v>2342</v>
      </c>
      <c r="T291" s="17" t="s">
        <v>2343</v>
      </c>
    </row>
    <row r="292" spans="1:20" x14ac:dyDescent="0.25">
      <c r="A292" s="17" t="s">
        <v>2344</v>
      </c>
      <c r="B292" s="17" t="s">
        <v>2345</v>
      </c>
      <c r="G292" s="16"/>
      <c r="S292" s="17" t="s">
        <v>2346</v>
      </c>
      <c r="T292" s="17" t="s">
        <v>2347</v>
      </c>
    </row>
    <row r="293" spans="1:20" x14ac:dyDescent="0.25">
      <c r="A293" s="17" t="s">
        <v>2348</v>
      </c>
      <c r="B293" s="17" t="s">
        <v>2349</v>
      </c>
      <c r="G293" s="16"/>
      <c r="S293" s="17" t="s">
        <v>2350</v>
      </c>
      <c r="T293" s="17" t="s">
        <v>2351</v>
      </c>
    </row>
    <row r="294" spans="1:20" x14ac:dyDescent="0.25">
      <c r="A294" s="17" t="s">
        <v>2352</v>
      </c>
      <c r="B294" s="17" t="s">
        <v>2353</v>
      </c>
      <c r="G294" s="16"/>
      <c r="S294" s="17" t="s">
        <v>2354</v>
      </c>
      <c r="T294" s="17" t="s">
        <v>2355</v>
      </c>
    </row>
    <row r="295" spans="1:20" x14ac:dyDescent="0.25">
      <c r="A295" s="17" t="s">
        <v>2356</v>
      </c>
      <c r="B295" s="17" t="s">
        <v>2357</v>
      </c>
      <c r="G295" s="16"/>
      <c r="S295" s="17" t="s">
        <v>2358</v>
      </c>
      <c r="T295" s="17" t="s">
        <v>2359</v>
      </c>
    </row>
    <row r="296" spans="1:20" x14ac:dyDescent="0.25">
      <c r="A296" s="17" t="s">
        <v>2360</v>
      </c>
      <c r="B296" s="17" t="s">
        <v>2361</v>
      </c>
      <c r="G296" s="16"/>
      <c r="S296" s="17" t="s">
        <v>2362</v>
      </c>
      <c r="T296" s="17" t="s">
        <v>2363</v>
      </c>
    </row>
    <row r="297" spans="1:20" x14ac:dyDescent="0.25">
      <c r="A297" s="17" t="s">
        <v>2364</v>
      </c>
      <c r="B297" s="17" t="s">
        <v>2365</v>
      </c>
      <c r="G297" s="16"/>
      <c r="S297" s="17" t="s">
        <v>2366</v>
      </c>
      <c r="T297" s="17" t="s">
        <v>2367</v>
      </c>
    </row>
    <row r="298" spans="1:20" x14ac:dyDescent="0.25">
      <c r="A298" s="17" t="s">
        <v>2368</v>
      </c>
      <c r="B298" s="17" t="s">
        <v>2369</v>
      </c>
      <c r="G298" s="16"/>
      <c r="S298" s="17" t="s">
        <v>2370</v>
      </c>
      <c r="T298" s="17" t="s">
        <v>2371</v>
      </c>
    </row>
    <row r="299" spans="1:20" x14ac:dyDescent="0.25">
      <c r="A299" s="17" t="s">
        <v>2372</v>
      </c>
      <c r="B299" s="17" t="s">
        <v>2373</v>
      </c>
      <c r="G299" s="16"/>
      <c r="S299" s="17" t="s">
        <v>2374</v>
      </c>
      <c r="T299" s="17" t="s">
        <v>2375</v>
      </c>
    </row>
    <row r="300" spans="1:20" x14ac:dyDescent="0.25">
      <c r="A300" s="17" t="s">
        <v>2376</v>
      </c>
      <c r="B300" s="17" t="s">
        <v>2377</v>
      </c>
      <c r="G300" s="16"/>
      <c r="S300" s="17" t="s">
        <v>2378</v>
      </c>
      <c r="T300" s="17" t="s">
        <v>2379</v>
      </c>
    </row>
    <row r="301" spans="1:20" x14ac:dyDescent="0.25">
      <c r="A301" s="17" t="s">
        <v>2380</v>
      </c>
      <c r="B301" s="17" t="s">
        <v>2381</v>
      </c>
      <c r="G301" s="16"/>
      <c r="S301" s="17" t="s">
        <v>2382</v>
      </c>
      <c r="T301" s="17" t="s">
        <v>2383</v>
      </c>
    </row>
    <row r="302" spans="1:20" x14ac:dyDescent="0.25">
      <c r="A302" s="17" t="s">
        <v>2384</v>
      </c>
      <c r="B302" s="17" t="s">
        <v>2385</v>
      </c>
      <c r="G302" s="16"/>
      <c r="S302" s="17" t="s">
        <v>2386</v>
      </c>
      <c r="T302" s="17" t="s">
        <v>2387</v>
      </c>
    </row>
    <row r="303" spans="1:20" x14ac:dyDescent="0.25">
      <c r="A303" s="17" t="s">
        <v>2388</v>
      </c>
      <c r="B303" s="17" t="s">
        <v>2389</v>
      </c>
      <c r="G303" s="16"/>
      <c r="S303" s="17" t="s">
        <v>2390</v>
      </c>
      <c r="T303" s="17" t="s">
        <v>2391</v>
      </c>
    </row>
    <row r="304" spans="1:20" x14ac:dyDescent="0.25">
      <c r="A304" s="17" t="s">
        <v>2392</v>
      </c>
      <c r="B304" s="17" t="s">
        <v>2393</v>
      </c>
      <c r="G304" s="16"/>
      <c r="S304" s="17" t="s">
        <v>2394</v>
      </c>
      <c r="T304" s="17" t="s">
        <v>2395</v>
      </c>
    </row>
    <row r="305" spans="1:20" x14ac:dyDescent="0.25">
      <c r="A305" s="17" t="s">
        <v>2396</v>
      </c>
      <c r="B305" s="17" t="s">
        <v>2397</v>
      </c>
      <c r="G305" s="16"/>
      <c r="S305" s="17" t="s">
        <v>2398</v>
      </c>
      <c r="T305" s="17" t="s">
        <v>2399</v>
      </c>
    </row>
    <row r="306" spans="1:20" x14ac:dyDescent="0.25">
      <c r="A306" s="17" t="s">
        <v>2400</v>
      </c>
      <c r="B306" s="17" t="s">
        <v>2401</v>
      </c>
      <c r="G306" s="16"/>
      <c r="S306" s="17" t="s">
        <v>2402</v>
      </c>
      <c r="T306" s="17" t="s">
        <v>2403</v>
      </c>
    </row>
    <row r="307" spans="1:20" x14ac:dyDescent="0.25">
      <c r="A307" s="17" t="s">
        <v>2404</v>
      </c>
      <c r="B307" s="17" t="s">
        <v>2405</v>
      </c>
      <c r="S307" s="17" t="s">
        <v>2406</v>
      </c>
      <c r="T307" s="17" t="s">
        <v>2407</v>
      </c>
    </row>
    <row r="308" spans="1:20" x14ac:dyDescent="0.25">
      <c r="A308" s="17" t="s">
        <v>2408</v>
      </c>
      <c r="B308" s="17" t="s">
        <v>2409</v>
      </c>
      <c r="S308" s="17" t="s">
        <v>2410</v>
      </c>
      <c r="T308" s="17" t="s">
        <v>2411</v>
      </c>
    </row>
    <row r="309" spans="1:20" x14ac:dyDescent="0.25">
      <c r="A309" s="17" t="s">
        <v>2412</v>
      </c>
      <c r="B309" s="17" t="s">
        <v>2413</v>
      </c>
      <c r="S309" s="17" t="s">
        <v>2414</v>
      </c>
      <c r="T309" s="17" t="s">
        <v>2415</v>
      </c>
    </row>
    <row r="310" spans="1:20" x14ac:dyDescent="0.25">
      <c r="A310" s="17" t="s">
        <v>2416</v>
      </c>
      <c r="B310" s="17" t="s">
        <v>2417</v>
      </c>
      <c r="S310" s="17" t="s">
        <v>2418</v>
      </c>
      <c r="T310" s="17" t="s">
        <v>2419</v>
      </c>
    </row>
    <row r="311" spans="1:20" x14ac:dyDescent="0.25">
      <c r="A311" s="17" t="s">
        <v>2420</v>
      </c>
      <c r="B311" s="17" t="s">
        <v>2421</v>
      </c>
      <c r="S311" s="17" t="s">
        <v>2422</v>
      </c>
      <c r="T311" s="17" t="s">
        <v>2423</v>
      </c>
    </row>
    <row r="312" spans="1:20" x14ac:dyDescent="0.25">
      <c r="A312" s="17" t="s">
        <v>2424</v>
      </c>
      <c r="B312" s="17" t="s">
        <v>2425</v>
      </c>
      <c r="S312" s="17" t="s">
        <v>2426</v>
      </c>
      <c r="T312" s="17" t="s">
        <v>2427</v>
      </c>
    </row>
    <row r="313" spans="1:20" x14ac:dyDescent="0.25">
      <c r="A313" s="17" t="s">
        <v>2428</v>
      </c>
      <c r="B313" s="17" t="s">
        <v>2429</v>
      </c>
      <c r="S313" s="17" t="s">
        <v>2430</v>
      </c>
      <c r="T313" s="17" t="s">
        <v>2431</v>
      </c>
    </row>
    <row r="314" spans="1:20" x14ac:dyDescent="0.25">
      <c r="A314" s="17" t="s">
        <v>2432</v>
      </c>
      <c r="B314" s="17" t="s">
        <v>2433</v>
      </c>
      <c r="S314" s="17" t="s">
        <v>2434</v>
      </c>
      <c r="T314" s="17" t="s">
        <v>2435</v>
      </c>
    </row>
    <row r="315" spans="1:20" x14ac:dyDescent="0.25">
      <c r="A315" s="17" t="s">
        <v>2436</v>
      </c>
      <c r="B315" s="17" t="s">
        <v>2437</v>
      </c>
      <c r="S315" s="17" t="s">
        <v>2438</v>
      </c>
      <c r="T315" s="17" t="s">
        <v>2439</v>
      </c>
    </row>
    <row r="316" spans="1:20" x14ac:dyDescent="0.25">
      <c r="B316" s="18"/>
      <c r="S316" s="17" t="s">
        <v>2440</v>
      </c>
      <c r="T316" s="17" t="s">
        <v>2441</v>
      </c>
    </row>
    <row r="317" spans="1:20" x14ac:dyDescent="0.25">
      <c r="B317" s="18"/>
      <c r="S317" s="17" t="s">
        <v>2442</v>
      </c>
      <c r="T317" s="17" t="s">
        <v>2443</v>
      </c>
    </row>
    <row r="318" spans="1:20" x14ac:dyDescent="0.25">
      <c r="B318" s="18"/>
      <c r="S318" s="17" t="s">
        <v>2444</v>
      </c>
      <c r="T318" s="17" t="s">
        <v>2445</v>
      </c>
    </row>
    <row r="319" spans="1:20" x14ac:dyDescent="0.25">
      <c r="B319" s="18"/>
      <c r="S319" s="17" t="s">
        <v>2446</v>
      </c>
      <c r="T319" s="17" t="s">
        <v>2447</v>
      </c>
    </row>
    <row r="320" spans="1:20" x14ac:dyDescent="0.25">
      <c r="B320" s="18"/>
      <c r="S320" s="17" t="s">
        <v>2448</v>
      </c>
      <c r="T320" s="17" t="s">
        <v>2449</v>
      </c>
    </row>
    <row r="321" spans="2:20" x14ac:dyDescent="0.25">
      <c r="B321" s="18"/>
      <c r="S321" s="17" t="s">
        <v>2450</v>
      </c>
      <c r="T321" s="17" t="s">
        <v>2451</v>
      </c>
    </row>
    <row r="322" spans="2:20" x14ac:dyDescent="0.25">
      <c r="B322" s="18"/>
      <c r="S322" s="17" t="s">
        <v>2452</v>
      </c>
      <c r="T322" s="17" t="s">
        <v>2453</v>
      </c>
    </row>
    <row r="323" spans="2:20" x14ac:dyDescent="0.25">
      <c r="B323" s="18"/>
      <c r="S323" s="17" t="s">
        <v>2454</v>
      </c>
      <c r="T323" s="17" t="s">
        <v>2455</v>
      </c>
    </row>
    <row r="324" spans="2:20" x14ac:dyDescent="0.25">
      <c r="B324" s="18"/>
      <c r="S324" s="17" t="s">
        <v>2456</v>
      </c>
      <c r="T324" s="17" t="s">
        <v>2457</v>
      </c>
    </row>
    <row r="325" spans="2:20" x14ac:dyDescent="0.25">
      <c r="B325" s="18"/>
      <c r="S325" s="17" t="s">
        <v>2458</v>
      </c>
      <c r="T325" s="17" t="s">
        <v>2459</v>
      </c>
    </row>
    <row r="326" spans="2:20" x14ac:dyDescent="0.25">
      <c r="B326" s="18"/>
      <c r="S326" s="17" t="s">
        <v>2460</v>
      </c>
      <c r="T326" s="17" t="s">
        <v>2461</v>
      </c>
    </row>
    <row r="327" spans="2:20" x14ac:dyDescent="0.25">
      <c r="B327" s="18"/>
      <c r="S327" s="17" t="s">
        <v>2462</v>
      </c>
      <c r="T327" s="17" t="s">
        <v>2463</v>
      </c>
    </row>
    <row r="328" spans="2:20" x14ac:dyDescent="0.25">
      <c r="B328" s="18"/>
      <c r="S328" s="17" t="s">
        <v>2464</v>
      </c>
      <c r="T328" s="17" t="s">
        <v>2465</v>
      </c>
    </row>
    <row r="329" spans="2:20" x14ac:dyDescent="0.25">
      <c r="B329" s="18"/>
      <c r="S329" s="17" t="s">
        <v>2466</v>
      </c>
      <c r="T329" s="17" t="s">
        <v>2467</v>
      </c>
    </row>
    <row r="330" spans="2:20" x14ac:dyDescent="0.25">
      <c r="B330" s="18"/>
      <c r="S330" s="17" t="s">
        <v>2468</v>
      </c>
      <c r="T330" s="17" t="s">
        <v>2469</v>
      </c>
    </row>
    <row r="331" spans="2:20" x14ac:dyDescent="0.25">
      <c r="B331" s="18"/>
      <c r="S331" s="17" t="s">
        <v>2470</v>
      </c>
      <c r="T331" s="17" t="s">
        <v>114</v>
      </c>
    </row>
    <row r="332" spans="2:20" x14ac:dyDescent="0.25">
      <c r="B332" s="18"/>
      <c r="S332" s="17" t="s">
        <v>2471</v>
      </c>
      <c r="T332" s="17" t="s">
        <v>249</v>
      </c>
    </row>
    <row r="333" spans="2:20" x14ac:dyDescent="0.25">
      <c r="B333" s="18"/>
      <c r="S333" s="17" t="s">
        <v>2472</v>
      </c>
      <c r="T333" s="17" t="s">
        <v>213</v>
      </c>
    </row>
    <row r="334" spans="2:20" x14ac:dyDescent="0.25">
      <c r="B334" s="18"/>
      <c r="S334" s="17" t="s">
        <v>2473</v>
      </c>
      <c r="T334" s="17" t="s">
        <v>195</v>
      </c>
    </row>
    <row r="335" spans="2:20" x14ac:dyDescent="0.25">
      <c r="B335" s="18"/>
      <c r="S335" s="17" t="s">
        <v>2474</v>
      </c>
      <c r="T335" s="17" t="s">
        <v>175</v>
      </c>
    </row>
    <row r="336" spans="2:20" x14ac:dyDescent="0.25">
      <c r="B336" s="18"/>
      <c r="S336" s="17" t="s">
        <v>2475</v>
      </c>
      <c r="T336" s="17" t="s">
        <v>155</v>
      </c>
    </row>
    <row r="337" spans="2:20" x14ac:dyDescent="0.25">
      <c r="B337" s="18"/>
      <c r="S337" s="17" t="s">
        <v>2476</v>
      </c>
      <c r="T337" s="17" t="s">
        <v>136</v>
      </c>
    </row>
    <row r="338" spans="2:20" x14ac:dyDescent="0.25">
      <c r="B338" s="18"/>
      <c r="S338" s="17" t="s">
        <v>2477</v>
      </c>
      <c r="T338" s="17" t="s">
        <v>230</v>
      </c>
    </row>
    <row r="339" spans="2:20" x14ac:dyDescent="0.25">
      <c r="B339" s="18"/>
      <c r="S339" s="17" t="s">
        <v>2478</v>
      </c>
      <c r="T339" s="17" t="s">
        <v>2479</v>
      </c>
    </row>
    <row r="340" spans="2:20" x14ac:dyDescent="0.25">
      <c r="B340" s="18"/>
      <c r="S340" s="17" t="s">
        <v>2480</v>
      </c>
      <c r="T340" s="17" t="s">
        <v>2481</v>
      </c>
    </row>
    <row r="341" spans="2:20" x14ac:dyDescent="0.25">
      <c r="B341" s="18"/>
      <c r="S341" s="17" t="s">
        <v>2482</v>
      </c>
      <c r="T341" s="17" t="s">
        <v>2483</v>
      </c>
    </row>
    <row r="342" spans="2:20" x14ac:dyDescent="0.25">
      <c r="B342" s="18"/>
      <c r="S342" s="17" t="s">
        <v>2484</v>
      </c>
      <c r="T342" s="17" t="s">
        <v>2485</v>
      </c>
    </row>
    <row r="343" spans="2:20" x14ac:dyDescent="0.25">
      <c r="B343" s="18"/>
      <c r="S343" s="17" t="s">
        <v>2486</v>
      </c>
      <c r="T343" s="17" t="s">
        <v>2487</v>
      </c>
    </row>
    <row r="344" spans="2:20" x14ac:dyDescent="0.25">
      <c r="B344" s="18"/>
      <c r="S344" s="17" t="s">
        <v>2488</v>
      </c>
      <c r="T344" s="17" t="s">
        <v>2489</v>
      </c>
    </row>
    <row r="345" spans="2:20" x14ac:dyDescent="0.25">
      <c r="B345" s="18"/>
      <c r="S345" s="17" t="s">
        <v>2490</v>
      </c>
      <c r="T345" s="17" t="s">
        <v>2491</v>
      </c>
    </row>
    <row r="346" spans="2:20" x14ac:dyDescent="0.25">
      <c r="B346" s="18"/>
      <c r="S346" s="17" t="s">
        <v>2492</v>
      </c>
      <c r="T346" s="17" t="s">
        <v>2493</v>
      </c>
    </row>
    <row r="347" spans="2:20" x14ac:dyDescent="0.25">
      <c r="B347" s="18"/>
      <c r="S347" s="17" t="s">
        <v>2494</v>
      </c>
      <c r="T347" s="17" t="s">
        <v>2495</v>
      </c>
    </row>
    <row r="348" spans="2:20" x14ac:dyDescent="0.25">
      <c r="B348" s="18"/>
      <c r="S348" s="17" t="s">
        <v>2496</v>
      </c>
      <c r="T348" s="17" t="s">
        <v>2497</v>
      </c>
    </row>
    <row r="349" spans="2:20" x14ac:dyDescent="0.25">
      <c r="B349" s="18"/>
      <c r="S349" s="17" t="s">
        <v>2498</v>
      </c>
      <c r="T349" s="17" t="s">
        <v>2499</v>
      </c>
    </row>
    <row r="350" spans="2:20" x14ac:dyDescent="0.25">
      <c r="B350" s="18"/>
      <c r="S350" s="17" t="s">
        <v>2500</v>
      </c>
      <c r="T350" s="17" t="s">
        <v>2501</v>
      </c>
    </row>
    <row r="351" spans="2:20" x14ac:dyDescent="0.25">
      <c r="B351" s="18"/>
      <c r="S351" s="17" t="s">
        <v>2502</v>
      </c>
      <c r="T351" s="17" t="s">
        <v>2503</v>
      </c>
    </row>
    <row r="352" spans="2:20" x14ac:dyDescent="0.25">
      <c r="B352" s="18"/>
      <c r="S352" s="17" t="s">
        <v>2504</v>
      </c>
      <c r="T352" s="17" t="s">
        <v>2505</v>
      </c>
    </row>
    <row r="353" spans="2:20" x14ac:dyDescent="0.25">
      <c r="B353" s="18"/>
      <c r="S353" s="17" t="s">
        <v>2506</v>
      </c>
      <c r="T353" s="17" t="s">
        <v>2507</v>
      </c>
    </row>
    <row r="354" spans="2:20" x14ac:dyDescent="0.25">
      <c r="B354" s="18"/>
      <c r="S354" s="17" t="s">
        <v>2508</v>
      </c>
      <c r="T354" s="17" t="s">
        <v>2509</v>
      </c>
    </row>
    <row r="355" spans="2:20" x14ac:dyDescent="0.25">
      <c r="B355" s="18"/>
      <c r="S355" s="17" t="s">
        <v>2510</v>
      </c>
      <c r="T355" s="17" t="s">
        <v>2511</v>
      </c>
    </row>
    <row r="356" spans="2:20" x14ac:dyDescent="0.25">
      <c r="B356" s="18"/>
      <c r="S356" s="17" t="s">
        <v>2512</v>
      </c>
      <c r="T356" s="17" t="s">
        <v>2513</v>
      </c>
    </row>
    <row r="357" spans="2:20" x14ac:dyDescent="0.25">
      <c r="B357" s="18"/>
      <c r="S357" s="17" t="s">
        <v>2514</v>
      </c>
      <c r="T357" s="17" t="s">
        <v>2515</v>
      </c>
    </row>
    <row r="358" spans="2:20" x14ac:dyDescent="0.25">
      <c r="B358" s="18"/>
      <c r="S358" s="17" t="s">
        <v>2516</v>
      </c>
      <c r="T358" s="17" t="s">
        <v>2517</v>
      </c>
    </row>
    <row r="359" spans="2:20" x14ac:dyDescent="0.25">
      <c r="B359" s="18"/>
      <c r="S359" s="17" t="s">
        <v>2518</v>
      </c>
      <c r="T359" s="17" t="s">
        <v>2519</v>
      </c>
    </row>
    <row r="360" spans="2:20" x14ac:dyDescent="0.25">
      <c r="B360" s="18"/>
      <c r="S360" s="17" t="s">
        <v>2520</v>
      </c>
      <c r="T360" s="17" t="s">
        <v>2521</v>
      </c>
    </row>
    <row r="361" spans="2:20" x14ac:dyDescent="0.25">
      <c r="B361" s="18"/>
      <c r="S361" s="17" t="s">
        <v>2522</v>
      </c>
      <c r="T361" s="17" t="s">
        <v>2523</v>
      </c>
    </row>
    <row r="362" spans="2:20" x14ac:dyDescent="0.25">
      <c r="B362" s="18"/>
      <c r="S362" s="17" t="s">
        <v>2524</v>
      </c>
      <c r="T362" s="17" t="s">
        <v>2525</v>
      </c>
    </row>
    <row r="363" spans="2:20" x14ac:dyDescent="0.25">
      <c r="B363" s="18"/>
      <c r="S363" s="17" t="s">
        <v>2526</v>
      </c>
      <c r="T363" s="17" t="s">
        <v>2527</v>
      </c>
    </row>
    <row r="364" spans="2:20" x14ac:dyDescent="0.25">
      <c r="B364" s="18"/>
      <c r="S364" s="17" t="s">
        <v>2528</v>
      </c>
      <c r="T364" s="17" t="s">
        <v>2529</v>
      </c>
    </row>
    <row r="365" spans="2:20" x14ac:dyDescent="0.25">
      <c r="B365" s="18"/>
      <c r="S365" s="17" t="s">
        <v>2530</v>
      </c>
      <c r="T365" s="17" t="s">
        <v>2531</v>
      </c>
    </row>
    <row r="366" spans="2:20" x14ac:dyDescent="0.25">
      <c r="B366" s="18"/>
      <c r="S366" s="17" t="s">
        <v>2532</v>
      </c>
      <c r="T366" s="17" t="s">
        <v>2533</v>
      </c>
    </row>
    <row r="367" spans="2:20" x14ac:dyDescent="0.25">
      <c r="B367" s="18"/>
      <c r="S367" s="17" t="s">
        <v>2534</v>
      </c>
      <c r="T367" s="17" t="s">
        <v>2535</v>
      </c>
    </row>
    <row r="368" spans="2:20" x14ac:dyDescent="0.25">
      <c r="B368" s="18"/>
      <c r="S368" s="17" t="s">
        <v>2536</v>
      </c>
      <c r="T368" s="17" t="s">
        <v>2537</v>
      </c>
    </row>
    <row r="369" spans="2:20" x14ac:dyDescent="0.25">
      <c r="B369" s="18"/>
      <c r="S369" s="17" t="s">
        <v>2538</v>
      </c>
      <c r="T369" s="17" t="s">
        <v>2539</v>
      </c>
    </row>
    <row r="370" spans="2:20" x14ac:dyDescent="0.25">
      <c r="B370" s="18"/>
      <c r="S370" s="17" t="s">
        <v>2540</v>
      </c>
      <c r="T370" s="17" t="s">
        <v>2541</v>
      </c>
    </row>
    <row r="371" spans="2:20" x14ac:dyDescent="0.25">
      <c r="B371" s="18"/>
      <c r="S371" s="17" t="s">
        <v>2542</v>
      </c>
      <c r="T371" s="17" t="s">
        <v>2543</v>
      </c>
    </row>
    <row r="372" spans="2:20" x14ac:dyDescent="0.25">
      <c r="B372" s="18"/>
      <c r="S372" s="17" t="s">
        <v>2544</v>
      </c>
      <c r="T372" s="17" t="s">
        <v>2545</v>
      </c>
    </row>
    <row r="373" spans="2:20" x14ac:dyDescent="0.25">
      <c r="B373" s="18"/>
      <c r="S373" s="17" t="s">
        <v>2546</v>
      </c>
      <c r="T373" s="17" t="s">
        <v>2547</v>
      </c>
    </row>
    <row r="374" spans="2:20" x14ac:dyDescent="0.25">
      <c r="B374" s="18"/>
      <c r="S374" s="17" t="s">
        <v>2548</v>
      </c>
      <c r="T374" s="17" t="s">
        <v>2549</v>
      </c>
    </row>
    <row r="375" spans="2:20" x14ac:dyDescent="0.25">
      <c r="B375" s="18"/>
      <c r="S375" s="17" t="s">
        <v>2550</v>
      </c>
      <c r="T375" s="17" t="s">
        <v>2551</v>
      </c>
    </row>
    <row r="376" spans="2:20" x14ac:dyDescent="0.25">
      <c r="B376" s="18"/>
      <c r="S376" s="17" t="s">
        <v>2552</v>
      </c>
      <c r="T376" s="17" t="s">
        <v>2553</v>
      </c>
    </row>
    <row r="377" spans="2:20" x14ac:dyDescent="0.25">
      <c r="B377" s="18"/>
      <c r="S377" s="17" t="s">
        <v>2554</v>
      </c>
      <c r="T377" s="17" t="s">
        <v>2555</v>
      </c>
    </row>
    <row r="378" spans="2:20" x14ac:dyDescent="0.25">
      <c r="B378" s="18"/>
      <c r="S378" s="17" t="s">
        <v>2556</v>
      </c>
      <c r="T378" s="17" t="s">
        <v>2557</v>
      </c>
    </row>
    <row r="379" spans="2:20" x14ac:dyDescent="0.25">
      <c r="B379" s="18"/>
      <c r="S379" s="17" t="s">
        <v>2558</v>
      </c>
      <c r="T379" s="17" t="s">
        <v>2559</v>
      </c>
    </row>
    <row r="380" spans="2:20" x14ac:dyDescent="0.25">
      <c r="B380" s="18"/>
      <c r="S380" s="17" t="s">
        <v>2560</v>
      </c>
      <c r="T380" s="17" t="s">
        <v>2561</v>
      </c>
    </row>
    <row r="381" spans="2:20" x14ac:dyDescent="0.25">
      <c r="B381" s="18"/>
      <c r="S381" s="17" t="s">
        <v>2562</v>
      </c>
      <c r="T381" s="17" t="s">
        <v>2563</v>
      </c>
    </row>
    <row r="382" spans="2:20" x14ac:dyDescent="0.25">
      <c r="B382" s="18"/>
      <c r="S382" s="17" t="s">
        <v>2564</v>
      </c>
      <c r="T382" s="17" t="s">
        <v>2565</v>
      </c>
    </row>
    <row r="383" spans="2:20" x14ac:dyDescent="0.25">
      <c r="B383" s="18"/>
      <c r="S383" s="17" t="s">
        <v>2566</v>
      </c>
      <c r="T383" s="17" t="s">
        <v>2567</v>
      </c>
    </row>
    <row r="384" spans="2:20" x14ac:dyDescent="0.25">
      <c r="B384" s="18"/>
      <c r="S384" s="17" t="s">
        <v>2568</v>
      </c>
      <c r="T384" s="17" t="s">
        <v>2569</v>
      </c>
    </row>
    <row r="385" spans="2:20" x14ac:dyDescent="0.25">
      <c r="B385" s="18"/>
      <c r="S385" s="17" t="s">
        <v>2570</v>
      </c>
      <c r="T385" s="17" t="s">
        <v>2571</v>
      </c>
    </row>
    <row r="386" spans="2:20" x14ac:dyDescent="0.25">
      <c r="B386" s="18"/>
      <c r="S386" s="17" t="s">
        <v>2572</v>
      </c>
      <c r="T386" s="17" t="s">
        <v>2573</v>
      </c>
    </row>
    <row r="387" spans="2:20" x14ac:dyDescent="0.25">
      <c r="B387" s="18"/>
      <c r="S387" s="17" t="s">
        <v>2574</v>
      </c>
      <c r="T387" s="17" t="s">
        <v>2575</v>
      </c>
    </row>
    <row r="388" spans="2:20" x14ac:dyDescent="0.25">
      <c r="B388" s="18"/>
      <c r="S388" s="17" t="s">
        <v>2576</v>
      </c>
      <c r="T388" s="17" t="s">
        <v>2577</v>
      </c>
    </row>
    <row r="389" spans="2:20" x14ac:dyDescent="0.25">
      <c r="B389" s="18"/>
      <c r="S389" s="17" t="s">
        <v>2578</v>
      </c>
      <c r="T389" s="17" t="s">
        <v>2579</v>
      </c>
    </row>
    <row r="390" spans="2:20" x14ac:dyDescent="0.25">
      <c r="B390" s="18"/>
      <c r="S390" s="17" t="s">
        <v>2580</v>
      </c>
      <c r="T390" s="17" t="s">
        <v>2581</v>
      </c>
    </row>
    <row r="391" spans="2:20" x14ac:dyDescent="0.25">
      <c r="B391" s="18"/>
      <c r="S391" s="17" t="s">
        <v>2582</v>
      </c>
      <c r="T391" s="17" t="s">
        <v>2583</v>
      </c>
    </row>
    <row r="392" spans="2:20" x14ac:dyDescent="0.25">
      <c r="B392" s="18"/>
      <c r="S392" s="17" t="s">
        <v>2584</v>
      </c>
      <c r="T392" s="17" t="s">
        <v>2585</v>
      </c>
    </row>
    <row r="393" spans="2:20" x14ac:dyDescent="0.25">
      <c r="B393" s="18"/>
      <c r="S393" s="17" t="s">
        <v>2586</v>
      </c>
      <c r="T393" s="17" t="s">
        <v>2587</v>
      </c>
    </row>
    <row r="394" spans="2:20" x14ac:dyDescent="0.25">
      <c r="B394" s="18"/>
      <c r="S394" s="17" t="s">
        <v>2588</v>
      </c>
      <c r="T394" s="17" t="s">
        <v>2589</v>
      </c>
    </row>
    <row r="395" spans="2:20" x14ac:dyDescent="0.25">
      <c r="B395" s="18"/>
      <c r="S395" s="17" t="s">
        <v>2590</v>
      </c>
      <c r="T395" s="17" t="s">
        <v>2591</v>
      </c>
    </row>
    <row r="396" spans="2:20" x14ac:dyDescent="0.25">
      <c r="B396" s="18"/>
      <c r="S396" s="17" t="s">
        <v>2592</v>
      </c>
      <c r="T396" s="17" t="s">
        <v>2593</v>
      </c>
    </row>
    <row r="397" spans="2:20" x14ac:dyDescent="0.25">
      <c r="B397" s="18"/>
      <c r="S397" s="17" t="s">
        <v>2594</v>
      </c>
      <c r="T397" s="17" t="s">
        <v>2595</v>
      </c>
    </row>
    <row r="398" spans="2:20" x14ac:dyDescent="0.25">
      <c r="B398" s="18"/>
      <c r="S398" s="17" t="s">
        <v>2596</v>
      </c>
      <c r="T398" s="17" t="s">
        <v>2597</v>
      </c>
    </row>
    <row r="399" spans="2:20" x14ac:dyDescent="0.25">
      <c r="B399" s="18"/>
      <c r="S399" s="17" t="s">
        <v>2598</v>
      </c>
      <c r="T399" s="17" t="s">
        <v>2599</v>
      </c>
    </row>
    <row r="400" spans="2:20" x14ac:dyDescent="0.25">
      <c r="B400" s="18"/>
      <c r="S400" s="17" t="s">
        <v>2600</v>
      </c>
      <c r="T400" s="17" t="s">
        <v>2601</v>
      </c>
    </row>
    <row r="401" spans="2:20" x14ac:dyDescent="0.25">
      <c r="B401" s="18"/>
      <c r="S401" s="17" t="s">
        <v>2602</v>
      </c>
      <c r="T401" s="17" t="s">
        <v>2603</v>
      </c>
    </row>
    <row r="402" spans="2:20" x14ac:dyDescent="0.25">
      <c r="B402" s="18"/>
      <c r="S402" s="17" t="s">
        <v>2604</v>
      </c>
      <c r="T402" s="17" t="s">
        <v>2605</v>
      </c>
    </row>
    <row r="403" spans="2:20" x14ac:dyDescent="0.25">
      <c r="B403" s="18"/>
      <c r="S403" s="17" t="s">
        <v>2606</v>
      </c>
      <c r="T403" s="17" t="s">
        <v>2607</v>
      </c>
    </row>
    <row r="404" spans="2:20" x14ac:dyDescent="0.25">
      <c r="B404" s="18"/>
      <c r="S404" s="17" t="s">
        <v>2608</v>
      </c>
      <c r="T404" s="17" t="s">
        <v>2609</v>
      </c>
    </row>
    <row r="405" spans="2:20" x14ac:dyDescent="0.25">
      <c r="B405" s="18"/>
      <c r="S405" s="17" t="s">
        <v>2610</v>
      </c>
      <c r="T405" s="17" t="s">
        <v>2611</v>
      </c>
    </row>
    <row r="406" spans="2:20" x14ac:dyDescent="0.25">
      <c r="B406" s="18"/>
      <c r="S406" s="17" t="s">
        <v>2612</v>
      </c>
      <c r="T406" s="17" t="s">
        <v>2613</v>
      </c>
    </row>
    <row r="407" spans="2:20" x14ac:dyDescent="0.25">
      <c r="B407" s="18"/>
      <c r="S407" s="17" t="s">
        <v>2614</v>
      </c>
      <c r="T407" s="17" t="s">
        <v>2615</v>
      </c>
    </row>
    <row r="408" spans="2:20" x14ac:dyDescent="0.25">
      <c r="B408" s="18"/>
      <c r="S408" s="17" t="s">
        <v>2616</v>
      </c>
      <c r="T408" s="17" t="s">
        <v>2617</v>
      </c>
    </row>
    <row r="409" spans="2:20" x14ac:dyDescent="0.25">
      <c r="B409" s="18"/>
      <c r="S409" s="17" t="s">
        <v>2618</v>
      </c>
      <c r="T409" s="17" t="s">
        <v>2619</v>
      </c>
    </row>
    <row r="410" spans="2:20" x14ac:dyDescent="0.25">
      <c r="B410" s="18"/>
      <c r="S410" s="17" t="s">
        <v>2620</v>
      </c>
      <c r="T410" s="17" t="s">
        <v>2621</v>
      </c>
    </row>
    <row r="411" spans="2:20" x14ac:dyDescent="0.25">
      <c r="B411" s="18"/>
      <c r="S411" s="17" t="s">
        <v>2622</v>
      </c>
      <c r="T411" s="17" t="s">
        <v>2623</v>
      </c>
    </row>
    <row r="412" spans="2:20" x14ac:dyDescent="0.25">
      <c r="B412" s="18"/>
      <c r="S412" s="17" t="s">
        <v>2624</v>
      </c>
      <c r="T412" s="17" t="s">
        <v>2625</v>
      </c>
    </row>
    <row r="413" spans="2:20" x14ac:dyDescent="0.25">
      <c r="B413" s="18"/>
      <c r="S413" s="17" t="s">
        <v>2626</v>
      </c>
      <c r="T413" s="17" t="s">
        <v>2627</v>
      </c>
    </row>
    <row r="414" spans="2:20" x14ac:dyDescent="0.25">
      <c r="B414" s="18"/>
      <c r="S414" s="17" t="s">
        <v>2628</v>
      </c>
      <c r="T414" s="17" t="s">
        <v>2629</v>
      </c>
    </row>
    <row r="415" spans="2:20" x14ac:dyDescent="0.25">
      <c r="B415" s="18"/>
      <c r="S415" s="17" t="s">
        <v>2630</v>
      </c>
      <c r="T415" s="17" t="s">
        <v>2631</v>
      </c>
    </row>
    <row r="416" spans="2:20" x14ac:dyDescent="0.25">
      <c r="B416" s="18"/>
      <c r="S416" s="17" t="s">
        <v>2632</v>
      </c>
      <c r="T416" s="17" t="s">
        <v>2633</v>
      </c>
    </row>
    <row r="417" spans="2:20" x14ac:dyDescent="0.25">
      <c r="B417" s="18"/>
      <c r="S417" s="17" t="s">
        <v>2634</v>
      </c>
      <c r="T417" s="17" t="s">
        <v>2635</v>
      </c>
    </row>
    <row r="418" spans="2:20" x14ac:dyDescent="0.25">
      <c r="B418" s="18"/>
      <c r="S418" s="17" t="s">
        <v>2636</v>
      </c>
      <c r="T418" s="17" t="s">
        <v>2637</v>
      </c>
    </row>
    <row r="419" spans="2:20" x14ac:dyDescent="0.25">
      <c r="B419" s="18"/>
      <c r="S419" s="17" t="s">
        <v>2638</v>
      </c>
      <c r="T419" s="17" t="s">
        <v>2639</v>
      </c>
    </row>
    <row r="420" spans="2:20" x14ac:dyDescent="0.25">
      <c r="B420" s="18"/>
      <c r="S420" s="17" t="s">
        <v>2640</v>
      </c>
      <c r="T420" s="17" t="s">
        <v>2641</v>
      </c>
    </row>
    <row r="421" spans="2:20" x14ac:dyDescent="0.25">
      <c r="B421" s="18"/>
      <c r="S421" s="17" t="s">
        <v>2642</v>
      </c>
      <c r="T421" s="17" t="s">
        <v>2643</v>
      </c>
    </row>
    <row r="422" spans="2:20" x14ac:dyDescent="0.25">
      <c r="B422" s="18"/>
      <c r="S422" s="17" t="s">
        <v>2644</v>
      </c>
      <c r="T422" s="17" t="s">
        <v>2645</v>
      </c>
    </row>
    <row r="423" spans="2:20" x14ac:dyDescent="0.25">
      <c r="B423" s="18"/>
      <c r="S423" s="17" t="s">
        <v>2646</v>
      </c>
      <c r="T423" s="17" t="s">
        <v>2647</v>
      </c>
    </row>
    <row r="424" spans="2:20" x14ac:dyDescent="0.25">
      <c r="B424" s="18"/>
      <c r="S424" s="17" t="s">
        <v>2648</v>
      </c>
      <c r="T424" s="17" t="s">
        <v>2649</v>
      </c>
    </row>
    <row r="425" spans="2:20" x14ac:dyDescent="0.25">
      <c r="B425" s="18"/>
      <c r="S425" s="17" t="s">
        <v>2650</v>
      </c>
      <c r="T425" s="17" t="s">
        <v>2651</v>
      </c>
    </row>
    <row r="426" spans="2:20" x14ac:dyDescent="0.25">
      <c r="B426" s="18"/>
      <c r="S426" s="17" t="s">
        <v>2652</v>
      </c>
      <c r="T426" s="17" t="s">
        <v>2653</v>
      </c>
    </row>
    <row r="427" spans="2:20" x14ac:dyDescent="0.25">
      <c r="B427" s="18"/>
      <c r="S427" s="17" t="s">
        <v>2654</v>
      </c>
      <c r="T427" s="17" t="s">
        <v>2655</v>
      </c>
    </row>
    <row r="428" spans="2:20" x14ac:dyDescent="0.25">
      <c r="B428" s="18"/>
      <c r="S428" s="17" t="s">
        <v>2656</v>
      </c>
      <c r="T428" s="17" t="s">
        <v>2657</v>
      </c>
    </row>
    <row r="429" spans="2:20" x14ac:dyDescent="0.25">
      <c r="B429" s="18"/>
      <c r="S429" s="17" t="s">
        <v>2658</v>
      </c>
      <c r="T429" s="17" t="s">
        <v>2659</v>
      </c>
    </row>
    <row r="430" spans="2:20" x14ac:dyDescent="0.25">
      <c r="B430" s="18"/>
      <c r="S430" s="17" t="s">
        <v>2660</v>
      </c>
      <c r="T430" s="17" t="s">
        <v>2661</v>
      </c>
    </row>
    <row r="431" spans="2:20" x14ac:dyDescent="0.25">
      <c r="B431" s="18"/>
      <c r="S431" s="17" t="s">
        <v>2662</v>
      </c>
      <c r="T431" s="17" t="s">
        <v>2663</v>
      </c>
    </row>
    <row r="432" spans="2:20" x14ac:dyDescent="0.25">
      <c r="B432" s="18"/>
      <c r="S432" s="17" t="s">
        <v>2664</v>
      </c>
      <c r="T432" s="17" t="s">
        <v>2665</v>
      </c>
    </row>
    <row r="433" spans="2:20" x14ac:dyDescent="0.25">
      <c r="B433" s="18"/>
      <c r="S433" s="17" t="s">
        <v>2666</v>
      </c>
      <c r="T433" s="17" t="s">
        <v>2667</v>
      </c>
    </row>
    <row r="434" spans="2:20" x14ac:dyDescent="0.25">
      <c r="B434" s="18"/>
      <c r="S434" s="17" t="s">
        <v>2668</v>
      </c>
      <c r="T434" s="17" t="s">
        <v>2669</v>
      </c>
    </row>
    <row r="435" spans="2:20" x14ac:dyDescent="0.25">
      <c r="B435" s="18"/>
      <c r="S435" s="17" t="s">
        <v>2670</v>
      </c>
      <c r="T435" s="17" t="s">
        <v>2671</v>
      </c>
    </row>
    <row r="436" spans="2:20" x14ac:dyDescent="0.25">
      <c r="B436" s="18"/>
      <c r="S436" s="17" t="s">
        <v>2672</v>
      </c>
      <c r="T436" s="17" t="s">
        <v>2673</v>
      </c>
    </row>
    <row r="437" spans="2:20" x14ac:dyDescent="0.25">
      <c r="B437" s="18"/>
      <c r="S437" s="17" t="s">
        <v>2674</v>
      </c>
      <c r="T437" s="17" t="s">
        <v>2675</v>
      </c>
    </row>
    <row r="438" spans="2:20" x14ac:dyDescent="0.25">
      <c r="B438" s="18"/>
      <c r="S438" s="17" t="s">
        <v>2676</v>
      </c>
      <c r="T438" s="17" t="s">
        <v>2677</v>
      </c>
    </row>
    <row r="439" spans="2:20" x14ac:dyDescent="0.25">
      <c r="B439" s="18"/>
      <c r="S439" s="17" t="s">
        <v>2678</v>
      </c>
      <c r="T439" s="17" t="s">
        <v>2679</v>
      </c>
    </row>
    <row r="440" spans="2:20" x14ac:dyDescent="0.25">
      <c r="B440" s="18"/>
      <c r="S440" s="17" t="s">
        <v>2680</v>
      </c>
      <c r="T440" s="17" t="s">
        <v>2681</v>
      </c>
    </row>
    <row r="441" spans="2:20" x14ac:dyDescent="0.25">
      <c r="B441" s="18"/>
      <c r="S441" s="17" t="s">
        <v>2682</v>
      </c>
      <c r="T441" s="17" t="s">
        <v>2683</v>
      </c>
    </row>
    <row r="442" spans="2:20" x14ac:dyDescent="0.25">
      <c r="B442" s="18"/>
      <c r="S442" s="17" t="s">
        <v>2684</v>
      </c>
      <c r="T442" s="17" t="s">
        <v>2685</v>
      </c>
    </row>
    <row r="443" spans="2:20" x14ac:dyDescent="0.25">
      <c r="B443" s="18"/>
      <c r="S443" s="17" t="s">
        <v>2686</v>
      </c>
      <c r="T443" s="17" t="s">
        <v>2687</v>
      </c>
    </row>
    <row r="444" spans="2:20" x14ac:dyDescent="0.25">
      <c r="B444" s="18"/>
      <c r="S444" s="17" t="s">
        <v>2688</v>
      </c>
      <c r="T444" s="17" t="s">
        <v>2689</v>
      </c>
    </row>
    <row r="445" spans="2:20" x14ac:dyDescent="0.25">
      <c r="B445" s="18"/>
      <c r="S445" s="17" t="s">
        <v>2690</v>
      </c>
      <c r="T445" s="17" t="s">
        <v>2691</v>
      </c>
    </row>
    <row r="446" spans="2:20" x14ac:dyDescent="0.25">
      <c r="B446" s="18"/>
      <c r="S446" s="17" t="s">
        <v>2692</v>
      </c>
      <c r="T446" s="17" t="s">
        <v>2693</v>
      </c>
    </row>
    <row r="447" spans="2:20" x14ac:dyDescent="0.25">
      <c r="B447" s="18"/>
      <c r="S447" s="17" t="s">
        <v>2694</v>
      </c>
      <c r="T447" s="17" t="s">
        <v>2695</v>
      </c>
    </row>
    <row r="448" spans="2:20" x14ac:dyDescent="0.25">
      <c r="B448" s="18"/>
      <c r="S448" s="17" t="s">
        <v>2696</v>
      </c>
      <c r="T448" s="17" t="s">
        <v>2697</v>
      </c>
    </row>
    <row r="449" spans="2:20" x14ac:dyDescent="0.25">
      <c r="B449" s="18"/>
      <c r="S449" s="17" t="s">
        <v>2698</v>
      </c>
      <c r="T449" s="17" t="s">
        <v>2699</v>
      </c>
    </row>
    <row r="450" spans="2:20" x14ac:dyDescent="0.25">
      <c r="B450" s="18"/>
      <c r="S450" s="17" t="s">
        <v>2700</v>
      </c>
      <c r="T450" s="17" t="s">
        <v>2701</v>
      </c>
    </row>
    <row r="451" spans="2:20" x14ac:dyDescent="0.25">
      <c r="B451" s="18"/>
      <c r="S451" s="17" t="s">
        <v>2702</v>
      </c>
      <c r="T451" s="17" t="s">
        <v>2703</v>
      </c>
    </row>
    <row r="452" spans="2:20" x14ac:dyDescent="0.25">
      <c r="B452" s="18"/>
      <c r="S452" s="17" t="s">
        <v>2704</v>
      </c>
      <c r="T452" s="17" t="s">
        <v>2705</v>
      </c>
    </row>
    <row r="453" spans="2:20" x14ac:dyDescent="0.25">
      <c r="B453" s="18"/>
      <c r="S453" s="17" t="s">
        <v>2706</v>
      </c>
      <c r="T453" s="17" t="s">
        <v>2707</v>
      </c>
    </row>
    <row r="454" spans="2:20" x14ac:dyDescent="0.25">
      <c r="B454" s="18"/>
      <c r="S454" s="17" t="s">
        <v>2708</v>
      </c>
      <c r="T454" s="17" t="s">
        <v>2709</v>
      </c>
    </row>
    <row r="455" spans="2:20" x14ac:dyDescent="0.25">
      <c r="B455" s="18"/>
      <c r="S455" s="17" t="s">
        <v>2710</v>
      </c>
      <c r="T455" s="17" t="s">
        <v>2711</v>
      </c>
    </row>
    <row r="456" spans="2:20" x14ac:dyDescent="0.25">
      <c r="B456" s="18"/>
      <c r="S456" s="17" t="s">
        <v>2712</v>
      </c>
      <c r="T456" s="17" t="s">
        <v>2713</v>
      </c>
    </row>
    <row r="457" spans="2:20" x14ac:dyDescent="0.25">
      <c r="B457" s="18"/>
      <c r="S457" s="17" t="s">
        <v>2714</v>
      </c>
      <c r="T457" s="17" t="s">
        <v>2715</v>
      </c>
    </row>
    <row r="458" spans="2:20" x14ac:dyDescent="0.25">
      <c r="B458" s="18"/>
      <c r="S458" s="17" t="s">
        <v>2716</v>
      </c>
      <c r="T458" s="17" t="s">
        <v>2717</v>
      </c>
    </row>
    <row r="459" spans="2:20" x14ac:dyDescent="0.25">
      <c r="B459" s="18"/>
      <c r="S459" s="17" t="s">
        <v>2718</v>
      </c>
      <c r="T459" s="17" t="s">
        <v>2719</v>
      </c>
    </row>
    <row r="460" spans="2:20" x14ac:dyDescent="0.25">
      <c r="B460" s="18"/>
      <c r="S460" s="17" t="s">
        <v>2720</v>
      </c>
      <c r="T460" s="17" t="s">
        <v>2721</v>
      </c>
    </row>
    <row r="461" spans="2:20" x14ac:dyDescent="0.25">
      <c r="B461" s="18"/>
      <c r="S461" s="17" t="s">
        <v>2722</v>
      </c>
      <c r="T461" s="17" t="s">
        <v>2723</v>
      </c>
    </row>
    <row r="462" spans="2:20" x14ac:dyDescent="0.25">
      <c r="B462" s="18"/>
      <c r="S462" s="17" t="s">
        <v>2724</v>
      </c>
      <c r="T462" s="17" t="s">
        <v>2725</v>
      </c>
    </row>
    <row r="463" spans="2:20" x14ac:dyDescent="0.25">
      <c r="B463" s="18"/>
      <c r="S463" s="17" t="s">
        <v>2726</v>
      </c>
      <c r="T463" s="17" t="s">
        <v>2727</v>
      </c>
    </row>
    <row r="464" spans="2:20" x14ac:dyDescent="0.25">
      <c r="B464" s="18"/>
      <c r="S464" s="17" t="s">
        <v>2728</v>
      </c>
      <c r="T464" s="17" t="s">
        <v>2729</v>
      </c>
    </row>
    <row r="465" spans="2:20" x14ac:dyDescent="0.25">
      <c r="B465" s="18"/>
      <c r="S465" s="17" t="s">
        <v>2730</v>
      </c>
      <c r="T465" s="17" t="s">
        <v>2731</v>
      </c>
    </row>
    <row r="466" spans="2:20" x14ac:dyDescent="0.25">
      <c r="B466" s="18"/>
      <c r="S466" s="17" t="s">
        <v>2732</v>
      </c>
      <c r="T466" s="17" t="s">
        <v>2733</v>
      </c>
    </row>
    <row r="467" spans="2:20" x14ac:dyDescent="0.25">
      <c r="B467" s="18"/>
      <c r="S467" s="17" t="s">
        <v>2734</v>
      </c>
      <c r="T467" s="17" t="s">
        <v>2735</v>
      </c>
    </row>
    <row r="468" spans="2:20" x14ac:dyDescent="0.25">
      <c r="B468" s="18"/>
      <c r="S468" s="17" t="s">
        <v>2736</v>
      </c>
      <c r="T468" s="17" t="s">
        <v>2737</v>
      </c>
    </row>
    <row r="469" spans="2:20" x14ac:dyDescent="0.25">
      <c r="B469" s="18"/>
      <c r="S469" s="17" t="s">
        <v>2738</v>
      </c>
      <c r="T469" s="17" t="s">
        <v>2739</v>
      </c>
    </row>
    <row r="470" spans="2:20" x14ac:dyDescent="0.25">
      <c r="B470" s="18"/>
      <c r="S470" s="17" t="s">
        <v>2740</v>
      </c>
      <c r="T470" s="17" t="s">
        <v>2741</v>
      </c>
    </row>
    <row r="471" spans="2:20" x14ac:dyDescent="0.25">
      <c r="B471" s="18"/>
      <c r="S471" s="17" t="s">
        <v>2742</v>
      </c>
      <c r="T471" s="17" t="s">
        <v>2743</v>
      </c>
    </row>
    <row r="472" spans="2:20" x14ac:dyDescent="0.25">
      <c r="B472" s="18"/>
      <c r="S472" s="17" t="s">
        <v>2744</v>
      </c>
      <c r="T472" s="17" t="s">
        <v>2745</v>
      </c>
    </row>
    <row r="473" spans="2:20" x14ac:dyDescent="0.25">
      <c r="B473" s="18"/>
      <c r="S473" s="17" t="s">
        <v>2746</v>
      </c>
      <c r="T473" s="17" t="s">
        <v>2747</v>
      </c>
    </row>
    <row r="474" spans="2:20" x14ac:dyDescent="0.25">
      <c r="B474" s="18"/>
      <c r="S474" s="17" t="s">
        <v>2748</v>
      </c>
      <c r="T474" s="17" t="s">
        <v>2749</v>
      </c>
    </row>
    <row r="475" spans="2:20" x14ac:dyDescent="0.25">
      <c r="B475" s="18"/>
      <c r="S475" s="17" t="s">
        <v>2750</v>
      </c>
      <c r="T475" s="17" t="s">
        <v>2751</v>
      </c>
    </row>
    <row r="476" spans="2:20" x14ac:dyDescent="0.25">
      <c r="B476" s="18"/>
      <c r="S476" s="17" t="s">
        <v>2752</v>
      </c>
      <c r="T476" s="17" t="s">
        <v>2753</v>
      </c>
    </row>
    <row r="477" spans="2:20" x14ac:dyDescent="0.25">
      <c r="B477" s="18"/>
      <c r="S477" s="17" t="s">
        <v>2754</v>
      </c>
      <c r="T477" s="17" t="s">
        <v>2755</v>
      </c>
    </row>
    <row r="478" spans="2:20" x14ac:dyDescent="0.25">
      <c r="B478" s="18"/>
      <c r="S478" s="17" t="s">
        <v>2756</v>
      </c>
      <c r="T478" s="17" t="s">
        <v>2757</v>
      </c>
    </row>
    <row r="479" spans="2:20" x14ac:dyDescent="0.25">
      <c r="B479" s="18"/>
      <c r="S479" s="17" t="s">
        <v>2758</v>
      </c>
      <c r="T479" s="17" t="s">
        <v>2759</v>
      </c>
    </row>
    <row r="480" spans="2:20" x14ac:dyDescent="0.25">
      <c r="B480" s="18"/>
      <c r="S480" s="17" t="s">
        <v>2760</v>
      </c>
      <c r="T480" s="17" t="s">
        <v>2761</v>
      </c>
    </row>
    <row r="481" spans="2:20" x14ac:dyDescent="0.25">
      <c r="B481" s="18"/>
      <c r="S481" s="17" t="s">
        <v>2762</v>
      </c>
      <c r="T481" s="17" t="s">
        <v>2763</v>
      </c>
    </row>
    <row r="482" spans="2:20" x14ac:dyDescent="0.25">
      <c r="B482" s="18"/>
      <c r="S482" s="17" t="s">
        <v>2764</v>
      </c>
      <c r="T482" s="17" t="s">
        <v>2765</v>
      </c>
    </row>
    <row r="483" spans="2:20" x14ac:dyDescent="0.25">
      <c r="B483" s="18"/>
      <c r="S483" s="17" t="s">
        <v>2766</v>
      </c>
      <c r="T483" s="17" t="s">
        <v>2767</v>
      </c>
    </row>
    <row r="484" spans="2:20" x14ac:dyDescent="0.25">
      <c r="B484" s="18"/>
      <c r="S484" s="17" t="s">
        <v>2768</v>
      </c>
      <c r="T484" s="17" t="s">
        <v>2769</v>
      </c>
    </row>
    <row r="485" spans="2:20" x14ac:dyDescent="0.25">
      <c r="B485" s="18"/>
      <c r="S485" s="17" t="s">
        <v>2770</v>
      </c>
      <c r="T485" s="17" t="s">
        <v>2771</v>
      </c>
    </row>
    <row r="486" spans="2:20" x14ac:dyDescent="0.25">
      <c r="B486" s="18"/>
      <c r="S486" s="17" t="s">
        <v>2772</v>
      </c>
      <c r="T486" s="17" t="s">
        <v>2773</v>
      </c>
    </row>
    <row r="487" spans="2:20" x14ac:dyDescent="0.25">
      <c r="B487" s="18"/>
      <c r="S487" s="17" t="s">
        <v>2774</v>
      </c>
      <c r="T487" s="17" t="s">
        <v>2775</v>
      </c>
    </row>
    <row r="488" spans="2:20" x14ac:dyDescent="0.25">
      <c r="B488" s="18"/>
      <c r="S488" s="17" t="s">
        <v>2776</v>
      </c>
      <c r="T488" s="17" t="s">
        <v>2777</v>
      </c>
    </row>
    <row r="489" spans="2:20" x14ac:dyDescent="0.25">
      <c r="B489" s="18"/>
      <c r="S489" s="17" t="s">
        <v>2778</v>
      </c>
      <c r="T489" s="17" t="s">
        <v>2779</v>
      </c>
    </row>
    <row r="490" spans="2:20" x14ac:dyDescent="0.25">
      <c r="B490" s="18"/>
      <c r="S490" s="17" t="s">
        <v>2780</v>
      </c>
      <c r="T490" s="17" t="s">
        <v>2781</v>
      </c>
    </row>
    <row r="491" spans="2:20" x14ac:dyDescent="0.25">
      <c r="B491" s="18"/>
      <c r="S491" s="17" t="s">
        <v>2782</v>
      </c>
      <c r="T491" s="17" t="s">
        <v>2783</v>
      </c>
    </row>
    <row r="492" spans="2:20" x14ac:dyDescent="0.25">
      <c r="B492" s="18"/>
      <c r="S492" s="17" t="s">
        <v>2784</v>
      </c>
      <c r="T492" s="17" t="s">
        <v>2785</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bottom="0.75" footer="0.3" header="0.3" left="0.7" right="0.7" top="0.75"/>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8</vt:i4>
      </vt:variant>
    </vt:vector>
  </HeadingPairs>
  <TitlesOfParts>
    <vt:vector baseType="lpstr" size="8">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2022-05-18T03:15:26Z</dcterms:created>
  <dc:creator>Fendy Tio</dc:creator>
  <cp:lastModifiedBy>Fendy Tio</cp:lastModifiedBy>
  <cp:lastPrinted>2022-05-18T07:35:58Z</cp:lastPrinted>
  <dcterms:modified xsi:type="dcterms:W3CDTF">2022-11-30T03:01:24Z</dcterms:modified>
</cp:coreProperties>
</file>