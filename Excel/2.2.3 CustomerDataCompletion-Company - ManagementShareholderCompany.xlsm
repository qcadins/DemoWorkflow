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B4"/>
  <c i="4" r="D4"/>
  <c i="4" r="E4"/>
  <c i="4" r="C4"/>
  <c i="4" l="1" r="C10"/>
  <c i="4" r="B10"/>
  <c i="5" l="1" r="B4"/>
  <c i="2" l="1" r="C10"/>
  <c i="2" r="B10"/>
  <c i="2" r="C4"/>
  <c i="2" l="1" r="B4"/>
  <c i="1" r="B4"/>
  <c i="7" l="1" r="B4"/>
  <c i="6" r="B4"/>
  <c i="3" r="B4"/>
  <c i="7" l="1" r="C12"/>
  <c i="7" r="C14"/>
  <c i="7" r="C16"/>
  <c i="7" r="C18"/>
  <c i="7" r="C22"/>
  <c i="7" r="C27"/>
  <c i="7" r="C30"/>
  <c i="7" r="C33"/>
  <c i="7" r="C35"/>
  <c i="7" r="C37"/>
  <c i="4" r="C66"/>
  <c i="4" r="D66"/>
  <c i="4" r="E66"/>
  <c i="1" r="C20"/>
  <c i="1" r="B12"/>
  <c i="4" l="1" r="B9"/>
  <c i="4" r="C9"/>
  <c i="2" r="B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<sst xmlns="http://schemas.openxmlformats.org/spreadsheetml/2006/main" count="3744" uniqueCount="3501">
  <si>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</si>
  <si>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</si>
  <si>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</si>
  <si>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</si>
  <si>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</si>
  <si>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</si>
  <si>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</si>
  <si>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</si>
  <si>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</si>
  <si>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</si>
  <si>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</si>
  <si>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</si>
  <si>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</si>
  <si>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</si>
  <si>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</si>
  <si>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</si>
  <si>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</si>
  <si>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</si>
  <si>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</si>
  <si>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</si>
  <si>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</si>
  <si>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</si>
  <si>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</si>
  <si>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</si>
  <si>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</si>
  <si>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</si>
  <si>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</si>
  <si>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</si>
  <si>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</si>
  <si>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</si>
  <si>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</si>
  <si>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</si>
  <si>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</si>
  <si>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</si>
  <si>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</si>
  <si>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</si>
  <si>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</si>
  <si>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</si>
  <si>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</si>
  <si>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</si>
  <si>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</si>
  <si>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</si>
  <si>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</si>
  <si>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</si>
  <si>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</si>
  <si>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</si>
  <si>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</si>
  <si>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</si>
  <si>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</si>
  <si>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</si>
  <si>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</si>
  <si>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</si>
  <si>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</si>
  <si>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</si>
  <si>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</si>
  <si>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</si>
  <si>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</si>
  <si>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</si>
  <si>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</si>
  <si>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</si>
  <si>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</si>
  <si>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</si>
  <si>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</si>
  <si>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</si>
  <si>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</si>
  <si>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</si>
  <si>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</si>
  <si>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</si>
  <si>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</si>
  <si>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</si>
  <si>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</si>
  <si>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</si>
  <si>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</si>
  <si>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</si>
  <si>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</si>
  <si>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</si>
  <si>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</si>
  <si>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</si>
  <si>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</si>
  <si>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</si>
  <si>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</si>
  <si>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</si>
  <si>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</si>
  <si>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</si>
  <si>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</si>
  <si>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</si>
  <si>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</si>
  <si>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</si>
  <si>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</si>
  <si>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</si>
  <si>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</si>
  <si>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</si>
  <si>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</si>
  <si>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</si>
  <si>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</si>
  <si>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</si>
  <si>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</si>
  <si>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</si>
  <si>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</si>
  <si>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</si>
  <si>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</si>
  <si>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</si>
  <si>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</si>
  <si>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</si>
  <si>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</si>
  <si>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</si>
  <si>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</si>
  <si>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</si>
  <si>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</si>
  <si>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</si>
  <si>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</si>
  <si>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</si>
  <si>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</si>
  <si>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</si>
  <si>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</si>
  <si>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</si>
  <si>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</si>
  <si>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</si>
  <si>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</si>
  <si>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</si>
  <si>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</si>
  <si>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</si>
  <si>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</si>
  <si>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</si>
  <si>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</si>
  <si>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</si>
  <si>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</si>
  <si>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</si>
  <si>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</si>
  <si>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</si>
  <si>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</si>
  <si>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</si>
  <si>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</si>
  <si>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</si>
  <si>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</si>
  <si>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</si>
  <si>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</si>
  <si>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</si>
  <si>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</si>
  <si>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</si>
  <si>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</si>
  <si>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</si>
  <si>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</si>
  <si>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</si>
  <si>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</si>
  <si>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</si>
  <si>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</si>
  <si>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</si>
  <si>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</si>
  <si>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</si>
  <si>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</si>
  <si>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</si>
  <si>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</si>
  <si>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</si>
  <si>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</si>
  <si>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</si>
  <si>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</si>
  <si>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</si>
  <si>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</si>
  <si>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</si>
  <si>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</si>
  <si>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</si>
  <si>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</si>
  <si>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</si>
  <si>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</si>
  <si>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</si>
  <si>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</si>
  <si>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</si>
  <si>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</si>
  <si>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</si>
  <si>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</si>
  <si>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</si>
  <si>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</si>
  <si>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</si>
  <si>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</si>
  <si>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</si>
  <si>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</si>
  <si>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</si>
  <si>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</si>
  <si>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</si>
  <si>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</si>
  <si>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</si>
  <si>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</si>
  <si>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</si>
  <si>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</si>
  <si>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</si>
  <si>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</si>
  <si>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</si>
  <si>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</si>
  <si>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</si>
  <si>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</si>
  <si>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</si>
  <si>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</si>
  <si>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</si>
  <si>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</si>
  <si>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</si>
  <si>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</si>
  <si>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</si>
  <si>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</si>
  <si>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</si>
  <si>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</si>
  <si>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</si>
  <si>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</si>
  <si>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</si>
  <si>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</si>
  <si>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</si>
  <si>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</si>
  <si>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</si>
  <si>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</si>
  <si>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</si>
  <si>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</si>
  <si>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</si>
  <si>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</si>
  <si>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</si>
  <si>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</si>
  <si>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</si>
  <si>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</si>
  <si>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</si>
  <si>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</si>
  <si>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</si>
  <si>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</si>
  <si>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</si>
  <si>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</si>
  <si>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</si>
  <si>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</si>
  <si>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</si>
  <si>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</si>
  <si>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</si>
  <si>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</si>
  <si>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</si>
  <si>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</si>
  <si>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</si>
  <si>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</si>
  <si>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</si>
  <si>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</si>
  <si>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</si>
  <si>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</si>
  <si>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</si>
  <si>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</si>
  <si>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</si>
  <si>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</si>
  <si>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</si>
  <si>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</si>
  <si>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</si>
  <si>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</si>
  <si>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</si>
  <si>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</si>
  <si>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</si>
  <si>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</si>
  <si>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</si>
  <si>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</si>
  <si>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</si>
  <si>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</si>
  <si>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</si>
  <si>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</si>
  <si>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</si>
  <si>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</si>
  <si>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</si>
  <si>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</si>
  <si>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</si>
  <si>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</si>
  <si>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</si>
  <si>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</si>
  <si>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</si>
  <si>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</si>
  <si>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</si>
  <si>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</si>
  <si>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</si>
  <si>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</si>
  <si>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</si>
  <si>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</si>
  <si>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</si>
  <si>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</si>
  <si>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</si>
  <si>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</si>
  <si>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</si>
  <si>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</si>
  <si>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</si>
  <si>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</si>
  <si>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</si>
  <si>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</si>
  <si>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</si>
  <si>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</si>
  <si>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</si>
  <si>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</si>
  <si>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</si>
  <si>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</si>
  <si>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</si>
  <si>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</si>
  <si>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</si>
  <si>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</si>
  <si>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</si>
  <si>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</si>
  <si>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</si>
  <si>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</si>
  <si>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</si>
  <si>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</si>
  <si>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</si>
  <si>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</si>
  <si>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</si>
  <si>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</si>
  <si>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</si>
  <si>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</si>
  <si>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</si>
  <si>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</si>
  <si>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</si>
  <si>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</si>
  <si>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</si>
  <si>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</si>
  <si>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</si>
  <si>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</si>
  <si>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</si>
  <si>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</si>
  <si>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</si>
  <si>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</si>
  <si>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</si>
  <si>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</si>
  <si>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</si>
  <si>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</si>
  <si>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</si>
  <si>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</si>
  <si>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</si>
  <si>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</si>
  <si>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</si>
  <si>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</si>
  <si>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</si>
  <si>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</si>
  <si>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</si>
  <si>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</si>
  <si>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</si>
  <si>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</si>
  <si>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</si>
  <si>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</si>
  <si>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</si>
  <si>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</si>
  <si>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</si>
  <si>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</si>
  <si>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</si>
  <si>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</si>
  <si>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</si>
  <si>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</si>
  <si>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</si>
  <si>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</si>
  <si>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</si>
  <si>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</si>
  <si>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</si>
  <si>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</si>
  <si>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</si>
  <si>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</si>
  <si>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</si>
  <si>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</si>
  <si>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</si>
  <si>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</si>
  <si>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</si>
  <si>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</si>
  <si>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</si>
  <si>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</si>
  <si>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</si>
  <si>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</si>
  <si>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</si>
  <si>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</si>
  <si>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</si>
  <si>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</si>
  <si>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</si>
  <si>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</si>
  <si>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</si>
  <si>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</si>
  <si>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</si>
  <si>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</si>
  <si>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</si>
  <si>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</si>
  <si>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</si>
  <si>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</si>
  <si>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</si>
  <si>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</si>
  <si>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</si>
  <si>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</si>
  <si>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</si>
  <si>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</si>
  <si>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</si>
  <si>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</si>
  <si>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</si>
  <si>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</si>
  <si>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</si>
  <si>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</si>
  <si>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</si>
  <si>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</si>
  <si>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</si>
  <si>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</si>
  <si>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</si>
  <si>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</si>
  <si>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</si>
  <si>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</si>
  <si>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</si>
  <si>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</si>
  <si>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</si>
  <si>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</si>
  <si>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</si>
  <si>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</si>
  <si>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</si>
  <si>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</si>
  <si>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</si>
  <si>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</si>
  <si>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</si>
  <si>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</si>
  <si>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</si>
  <si>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</si>
  <si>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</si>
  <si>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</si>
  <si>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</si>
  <si>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</si>
  <si>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</si>
  <si>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</si>
  <si>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</si>
  <si>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</si>
  <si>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</si>
  <si>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</si>
  <si>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</si>
  <si>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</si>
  <si>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</si>
  <si>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</si>
  <si>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</si>
  <si>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</si>
  <si>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</si>
  <si>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</si>
  <si>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</si>
  <si>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</si>
  <si>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</si>
  <si>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</si>
  <si>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</si>
  <si>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</si>
  <si>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</si>
  <si>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</si>
  <si>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</si>
  <si>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</si>
  <si>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</si>
  <si>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</si>
  <si>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</si>
  <si>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</si>
  <si>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</si>
  <si>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</si>
  <si>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</si>
  <si>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</si>
  <si>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</si>
  <si>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</si>
  <si>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</si>
  <si>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</si>
  <si>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</si>
  <si>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</si>
  <si>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</si>
  <si>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</si>
  <si>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</si>
  <si>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</si>
  <si>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</si>
  <si>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</si>
  <si>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</si>
  <si>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</si>
  <si>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</si>
  <si>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</si>
  <si>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</si>
  <si>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</si>
  <si>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</si>
  <si>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</si>
  <si>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</si>
  <si>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</si>
  <si>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</si>
  <si>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</si>
  <si>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</si>
  <si>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</si>
  <si>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</si>
  <si>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</si>
  <si>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</si>
  <si>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</si>
  <si>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</si>
  <si>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</si>
  <si>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</si>
  <si>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</si>
  <si>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</si>
  <si>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</si>
  <si>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</si>
  <si>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</si>
  <si>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</si>
  <si>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</si>
  <si>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</si>
  <si>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</si>
  <si>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</si>
  <si>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</si>
  <si>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</si>
  <si>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</si>
  <si>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</si>
  <si>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</si>
  <si>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</si>
  <si>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</si>
  <si>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</si>
  <si>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</si>
  <si>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</si>
  <si>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</si>
  <si>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</si>
  <si>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</si>
  <si>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</si>
  <si>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</si>
  <si>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</si>
  <si>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</si>
  <si>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</si>
  <si>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</si>
  <si>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</si>
  <si>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</si>
  <si>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</si>
  <si>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</si>
  <si>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</si>
  <si>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</si>
  <si>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</si>
  <si>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</si>
  <si>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</si>
  <si>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</si>
  <si>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</si>
  <si>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</si>
  <si>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</si>
  <si>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</si>
  <si>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</si>
  <si>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</si>
  <si>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</si>
  <si>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</si>
  <si>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</si>
  <si>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</si>
  <si>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</si>
  <si>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</si>
  <si>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</si>
  <si>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</si>
  <si>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</si>
  <si>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</si>
  <si>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</si>
  <si>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</si>
  <si>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</si>
  <si>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</si>
  <si>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</si>
  <si>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</si>
  <si>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</si>
  <si>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</si>
  <si>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</si>
  <si>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</si>
  <si>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</si>
  <si>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</si>
  <si>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</si>
  <si>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</si>
  <si>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</si>
  <si>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</si>
  <si>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</si>
  <si>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</si>
  <si>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</si>
  <si>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</si>
  <si>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</si>
  <si>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</si>
  <si>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</si>
  <si>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</si>
  <si>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</si>
  <si>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</si>
  <si>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</si>
  <si>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</si>
  <si>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</si>
  <si>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</si>
  <si>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</si>
  <si>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</si>
  <si>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</si>
  <si>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</si>
  <si>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</si>
  <si>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</si>
  <si>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</si>
  <si>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</si>
  <si>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</si>
  <si>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</si>
  <si>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</si>
  <si>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</si>
  <si>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</si>
  <si>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</si>
  <si>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</si>
  <si>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</si>
  <si>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</si>
  <si>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</si>
  <si>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</si>
  <si>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</si>
  <si>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</si>
  <si>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</si>
  <si>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</si>
  <si>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</si>
  <si>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</si>
  <si>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</si>
  <si>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</si>
  <si>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</si>
  <si>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</si>
  <si>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</si>
  <si>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</si>
  <si>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</si>
  <si>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</si>
  <si>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</si>
  <si>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</si>
  <si>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</si>
  <si>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</si>
  <si>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</si>
  <si>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</si>
  <si>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</si>
  <si>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</si>
  <si>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</si>
  <si>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</si>
  <si>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</si>
  <si>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</si>
  <si>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</si>
  <si>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</si>
  <si>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</si>
  <si>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</si>
  <si>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</si>
  <si>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</si>
  <si>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</si>
  <si>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</si>
  <si>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</si>
  <si>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</si>
  <si>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</si>
  <si>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</si>
  <si>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</si>
  <si>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</si>
  <si>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</si>
  <si>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</si>
  <si>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</si>
  <si>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</si>
  <si>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</si>
  <si>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</si>
  <si>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</si>
  <si>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</si>
  <si>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</si>
  <si>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</si>
  <si>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</si>
  <si>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</si>
  <si>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</si>
  <si>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</si>
  <si>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</si>
  <si>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</si>
  <si>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</si>
  <si>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</si>
  <si>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</si>
  <si>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</si>
  <si>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</si>
  <si>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</si>
  <si>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</si>
  <si>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</si>
  <si>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</si>
  <si>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</si>
  <si>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</si>
  <si>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</si>
  <si>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</si>
  <si>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</si>
  <si>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</si>
  <si>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</si>
  <si>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</si>
  <si>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</si>
  <si>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</si>
  <si>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</si>
  <si>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</si>
  <si>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</si>
  <si>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</si>
  <si>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</si>
  <si>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</si>
  <si>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</si>
  <si>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</si>
  <si>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</si>
  <si>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</si>
  <si>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</si>
  <si>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</si>
  <si>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</si>
  <si>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</si>
  <si>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</si>
  <si>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</si>
  <si>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</si>
  <si>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</si>
  <si>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</si>
  <si>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</si>
  <si>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</si>
  <si>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</si>
  <si>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</si>
  <si>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</si>
  <si>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</si>
  <si>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</si>
  <si>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</si>
  <si>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</si>
  <si>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</si>
  <si>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</si>
  <si>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</si>
  <si>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</si>
  <si>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</si>
  <si>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</si>
  <si>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</si>
  <si>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</si>
  <si>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</si>
  <si>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</si>
  <si>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</si>
  <si>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</si>
  <si>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</si>
  <si>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</si>
  <si>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</si>
  <si>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</si>
  <si>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</si>
  <si>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</si>
  <si>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</si>
  <si>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</si>
  <si>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</si>
  <si>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</si>
  <si>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</si>
  <si>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</si>
  <si>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</si>
  <si>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</si>
  <si>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</si>
  <si>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</si>
  <si>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</si>
  <si>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</si>
  <si>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</si>
  <si>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</si>
  <si>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</si>
  <si>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</si>
  <si>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</si>
  <si>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</si>
  <si>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</si>
  <si>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</si>
  <si>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</si>
  <si>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</si>
  <si>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</si>
  <si>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</si>
  <si>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</si>
  <si>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</si>
  <si>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</si>
  <si>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</si>
  <si>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</si>
  <si>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</si>
  <si>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</si>
  <si>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</si>
  <si>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</si>
  <si>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</si>
  <si>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</si>
  <si>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</si>
  <si>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</si>
  <si>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</si>
  <si>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</si>
  <si>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</si>
  <si>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</si>
  <si>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</si>
  <si>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</si>
  <si>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</si>
  <si>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</si>
  <si>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</si>
  <si>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</si>
  <si>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</si>
  <si>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</si>
  <si>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</si>
  <si>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</si>
  <si>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</si>
  <si>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</si>
  <si>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</si>
  <si>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</si>
  <si>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</si>
  <si>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</si>
  <si>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</si>
  <si>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</si>
  <si>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</si>
  <si>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</si>
  <si>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</si>
  <si>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</si>
  <si>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</si>
  <si>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</si>
  <si>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</si>
  <si>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</si>
  <si>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</si>
  <si>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</si>
  <si>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</si>
  <si>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</si>
  <si>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</si>
  <si>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</si>
  <si>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</si>
  <si>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</si>
  <si>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</si>
  <si>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</si>
  <si>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</si>
  <si>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</si>
  <si>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</si>
  <si>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</si>
  <si>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</si>
  <si>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</si>
  <si>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</si>
  <si>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</si>
  <si>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</si>
  <si>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</si>
  <si>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</si>
  <si>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</si>
  <si>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</si>
  <si>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</si>
  <si>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</si>
  <si>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</si>
  <si>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</si>
  <si>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</si>
  <si>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</si>
  <si>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</si>
  <si>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</si>
  <si>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</si>
  <si>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</si>
  <si>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</si>
  <si>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</si>
  <si>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</si>
  <si>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</si>
  <si>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</si>
  <si>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</si>
  <si>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</si>
  <si>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</si>
  <si>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</si>
  <si>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</si>
  <si>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</si>
  <si>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</si>
  <si>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</si>
  <si>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</si>
  <si>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</si>
  <si>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</si>
  <si>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</si>
  <si>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</si>
  <si>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</si>
  <si>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</si>
  <si>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</si>
  <si>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</si>
  <si>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</si>
  <si>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</si>
  <si>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</si>
  <si>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</si>
  <si>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</si>
  <si>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</si>
  <si>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</si>
  <si>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</si>
  <si>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</si>
  <si>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</si>
  <si>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</si>
  <si>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</si>
  <si>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</si>
  <si>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</si>
  <si>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</si>
  <si>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</si>
  <si>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</si>
  <si>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</si>
  <si>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</si>
  <si>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</si>
  <si>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</si>
  <si>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</si>
  <si>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</si>
  <si>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</si>
  <si>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</si>
  <si>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</si>
  <si>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</si>
  <si>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</si>
  <si>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</si>
  <si>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</si>
  <si>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</si>
  <si>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</si>
  <si>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</si>
  <si>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</si>
  <si>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</si>
  <si>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</si>
  <si>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</si>
  <si>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</si>
  <si>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</si>
  <si>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</si>
  <si>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</si>
  <si>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</si>
  <si>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</si>
  <si>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</si>
  <si>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</si>
  <si>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</si>
  <si>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</si>
  <si>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</si>
  <si>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</si>
  <si>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</si>
  <si>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</si>
  <si>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</si>
  <si>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</si>
  <si>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</si>
  <si>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</si>
  <si>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</si>
  <si>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</si>
  <si>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</si>
  <si>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</si>
  <si>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</si>
  <si>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</si>
  <si>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</si>
  <si>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</si>
  <si>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</si>
  <si>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</si>
  <si>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</si>
  <si>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</si>
  <si>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</si>
  <si>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</si>
  <si>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</si>
  <si>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</si>
  <si>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</si>
  <si>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</si>
  <si>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</si>
  <si>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</si>
  <si>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</si>
  <si>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</si>
  <si>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</si>
  <si>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</si>
  <si>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</si>
  <si>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</si>
  <si>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</si>
  <si>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</si>
  <si>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</si>
  <si>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</si>
  <si>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</si>
  <si>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</si>
  <si>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</si>
  <si>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</si>
  <si>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</si>
  <si>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</si>
  <si>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</si>
  <si>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</si>
  <si>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</si>
  <si>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</si>
  <si>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</si>
  <si>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</si>
  <si>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</si>
  <si>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</si>
  <si>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</si>
  <si>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</si>
  <si>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</si>
  <si>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</si>
  <si>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</si>
  <si>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</si>
  <si>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</si>
  <si>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</si>
  <si>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</si>
  <si>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</si>
  <si>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</si>
  <si>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</si>
  <si>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</si>
  <si>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</si>
  <si>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</si>
  <si>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</si>
  <si>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</si>
  <si>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</si>
  <si>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</si>
  <si>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</si>
  <si>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</si>
  <si>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</si>
  <si>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</si>
  <si>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</si>
  <si>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</si>
  <si>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</si>
  <si>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</si>
  <si>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</si>
  <si>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</si>
  <si>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</si>
  <si>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</si>
  <si>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</si>
  <si>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</si>
  <si>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</si>
  <si>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</si>
  <si>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</si>
  <si>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</si>
  <si>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</si>
  <si>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</si>
  <si>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</si>
  <si>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</si>
  <si>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</si>
  <si>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</si>
  <si>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</si>
  <si>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</si>
  <si>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</si>
  <si>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</si>
  <si>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</si>
  <si>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</si>
  <si>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</si>
  <si>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</si>
  <si>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</si>
  <si>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</si>
  <si>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</si>
  <si>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</si>
  <si>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</si>
  <si>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</si>
  <si>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</si>
  <si>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</si>
  <si>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</si>
  <si>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</si>
  <si>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</si>
  <si>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</si>
  <si>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</si>
  <si>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</si>
  <si>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</si>
  <si>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</si>
  <si>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</si>
  <si>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</si>
  <si>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</si>
  <si>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</si>
  <si>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</si>
  <si>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</si>
  <si>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</si>
  <si>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</si>
  <si>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</si>
  <si>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</si>
  <si>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</si>
  <si>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</si>
  <si>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</si>
  <si>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</si>
  <si>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</si>
  <si>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</si>
  <si>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</si>
  <si>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</si>
  <si>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</si>
  <si>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</si>
  <si>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</si>
  <si>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</si>
  <si>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</si>
  <si>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</si>
  <si>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</si>
  <si>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</si>
  <si>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</si>
  <si>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</si>
  <si>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</si>
  <si>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</si>
  <si>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</si>
  <si>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</si>
  <si>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</si>
  <si>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</si>
  <si>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</si>
  <si>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</si>
  <si>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</si>
  <si>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</si>
  <si>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</si>
  <si>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</si>
  <si>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</si>
  <si>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</si>
  <si>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</si>
  <si>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</si>
  <si>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</si>
  <si>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</si>
  <si>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</si>
  <si>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</si>
  <si>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</si>
  <si>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</si>
  <si>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</si>
  <si>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</si>
  <si>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</si>
  <si>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</si>
  <si>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</si>
  <si>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</si>
  <si>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</si>
  <si>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</si>
  <si>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</si>
  <si>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</si>
  <si>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</si>
  <si>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</si>
  <si>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</si>
  <si>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</si>
  <si>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</si>
  <si>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</si>
  <si>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</si>
  <si>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</si>
  <si>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</si>
  <si>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</si>
  <si>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</si>
  <si>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</si>
  <si>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</si>
  <si>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</si>
  <si>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</si>
  <si>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</si>
  <si>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</si>
  <si>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</si>
  <si>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</si>
  <si>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</si>
  <si>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</si>
  <si>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</si>
  <si>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</si>
  <si>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</si>
  <si>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</si>
  <si>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</si>
  <si>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</si>
  <si>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</si>
  <si>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</si>
  <si>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</si>
  <si>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</si>
  <si>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</si>
  <si>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</si>
  <si>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</si>
  <si>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</si>
  <si>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</si>
  <si>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</si>
  <si>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</si>
  <si>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</si>
  <si>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</si>
  <si>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</si>
  <si>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</si>
  <si>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</si>
  <si>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</si>
  <si>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</si>
  <si>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</si>
  <si>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</si>
  <si>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</si>
  <si>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</si>
  <si>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</si>
  <si>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</si>
  <si>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</si>
  <si>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</si>
  <si>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</si>
  <si>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</si>
  <si>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</si>
  <si>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</si>
  <si>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</si>
  <si>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</si>
  <si>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</si>
  <si>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</si>
  <si>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</si>
  <si>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</si>
  <si>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</si>
  <si>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</si>
  <si>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</si>
  <si>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</si>
  <si>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</si>
  <si>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</si>
  <si>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</si>
  <si>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</si>
  <si>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</si>
  <si>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</si>
  <si>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</si>
  <si>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</si>
  <si>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</si>
  <si>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</si>
  <si>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</si>
  <si>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</si>
  <si>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</si>
  <si>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</si>
  <si>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</si>
  <si>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</si>
  <si>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</si>
  <si>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</si>
  <si>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</si>
  <si>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</si>
  <si>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</si>
  <si>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</si>
  <si>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</si>
  <si>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</si>
  <si>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</si>
  <si>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</si>
  <si>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</si>
  <si>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</si>
  <si>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</si>
  <si>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</si>
  <si>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</si>
  <si>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</si>
  <si>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</si>
  <si>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</si>
  <si>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</si>
  <si>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</si>
  <si>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</si>
  <si>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</si>
  <si>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</si>
  <si>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</si>
  <si>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</si>
  <si>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</si>
  <si>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</si>
  <si>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</si>
  <si>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</si>
  <si>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</si>
  <si>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</si>
  <si>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</si>
  <si>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</si>
  <si>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</si>
  <si>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</si>
  <si>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</si>
  <si>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</si>
  <si>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</si>
  <si>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</si>
  <si>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</si>
  <si>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</si>
  <si>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</si>
  <si>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</si>
  <si>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</si>
  <si>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</si>
  <si>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</si>
  <si>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</si>
  <si>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</si>
  <si>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</si>
  <si>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</si>
  <si>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</si>
  <si>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</si>
  <si>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</si>
  <si>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</si>
  <si>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</si>
  <si>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</si>
  <si>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</si>
  <si>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</si>
  <si>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</si>
  <si>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</si>
  <si>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</si>
  <si>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</si>
  <si>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</si>
  <si>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</si>
  <si>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</si>
  <si>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</si>
  <si>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</si>
  <si>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</si>
  <si>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</si>
  <si>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</si>
  <si>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</si>
  <si>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</si>
  <si>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</si>
  <si>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</si>
  <si>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</si>
  <si>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</si>
  <si>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</si>
  <si>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</si>
  <si>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</si>
  <si>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</si>
  <si>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</si>
  <si>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</si>
  <si>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</si>
  <si>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</si>
  <si>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</si>
  <si>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</si>
  <si>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</si>
  <si>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</si>
  <si>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</si>
  <si>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</si>
  <si>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</si>
  <si>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</si>
  <si>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</si>
  <si>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</si>
  <si>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</si>
  <si>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</si>
  <si>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</si>
  <si>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</si>
  <si>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</si>
  <si>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</si>
  <si>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</si>
  <si>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</si>
  <si>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</si>
  <si>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</si>
  <si>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</si>
  <si>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</si>
  <si>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</si>
  <si>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</si>
  <si>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</si>
  <si>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</si>
  <si>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</si>
  <si>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</si>
  <si>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</si>
  <si>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</si>
  <si>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</si>
  <si>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</si>
  <si>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</si>
  <si>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</si>
  <si>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</si>
  <si>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</si>
  <si>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</si>
  <si>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</si>
  <si>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</si>
  <si>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</si>
  <si>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</si>
  <si>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</si>
  <si>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</si>
  <si>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</si>
  <si>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</si>
  <si>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</si>
  <si>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</si>
  <si>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</si>
  <si>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</si>
  <si>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</si>
  <si>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</si>
  <si>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</si>
  <si>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</si>
  <si>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</si>
  <si>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</si>
  <si>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</si>
  <si>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</si>
  <si>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</si>
  <si>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</si>
  <si>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</si>
  <si>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</si>
  <si>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</si>
  <si>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</si>
  <si>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</si>
  <si>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</si>
  <si>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</si>
  <si>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</si>
  <si>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</si>
  <si>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</si>
  <si>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</si>
  <si>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</si>
  <si>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</si>
  <si>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</si>
  <si>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</si>
  <si>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</si>
  <si>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</si>
  <si>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</si>
  <si>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</si>
  <si>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</si>
  <si>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</si>
  <si>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</si>
  <si>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</si>
  <si>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</si>
  <si>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</si>
  <si>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</si>
  <si>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</si>
  <si>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</si>
  <si>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</si>
  <si>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</si>
  <si>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</si>
  <si>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</si>
  <si>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</si>
  <si>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</si>
  <si>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</si>
  <si>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</si>
  <si>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</si>
  <si>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</si>
  <si>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</si>
  <si>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</si>
  <si>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</si>
  <si>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</si>
  <si>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</si>
  <si>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</si>
  <si>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</si>
  <si>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</si>
  <si>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</si>
  <si>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</si>
  <si>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</si>
  <si>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</si>
  <si>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</si>
  <si>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</si>
  <si>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</si>
  <si>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</si>
  <si>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</si>
  <si>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</si>
  <si>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</si>
  <si>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</si>
  <si>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</si>
  <si>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</si>
  <si>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</si>
  <si>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</si>
  <si>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</si>
  <si>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</si>
  <si>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</si>
  <si>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</si>
  <si>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</si>
  <si>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</si>
  <si>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</si>
  <si>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</si>
  <si>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</si>
  <si>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</si>
  <si>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</si>
  <si>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</si>
  <si>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</si>
  <si>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</si>
  <si>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</si>
  <si>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</si>
  <si>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</si>
  <si>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</si>
  <si>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</si>
  <si>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</si>
  <si>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</si>
  <si>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</si>
  <si>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</si>
  <si>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</si>
  <si>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</si>
  <si>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</si>
  <si>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</si>
  <si>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</si>
  <si>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</si>
  <si>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</si>
  <si>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</si>
  <si>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</si>
  <si>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</si>
  <si>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</si>
  <si>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</si>
  <si>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</si>
  <si>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</si>
  <si>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</si>
  <si>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</si>
  <si>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</si>
  <si>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</si>
  <si>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</si>
  <si>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</si>
  <si>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</si>
  <si>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</si>
  <si>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</si>
  <si>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</si>
  <si>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</si>
  <si>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</si>
  <si>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</si>
  <si>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</si>
  <si>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</si>
  <si>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</si>
  <si>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</si>
  <si>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</si>
  <si>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</si>
  <si>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</si>
  <si>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</si>
  <si>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</si>
  <si>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</si>
  <si>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</si>
  <si>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</si>
  <si>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</si>
  <si>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</si>
  <si>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</si>
  <si>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</si>
  <si>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</si>
  <si>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</si>
  <si>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</si>
  <si>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</si>
  <si>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</si>
  <si>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</si>
  <si>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</si>
  <si>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</si>
  <si>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</si>
  <si>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</si>
  <si>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</si>
  <si>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</si>
  <si>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</si>
  <si>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</si>
  <si>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</si>
  <si>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</si>
  <si>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</si>
  <si>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</si>
  <si>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</si>
  <si>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</si>
  <si>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</si>
  <si>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</si>
  <si>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</si>
  <si>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</si>
  <si>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</si>
  <si>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</si>
  <si>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</si>
  <si>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</si>
  <si>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</si>
  <si>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</si>
  <si>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</si>
  <si>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</si>
  <si>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</si>
  <si>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</si>
  <si>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</si>
  <si>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</si>
  <si>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</si>
  <si>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</si>
  <si>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</si>
  <si>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</si>
  <si>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</si>
  <si>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</si>
  <si>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</si>
  <si>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</si>
  <si>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</si>
  <si>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</si>
  <si>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</si>
  <si>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</si>
  <si>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</si>
  <si>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</si>
  <si>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</si>
  <si>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</si>
  <si>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</si>
  <si>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</si>
  <si>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</si>
  <si>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</si>
  <si>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</si>
  <si>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</si>
  <si>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</si>
  <si>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</si>
  <si>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</si>
  <si>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</si>
  <si>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</si>
  <si>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</si>
  <si>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</si>
  <si>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</si>
  <si>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</si>
  <si>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</si>
  <si>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</si>
  <si>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</si>
  <si>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</si>
  <si>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</si>
  <si>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</si>
  <si>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</si>
  <si>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</si>
  <si>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</si>
  <si>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</si>
  <si>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</si>
  <si>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</si>
  <si>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</si>
  <si>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</si>
  <si>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</si>
  <si>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</si>
  <si>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</si>
  <si>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</si>
  <si>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</si>
  <si>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</si>
  <si>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</si>
  <si>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</si>
  <si>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</si>
  <si>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</si>
  <si>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</si>
  <si>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</si>
  <si>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</si>
  <si>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</si>
  <si>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</si>
  <si>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</si>
  <si>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</si>
  <si>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</si>
  <si>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</si>
  <si>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</si>
  <si>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</si>
  <si>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</si>
  <si>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</si>
  <si>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</si>
  <si>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</si>
  <si>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</si>
  <si>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</si>
  <si>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</si>
  <si>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</si>
  <si>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</si>
  <si>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</si>
  <si>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</si>
  <si>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</si>
  <si>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</si>
  <si>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</si>
  <si>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</si>
  <si>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</si>
  <si>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</si>
  <si>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</si>
  <si>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</si>
  <si>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</si>
  <si>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</si>
  <si>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</si>
  <si>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</si>
  <si>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</si>
  <si>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</si>
  <si>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</si>
  <si>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</si>
  <si>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</si>
  <si>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</si>
  <si>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</si>
  <si>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</si>
  <si>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</si>
  <si>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</si>
  <si>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</si>
  <si>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</si>
  <si>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</si>
  <si>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</si>
  <si>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</si>
  <si>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</si>
  <si>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</si>
  <si>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</si>
  <si>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</si>
  <si>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</si>
  <si>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</si>
  <si>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</si>
  <si>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</si>
  <si>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</si>
  <si>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</si>
  <si>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</si>
  <si>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</si>
  <si>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</si>
  <si>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</si>
  <si>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</si>
  <si>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</si>
  <si>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</si>
  <si>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</si>
  <si>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</si>
  <si>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</si>
  <si>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</si>
  <si>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</si>
  <si>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</si>
  <si>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</si>
  <si>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</si>
  <si>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</si>
  <si>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</si>
  <si>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</si>
  <si>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</si>
  <si>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</si>
  <si>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</si>
  <si>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</si>
  <si>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</si>
  <si>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</si>
  <si>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</si>
  <si>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</si>
  <si>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</si>
  <si>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</si>
  <si>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</si>
  <si>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</si>
  <si>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</si>
  <si>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</si>
  <si>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</si>
  <si>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</si>
  <si>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</si>
  <si>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</si>
  <si>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</si>
  <si>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</si>
  <si>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</si>
  <si>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</si>
  <si>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</si>
  <si>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</si>
  <si>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</si>
  <si>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</si>
  <si>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</si>
  <si>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</si>
  <si>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</si>
  <si>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</si>
  <si>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</si>
  <si>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</si>
  <si>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</si>
  <si>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</si>
  <si>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</si>
  <si>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</si>
  <si>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</si>
  <si>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</si>
  <si>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</si>
  <si>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</si>
  <si>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</si>
  <si>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</si>
  <si>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</si>
  <si>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</si>
  <si>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</si>
  <si>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</si>
  <si>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</si>
  <si>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</si>
  <si>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</si>
  <si>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</si>
  <si>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</si>
  <si>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</si>
  <si>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</si>
  <si>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</si>
  <si>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</si>
  <si>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</si>
  <si>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</si>
  <si>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</si>
  <si>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</si>
  <si>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</si>
  <si>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</si>
  <si>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</si>
  <si>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</si>
  <si>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</si>
  <si>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</si>
  <si>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</si>
  <si>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</si>
  <si>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</si>
  <si>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</si>
  <si>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</si>
  <si>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</si>
  <si>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</si>
  <si>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</si>
  <si>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</si>
  <si>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</si>
  <si>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</si>
  <si>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</si>
  <si>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</si>
  <si>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</si>
  <si>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</si>
  <si>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</si>
  <si>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</si>
  <si>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</si>
  <si>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</si>
  <si>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</si>
  <si>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</si>
  <si>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</si>
  <si>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</si>
  <si>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</si>
  <si>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</si>
  <si>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</si>
  <si>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</si>
  <si>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</si>
  <si>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</si>
  <si>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</si>
  <si>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</si>
  <si>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</si>
  <si>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</si>
  <si>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</si>
  <si>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</si>
  <si>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</si>
  <si>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</si>
  <si>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</si>
  <si>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</si>
  <si>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</si>
  <si>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</si>
  <si>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</si>
  <si>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</si>
  <si>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</si>
  <si>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</si>
  <si>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</si>
  <si>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</si>
  <si>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</si>
  <si>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</si>
  <si>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</si>
  <si>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</si>
  <si>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</si>
  <si>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</si>
  <si>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</si>
  <si>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</si>
  <si>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</si>
  <si>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</si>
  <si>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</si>
  <si>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</si>
  <si>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</si>
  <si>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</si>
  <si>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</si>
  <si>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</si>
  <si>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</si>
  <si>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</si>
  <si>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</si>
  <si>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</si>
  <si>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</si>
  <si>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</si>
  <si>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</si>
  <si>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</si>
  <si>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</si>
  <si>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</si>
  <si>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</si>
  <si>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</si>
  <si>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</si>
  <si>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</si>
  <si>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</si>
  <si>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</si>
  <si>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</si>
  <si>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</si>
  <si>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</si>
  <si>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</si>
  <si>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</si>
  <si>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</si>
  <si>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</si>
  <si>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</si>
  <si>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</si>
  <si>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</si>
  <si>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</si>
  <si>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</si>
  <si>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</si>
  <si>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</si>
  <si>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</si>
  <si>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</si>
  <si>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</si>
  <si>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</si>
  <si>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</si>
  <si>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</si>
  <si>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</si>
  <si>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</si>
  <si>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</si>
  <si>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</si>
  <si>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</si>
  <si>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</si>
  <si>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</si>
  <si>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</si>
  <si>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</si>
  <si>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</si>
  <si>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</si>
  <si>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</si>
  <si>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</si>
  <si>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</si>
  <si>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</si>
  <si>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</si>
  <si>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</si>
  <si>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</si>
  <si>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</si>
  <si>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</si>
  <si>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</si>
  <si>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</si>
  <si>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</si>
  <si>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</si>
  <si>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</si>
  <si>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</si>
  <si>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</si>
  <si>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</si>
  <si>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</si>
  <si>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</si>
  <si>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</si>
  <si>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</si>
  <si>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</si>
  <si>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</si>
  <si>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</si>
  <si>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</si>
  <si>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</si>
  <si>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</si>
  <si>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</si>
  <si>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</si>
  <si>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</si>
  <si>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</si>
  <si>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</si>
  <si>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</si>
  <si>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</si>
  <si>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</si>
  <si>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</si>
  <si>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</si>
  <si>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</si>
  <si>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</si>
  <si>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</si>
  <si>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</si>
  <si>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</si>
  <si>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</si>
  <si>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</si>
  <si>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</si>
  <si>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</si>
  <si>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</si>
  <si>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</si>
  <si>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</si>
  <si>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</si>
  <si>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</si>
  <si>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</si>
  <si>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</si>
  <si>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</si>
  <si>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</si>
  <si>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</si>
  <si>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</si>
  <si>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</si>
  <si>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</si>
  <si>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</si>
  <si>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</si>
  <si>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</si>
  <si>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</si>
  <si>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</si>
  <si>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</si>
  <si>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</si>
  <si>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</si>
  <si>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</si>
  <si>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</si>
  <si>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</si>
  <si>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</si>
  <si>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</si>
  <si>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</si>
  <si>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</si>
  <si>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</si>
  <si>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</si>
  <si>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</si>
  <si>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</si>
  <si>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</si>
  <si>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</si>
  <si>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</si>
  <si>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</si>
  <si>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</si>
  <si>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</si>
  <si>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</si>
  <si>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</si>
  <si>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</si>
  <si>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</si>
  <si>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</si>
  <si>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</si>
  <si>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</si>
  <si>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</si>
  <si>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</si>
  <si>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</si>
  <si>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</si>
  <si>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</si>
  <si>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</si>
  <si>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</si>
  <si>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</si>
  <si>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</si>
  <si>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</si>
  <si>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</si>
  <si>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</si>
  <si>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</si>
  <si>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</si>
  <si>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</si>
  <si>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</si>
  <si>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</si>
  <si>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</si>
  <si>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</si>
  <si>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</si>
  <si>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</si>
  <si>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</si>
  <si>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</si>
  <si>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</si>
  <si>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</si>
  <si>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</si>
  <si>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</si>
  <si>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</si>
  <si>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</si>
  <si>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</si>
  <si>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</si>
  <si>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</si>
  <si>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</si>
  <si>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</si>
  <si>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</si>
  <si>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</si>
  <si>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</si>
  <si>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</si>
  <si>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</si>
  <si>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</si>
  <si>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</si>
  <si>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</si>
  <si>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</si>
  <si>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</si>
  <si>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</si>
  <si>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</si>
  <si>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</si>
  <si>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</si>
  <si>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</si>
  <si>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</si>
  <si>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</si>
  <si>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</si>
  <si>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</si>
  <si>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</si>
  <si>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</si>
  <si>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</si>
  <si>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</si>
  <si>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</si>
  <si>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</si>
  <si>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</si>
  <si>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</si>
  <si>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</si>
  <si>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</si>
  <si>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</si>
  <si>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</si>
  <si>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</si>
  <si>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</si>
  <si>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</si>
  <si>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</si>
  <si>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</si>
  <si>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</si>
  <si>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</si>
  <si>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</si>
  <si>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</si>
  <si>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</si>
  <si>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</si>
  <si>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</si>
  <si>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</si>
  <si>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</si>
  <si>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</si>
  <si>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</si>
  <si>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</si>
  <si>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</si>
  <si>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</si>
  <si>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</si>
  <si>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</si>
  <si>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</si>
  <si>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</si>
  <si>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</si>
  <si>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</si>
  <si>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</si>
  <si>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</si>
  <si>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</si>
  <si>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</si>
  <si>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</si>
  <si>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</si>
  <si>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</si>
  <si>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</si>
  <si>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</si>
  <si>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</si>
  <si>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</si>
  <si>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</si>
  <si>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</si>
  <si>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</si>
  <si>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</si>
  <si>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</si>
  <si>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</si>
  <si>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</si>
  <si>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</si>
  <si>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</si>
  <si>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</si>
  <si>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</si>
  <si>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</si>
  <si>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</si>
  <si>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</si>
  <si>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</si>
  <si>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</si>
  <si>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</si>
  <si>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</si>
  <si>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</si>
  <si>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</si>
  <si>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</si>
  <si>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</si>
  <si>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</si>
  <si>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</si>
  <si>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</si>
  <si>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</si>
  <si>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</si>
  <si>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</si>
  <si>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</si>
  <si>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</si>
  <si>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</si>
  <si>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</si>
  <si>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</si>
  <si>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</si>
  <si>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</si>
  <si>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</si>
  <si>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</si>
  <si>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</si>
  <si>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</si>
  <si>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</si>
  <si>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</si>
  <si>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</si>
  <si>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</si>
  <si>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</si>
  <si>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</si>
  <si>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</si>
  <si>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</si>
  <si>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</si>
  <si>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</si>
  <si>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</si>
  <si>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</si>
  <si>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</si>
  <si>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</si>
  <si>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</si>
  <si>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</si>
  <si>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</si>
  <si>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</si>
  <si>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</si>
  <si>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</si>
  <si>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</si>
  <si>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</si>
  <si>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</si>
  <si>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</si>
  <si>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</si>
  <si>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</si>
  <si>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</si>
  <si>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</si>
  <si>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</si>
  <si>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</si>
  <si>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</si>
  <si>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</si>
  <si>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</si>
  <si>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</si>
  <si>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</si>
  <si>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</si>
  <si>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</si>
  <si>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</si>
  <si>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</si>
  <si>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</si>
  <si>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</si>
  <si>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</si>
  <si>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</si>
  <si>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</si>
  <si>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</si>
  <si>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</si>
  <si>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</si>
  <si>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</si>
  <si>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</si>
  <si>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</si>
  <si>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</si>
  <si>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</si>
  <si>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</si>
  <si>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</si>
  <si>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</si>
  <si>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</si>
  <si>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</si>
  <si>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</si>
  <si>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</si>
  <si>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</si>
  <si>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</si>
  <si>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</si>
  <si>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</si>
  <si>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</si>
  <si>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</si>
  <si>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</si>
  <si>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</si>
  <si>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</si>
  <si>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</si>
  <si>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</si>
  <si>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</si>
  <si>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</si>
  <si>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</si>
  <si>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</si>
  <si>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</si>
  <si>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</si>
  <si>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</si>
  <si>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</si>
  <si>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</si>
  <si>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</si>
  <si>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</si>
  <si>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</si>
  <si>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</si>
  <si>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</si>
  <si>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</si>
  <si>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</si>
  <si>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</si>
  <si>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</si>
  <si>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</si>
  <si>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</si>
  <si>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</si>
  <si>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</si>
  <si>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</si>
  <si>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</si>
  <si>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</si>
  <si>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</si>
  <si>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</si>
  <si>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</si>
  <si>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</si>
  <si>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</si>
  <si>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</si>
  <si>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</si>
  <si>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</si>
  <si>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</si>
  <si>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</si>
  <si>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</si>
  <si>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</si>
  <si>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</si>
  <si>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</si>
  <si>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</si>
  <si>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</si>
  <si>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</si>
  <si>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</si>
  <si>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</si>
  <si>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</si>
  <si>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</si>
  <si>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</si>
  <si>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</si>
  <si>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</si>
  <si>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</si>
  <si>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</si>
  <si>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</si>
  <si>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</si>
  <si>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</si>
  <si>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</si>
  <si>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</si>
  <si>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</si>
  <si>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</si>
  <si>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</si>
  <si>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</si>
  <si>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</si>
  <si>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</si>
  <si>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</si>
  <si>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</si>
  <si>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</si>
  <si>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</si>
  <si>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</si>
  <si>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</si>
  <si>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</si>
  <si>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</si>
  <si>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</si>
  <si>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</si>
  <si>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</si>
  <si>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</si>
  <si>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</si>
  <si>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</si>
  <si>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</si>
  <si>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</si>
  <si>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</si>
  <si>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</si>
  <si>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</si>
  <si>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</si>
  <si>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</si>
  <si>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</si>
  <si>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</si>
  <si>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</si>
  <si>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</si>
  <si>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</si>
  <si>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</si>
  <si>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</si>
  <si>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</si>
  <si>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</si>
  <si>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</si>
  <si>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</si>
  <si>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</si>
  <si>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</si>
  <si>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</si>
  <si>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</si>
  <si>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</si>
  <si>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</si>
  <si>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</si>
  <si>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</si>
  <si>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</si>
  <si>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</si>
  <si>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</si>
  <si>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</si>
  <si>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</si>
  <si>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</si>
  <si>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</si>
  <si>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</si>
  <si>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</si>
  <si>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</si>
  <si>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</si>
  <si>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</si>
  <si>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</si>
  <si>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</si>
  <si>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</si>
  <si>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</si>
  <si>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</si>
  <si>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</si>
  <si>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</si>
  <si>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</si>
  <si>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</si>
  <si>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</si>
  <si>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</si>
  <si>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</si>
  <si>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</si>
  <si>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</si>
  <si>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</si>
  <si>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</si>
  <si>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</si>
  <si>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</si>
  <si>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</si>
  <si>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</si>
  <si>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</si>
  <si>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</si>
  <si>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</si>
  <si>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</si>
  <si>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</si>
  <si>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</si>
  <si>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</si>
  <si>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</si>
  <si>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</si>
  <si>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</si>
  <si>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</si>
  <si>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</si>
  <si>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</si>
  <si>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</si>
  <si>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</si>
  <si>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</si>
  <si>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</si>
  <si>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</si>
  <si>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</si>
  <si>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</si>
  <si>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</si>
  <si>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</si>
  <si>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</si>
  <si>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</si>
  <si>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</si>
  <si>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</si>
  <si>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</si>
  <si>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</si>
  <si>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</si>
  <si>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</si>
  <si>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</si>
  <si>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</si>
  <si>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</si>
  <si>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</si>
  <si>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</si>
  <si>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</si>
  <si>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</si>
  <si>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</si>
  <si>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</si>
  <si>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</si>
  <si>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</si>
  <si>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</si>
  <si>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</si>
  <si>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</si>
  <si>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</si>
  <si>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</si>
  <si>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</si>
  <si>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</si>
  <si>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</si>
  <si>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</si>
  <si>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</si>
  <si>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</si>
  <si>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</si>
  <si>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</si>
  <si>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</si>
  <si>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</si>
  <si>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</si>
  <si>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</si>
  <si>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</si>
  <si>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</si>
  <si>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</si>
  <si>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</si>
  <si>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</si>
  <si>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</si>
  <si>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</si>
  <si>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</si>
  <si>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</si>
  <si>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</si>
  <si>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</si>
  <si>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</si>
  <si>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</si>
  <si>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</si>
  <si>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</si>
  <si>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</si>
  <si>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</si>
  <si>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</si>
  <si>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</si>
  <si>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</si>
  <si>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</si>
  <si>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</si>
  <si>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</si>
  <si>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</si>
  <si>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</si>
  <si>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</si>
  <si>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</si>
  <si>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</si>
  <si>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</si>
  <si>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</si>
  <si>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</si>
  <si>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</si>
  <si>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</si>
  <si>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</si>
  <si>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</si>
  <si>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</si>
  <si>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</si>
  <si>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</si>
  <si>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</si>
  <si>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</si>
  <si>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</si>
  <si>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</si>
  <si>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</si>
  <si>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</si>
  <si>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</si>
  <si>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</si>
  <si>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</si>
  <si>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</si>
  <si>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</si>
  <si>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</si>
  <si>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</si>
  <si>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</si>
  <si>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</si>
  <si>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</si>
  <si>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</si>
  <si>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</si>
  <si>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</si>
  <si>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</si>
  <si>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</si>
  <si>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</si>
  <si>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</si>
  <si>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</si>
  <si>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</si>
  <si>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</si>
  <si>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</si>
  <si>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</si>
  <si>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</si>
  <si>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</si>
  <si>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</si>
  <si>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</si>
  <si>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</si>
  <si>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</si>
  <si>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</si>
  <si>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</si>
  <si>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</si>
  <si>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</si>
  <si>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</si>
  <si>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</si>
  <si>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</si>
  <si>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</si>
  <si>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</si>
  <si>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</si>
  <si>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</si>
  <si>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</si>
  <si>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</si>
  <si>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</si>
  <si>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</si>
  <si>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</si>
  <si>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</si>
  <si>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</si>
  <si>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</si>
  <si>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</si>
  <si>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</si>
  <si>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</si>
  <si>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</si>
  <si>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</si>
  <si>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</si>
  <si>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</si>
  <si>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</si>
  <si>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</si>
  <si>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</si>
  <si>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</si>
  <si>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</si>
  <si>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</si>
  <si>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</si>
  <si>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</si>
  <si>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</si>
  <si>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</si>
  <si>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</si>
  <si>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</si>
  <si>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</si>
  <si>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</si>
  <si>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</si>
  <si>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</si>
  <si>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</si>
  <si>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</si>
  <si>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</si>
  <si>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</si>
  <si>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</si>
  <si>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</si>
  <si>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</si>
  <si>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</si>
  <si>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</si>
  <si>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</si>
  <si>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</si>
  <si>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</si>
  <si>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</si>
  <si>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</si>
  <si>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</si>
  <si>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</si>
  <si>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</si>
  <si>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</si>
  <si>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</si>
  <si>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</si>
  <si>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</si>
  <si>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</si>
  <si>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</si>
  <si>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</si>
  <si>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</si>
  <si>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</si>
  <si>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</si>
  <si>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</si>
  <si>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</si>
  <si>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</si>
  <si>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</si>
  <si>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</si>
  <si>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</si>
  <si>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</si>
  <si>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</si>
  <si>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</si>
  <si>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</si>
  <si>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</si>
  <si>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</si>
  <si>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</si>
  <si>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</si>
  <si>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</si>
  <si>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</si>
  <si>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</si>
  <si>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</si>
  <si>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</si>
  <si>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</si>
  <si>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</si>
  <si>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</si>
  <si>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</si>
  <si>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</si>
  <si>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</si>
  <si>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</si>
  <si>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</si>
  <si>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</si>
  <si>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</si>
  <si>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</si>
  <si>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</si>
  <si>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</si>
  <si>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</si>
  <si>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</si>
  <si>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</si>
  <si>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</si>
  <si>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</si>
  <si>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</si>
  <si>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</si>
  <si>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</si>
  <si>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</si>
  <si>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</si>
  <si>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</si>
  <si>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</si>
  <si>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</si>
  <si>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</si>
  <si>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</si>
  <si>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</si>
  <si>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</si>
  <si>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</si>
  <si>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</si>
  <si>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</si>
  <si>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</si>
  <si>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</si>
  <si>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</si>
  <si>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</si>
  <si>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</si>
  <si>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</si>
  <si>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</si>
  <si>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</si>
  <si>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</si>
  <si>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</si>
  <si>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</si>
  <si>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</si>
  <si>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</si>
  <si>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</si>
  <si>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</si>
  <si>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</si>
  <si>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</si>
  <si>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</si>
  <si>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</si>
  <si>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</si>
  <si>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</si>
  <si>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</si>
  <si>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</si>
  <si>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</si>
  <si>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</si>
  <si>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</si>
  <si>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</si>
  <si>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</si>
  <si>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</si>
  <si>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</si>
  <si>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</si>
  <si>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</si>
  <si>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</si>
  <si>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</si>
  <si>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</si>
  <si>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</si>
  <si>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</si>
  <si>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</si>
  <si>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</si>
  <si>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</si>
  <si>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</si>
  <si>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</si>
  <si>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</si>
  <si>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</si>
  <si>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</si>
  <si>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</si>
  <si>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</si>
  <si>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</si>
  <si>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</si>
  <si>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</si>
  <si>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</si>
  <si>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</si>
  <si>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</si>
  <si>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</si>
  <si>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</si>
  <si>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</si>
  <si>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</si>
  <si>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</si>
  <si>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</si>
  <si>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</si>
  <si>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</si>
  <si>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</si>
  <si>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</si>
  <si>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</si>
  <si>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</si>
  <si>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</si>
  <si>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</si>
  <si>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</si>
  <si>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</si>
  <si>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</si>
  <si>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</si>
  <si>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</si>
  <si>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</si>
  <si>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</si>
  <si>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</si>
  <si>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</si>
  <si>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</si>
  <si>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</si>
  <si>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</si>
  <si>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</si>
  <si>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</si>
  <si>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</si>
  <si>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</si>
  <si>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</si>
  <si>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</si>
  <si>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</si>
  <si>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</si>
  <si>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</si>
  <si>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</si>
  <si>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</si>
  <si>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</si>
  <si>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</si>
  <si>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</si>
  <si>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</si>
  <si>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</si>
  <si>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</si>
  <si>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</si>
  <si>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</si>
  <si>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</si>
  <si>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</si>
  <si>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</si>
  <si>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</si>
  <si>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</si>
  <si>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</si>
  <si>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</si>
  <si>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</si>
  <si>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</si>
  <si>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</si>
  <si>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</si>
  <si>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</si>
  <si>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</si>
  <si>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</si>
  <si>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</si>
  <si>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</si>
  <si>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</si>
  <si>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</si>
  <si>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</si>
  <si>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</si>
  <si>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</si>
  <si>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</si>
  <si>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</si>
  <si>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</si>
  <si>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</si>
  <si>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</si>
  <si>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</si>
  <si>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</si>
  <si>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</si>
  <si>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</si>
  <si>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</si>
  <si>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</si>
  <si>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</si>
  <si>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</si>
  <si>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</si>
  <si>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</si>
  <si>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</si>
  <si>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</si>
  <si>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</si>
  <si>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</si>
  <si>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</si>
  <si>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</si>
  <si>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</si>
  <si>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</si>
  <si>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</si>
  <si>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</si>
  <si>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</si>
  <si>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</si>
  <si>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</si>
  <si>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</si>
  <si>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</si>
  <si>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</si>
  <si>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</si>
  <si>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</si>
  <si>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</si>
  <si>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</si>
  <si>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</si>
  <si>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</si>
  <si>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</si>
  <si>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</si>
  <si>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</si>
  <si>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</si>
  <si>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</si>
  <si>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</si>
  <si>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</si>
  <si>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</si>
  <si>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</si>
  <si>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</si>
  <si>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</si>
  <si>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</si>
  <si>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</si>
  <si>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</si>
  <si>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</si>
  <si>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</si>
  <si>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</si>
  <si>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</si>
  <si>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</si>
  <si>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</si>
  <si>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</si>
  <si>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</si>
  <si>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</si>
  <si>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</si>
  <si>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</si>
  <si>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</si>
  <si>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</si>
  <si>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</si>
  <si>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</si>
  <si>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</si>
  <si>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</si>
  <si>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</si>
  <si>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</si>
  <si>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</si>
  <si>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</si>
  <si>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</si>
  <si>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</si>
  <si>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</si>
  <si>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</si>
  <si>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</si>
  <si>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</si>
  <si>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</si>
  <si>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</si>
  <si>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</si>
  <si>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</si>
  <si>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</si>
  <si>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</si>
  <si>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</si>
  <si>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</si>
  <si>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</si>
  <si>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</si>
  <si>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</si>
  <si>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</si>
  <si>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</si>
  <si>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</si>
  <si>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</si>
  <si>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</si>
  <si>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</si>
  <si>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</si>
  <si>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</si>
  <si>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</si>
  <si>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</si>
  <si>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</si>
  <si>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</si>
  <si>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</si>
  <si>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</si>
  <si>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</si>
  <si>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</si>
  <si>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</si>
  <si>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</si>
  <si>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</si>
  <si>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</si>
  <si>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</si>
  <si>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</si>
  <si>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</si>
  <si>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</si>
  <si>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</si>
  <si>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</si>
  <si>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</si>
  <si>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</si>
  <si>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</si>
  <si>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</si>
  <si>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</si>
  <si>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</si>
  <si>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</si>
  <si>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</si>
  <si>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</si>
  <si>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</si>
  <si>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</si>
  <si>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</si>
  <si>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</si>
  <si>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</si>
  <si>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</si>
  <si>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</si>
  <si>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</si>
  <si>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</si>
  <si>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</si>
  <si>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</si>
  <si>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</si>
  <si>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</si>
  <si>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</si>
  <si>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</si>
  <si>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</si>
  <si>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</si>
  <si>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</si>
  <si>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</si>
  <si>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</si>
  <si>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</si>
  <si>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</si>
  <si>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</si>
  <si>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</si>
  <si>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</si>
  <si>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</si>
  <si>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</si>
  <si>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</si>
  <si>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</si>
  <si>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</si>
  <si>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</si>
  <si>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</si>
  <si>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</si>
  <si>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</si>
  <si>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</si>
  <si>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</si>
  <si>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</si>
  <si>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</si>
  <si>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</si>
  <si>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</si>
  <si>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</si>
  <si>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</si>
  <si>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</si>
  <si>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</si>
  <si>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</si>
  <si>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</si>
  <si>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</si>
  <si>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</si>
  <si>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</si>
  <si>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</si>
  <si>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</si>
  <si>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</si>
  <si>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</si>
  <si>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</si>
  <si>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</si>
  <si>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</si>
  <si>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</si>
  <si>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</si>
  <si>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</si>
  <si>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</si>
  <si>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</si>
  <si>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</si>
  <si>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</si>
  <si>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</si>
  <si>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</si>
  <si>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</si>
  <si>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</si>
  <si>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</si>
  <si>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</si>
  <si>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</si>
  <si>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</si>
  <si>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</si>
  <si>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</si>
  <si>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</si>
  <si>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</si>
  <si>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</si>
  <si>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</si>
  <si>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</si>
  <si>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</si>
  <si>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</si>
  <si>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</si>
  <si>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</si>
  <si>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</si>
  <si>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</si>
  <si>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</si>
  <si>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</si>
  <si>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</si>
  <si>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</si>
  <si>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</si>
  <si>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</si>
  <si>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</si>
  <si>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</si>
  <si>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</si>
  <si>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</si>
  <si>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</si>
  <si>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</si>
  <si>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</si>
  <si>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</si>
  <si>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</si>
  <si>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</si>
  <si>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</si>
  <si>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</si>
  <si>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</si>
  <si>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</si>
  <si>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</si>
  <si>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</si>
  <si>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</si>
  <si>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</si>
  <si>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</si>
  <si>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</si>
  <si>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</si>
  <si>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</si>
  <si>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</si>
  <si>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</si>
  <si>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</si>
  <si>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</si>
  <si>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</si>
  <si>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</si>
  <si>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</si>
  <si>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</si>
  <si>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</si>
  <si>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</si>
  <si>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</si>
  <si>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</si>
  <si>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</si>
  <si>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</si>
  <si>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</si>
  <si>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</si>
  <si>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</si>
  <si>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</si>
  <si>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</si>
  <si>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</si>
  <si>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</si>
  <si>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</si>
  <si>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</si>
  <si>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</si>
  <si>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</si>
  <si>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</si>
  <si>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</si>
  <si>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</si>
  <si>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</si>
  <si>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</si>
  <si>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</si>
  <si>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</si>
  <si>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</si>
  <si>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</si>
  <si>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</si>
  <si>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</si>
  <si>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</si>
  <si>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</si>
  <si>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</si>
  <si>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</si>
  <si>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</si>
  <si>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</si>
  <si>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</si>
  <si>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</si>
  <si>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</si>
  <si>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</si>
  <si>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</si>
  <si>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</si>
  <si>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</si>
  <si>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</si>
  <si>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</si>
  <si>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</si>
  <si>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</si>
  <si>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</si>
  <si>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</si>
  <si>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</si>
  <si>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</si>
  <si>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</si>
  <si>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</si>
  <si>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</si>
  <si>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</si>
  <si>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</si>
  <si>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</si>
  <si>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</si>
  <si>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</si>
  <si>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</si>
  <si>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</si>
  <si>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</si>
  <si>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</si>
  <si>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</si>
  <si>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</si>
  <si>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</si>
  <si>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</si>
  <si>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</si>
  <si>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</si>
  <si>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</si>
  <si>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</si>
  <si>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</si>
  <si>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</si>
  <si>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</si>
  <si>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</si>
  <si>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</si>
  <si>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</si>
  <si>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</si>
  <si>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</si>
  <si>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</si>
  <si>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</si>
  <si>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</si>
  <si>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</si>
  <si>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</si>
  <si>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</si>
  <si>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</si>
  <si>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</si>
  <si>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</si>
  <si>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</si>
  <si>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</si>
  <si>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</si>
  <si>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</si>
  <si>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</si>
  <si>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</si>
  <si>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</si>
  <si>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</si>
  <si>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</si>
  <si>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</si>
  <si>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</si>
  <si>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</si>
  <si>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</si>
  <si>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</si>
  <si>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</si>
  <si>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</si>
  <si>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</si>
  <si>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</si>
  <si>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</si>
  <si>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</si>
  <si>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</si>
  <si>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</si>
  <si>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</si>
  <si>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</si>
  <si>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</si>
  <si>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</si>
  <si>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</si>
  <si>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</si>
  <si>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</si>
  <si>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</si>
  <si>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</si>
  <si>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</si>
  <si>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</si>
  <si>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</si>
  <si>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</si>
  <si>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</si>
  <si>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</si>
  <si>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</si>
  <si>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</si>
  <si>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</si>
  <si>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</si>
  <si>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</si>
  <si>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</si>
  <si>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</si>
  <si>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</si>
  <si>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</si>
  <si>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</si>
  <si>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</si>
  <si>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</si>
  <si>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</si>
  <si>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</si>
  <si>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</si>
  <si>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</si>
  <si>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</si>
  <si>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</si>
  <si>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</si>
  <si>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</si>
  <si>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</si>
  <si>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</si>
  <si>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</si>
  <si>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</si>
  <si>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</si>
  <si>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</si>
  <si>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</si>
  <si>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</si>
  <si>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</si>
  <si>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</si>
  <si>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</si>
  <si>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</si>
  <si>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</si>
  <si>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</si>
  <si>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</si>
  <si>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</si>
  <si>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</si>
  <si>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</si>
  <si>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</si>
  <si>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</si>
  <si>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</si>
  <si>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</si>
  <si>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</si>
  <si>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</si>
  <si>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</si>
  <si>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</si>
  <si>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</si>
  <si>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</si>
  <si>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</si>
  <si>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</si>
  <si>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</si>
  <si>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</si>
  <si>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</si>
  <si>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</si>
  <si>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</si>
  <si>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</si>
  <si>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</si>
  <si>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</si>
  <si>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</si>
  <si>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</si>
  <si>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</si>
  <si>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</si>
  <si>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</si>
  <si>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</si>
  <si>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</si>
  <si>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</si>
  <si>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</si>
  <si>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</si>
  <si>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</si>
  <si>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</si>
  <si>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</si>
  <si>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</si>
  <si>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</si>
  <si>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</si>
  <si>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</si>
  <si>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</si>
  <si>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</si>
  <si>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</si>
  <si>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</si>
  <si>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</si>
  <si>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</si>
  <si>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</si>
  <si>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</si>
  <si>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</si>
  <si>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</si>
  <si>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</si>
  <si>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</si>
  <si>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</si>
  <si>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</si>
  <si>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</si>
  <si>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</si>
  <si>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</si>
  <si>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</si>
  <si>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</si>
  <si>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</si>
  <si>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</si>
  <si>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</si>
  <si>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</si>
  <si>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</si>
  <si>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</si>
  <si>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</si>
  <si>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</si>
  <si>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</si>
  <si>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</si>
  <si>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</si>
  <si>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</si>
  <si>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</si>
  <si>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</si>
  <si>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</si>
  <si>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</si>
  <si>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</si>
  <si>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</si>
  <si>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</si>
  <si>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</si>
  <si>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</si>
  <si>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</si>
  <si>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</si>
  <si>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</si>
  <si>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</si>
  <si>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</si>
  <si>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</si>
  <si>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</si>
  <si>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</si>
  <si>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</si>
  <si>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</si>
  <si>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</si>
  <si>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</si>
  <si>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</si>
  <si>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</si>
  <si>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</si>
  <si>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</si>
  <si>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</si>
  <si>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</si>
  <si>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</si>
  <si>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</si>
  <si>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</si>
  <si>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</si>
  <si>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</si>
  <si>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</si>
  <si>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</si>
  <si>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</si>
  <si>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</si>
  <si>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</si>
  <si>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</si>
  <si>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</si>
  <si>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</si>
  <si>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</si>
  <si>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</si>
  <si>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</si>
  <si>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</si>
  <si>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</si>
  <si>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</si>
  <si>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</si>
  <si>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</si>
  <si>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</si>
  <si>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</si>
  <si>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</si>
  <si>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</si>
  <si>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</si>
  <si>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</si>
  <si>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</si>
  <si>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</si>
  <si>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</si>
  <si>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</si>
  <si>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</si>
  <si>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</si>
  <si>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</si>
  <si>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</si>
  <si>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</si>
  <si>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</si>
  <si>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</si>
  <si>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</si>
  <si>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</si>
  <si>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</si>
  <si>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</si>
  <si>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</si>
  <si>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</si>
  <si>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</si>
  <si>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</si>
  <si>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</si>
  <si>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</si>
  <si>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</si>
  <si>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</si>
  <si>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</si>
  <si>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</si>
  <si>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</si>
  <si>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</si>
  <si>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</si>
  <si>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</si>
  <si>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</si>
  <si>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</si>
  <si>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</si>
  <si>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</si>
  <si>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</si>
  <si>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</si>
  <si>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</si>
  <si>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</si>
  <si>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</si>
  <si>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</si>
  <si>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</si>
  <si>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</si>
  <si>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</si>
  <si>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</si>
  <si>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</si>
  <si>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</si>
  <si>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</si>
  <si>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</si>
  <si>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</si>
  <si>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</si>
  <si>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</si>
  <si>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</si>
  <si>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</si>
  <si>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</si>
  <si>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</si>
  <si>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</si>
  <si>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</si>
  <si>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</si>
  <si>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</si>
  <si>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</si>
  <si>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</si>
  <si>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</si>
  <si>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</si>
  <si>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</si>
  <si>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</si>
  <si>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</si>
  <si>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</si>
  <si>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</si>
  <si>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</si>
  <si>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</si>
  <si>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</si>
  <si>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</si>
  <si>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</si>
  <si>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</si>
  <si>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</si>
  <si>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</si>
  <si>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</si>
  <si>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</si>
  <si>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</si>
  <si>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</si>
  <si>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</si>
  <si>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</si>
  <si>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</si>
  <si>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</si>
  <si>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</si>
  <si>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</si>
  <si>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</si>
  <si>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</si>
  <si>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</si>
  <si>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</si>
  <si>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</si>
  <si>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</si>
  <si>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</si>
  <si>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</si>
  <si>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</si>
  <si>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</si>
  <si>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</si>
  <si>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</si>
  <si>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</si>
  <si>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</si>
  <si>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</si>
  <si>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</si>
  <si>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</si>
  <si>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</si>
  <si>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</si>
  <si>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</si>
  <si>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</si>
  <si>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</si>
  <si>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</si>
  <si>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</si>
  <si>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</si>
  <si>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</si>
  <si>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</si>
  <si>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</si>
  <si>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</si>
  <si>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</si>
  <si>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</si>
  <si>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</si>
  <si>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</si>
  <si>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</si>
  <si>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</si>
  <si>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</si>
  <si>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</si>
  <si>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</si>
  <si>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</si>
  <si>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</si>
  <si>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</si>
  <si>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</si>
  <si>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</si>
  <si>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</si>
  <si>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</si>
  <si>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</si>
  <si>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</si>
  <si>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</si>
  <si>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</si>
  <si>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</si>
  <si>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</si>
  <si>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</si>
  <si>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</si>
  <si>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</si>
  <si>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</si>
  <si>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</si>
  <si>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</si>
  <si>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</si>
  <si>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</si>
  <si>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</si>
  <si>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</si>
  <si>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</si>
  <si>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</si>
  <si>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</si>
  <si>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</si>
  <si>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</si>
  <si>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</si>
  <si>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</si>
  <si>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</si>
  <si>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</si>
  <si>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</si>
  <si>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</si>
  <si>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</si>
  <si>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</si>
  <si>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</si>
  <si>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</si>
  <si>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</si>
  <si>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</si>
  <si>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</si>
  <si>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</si>
  <si>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</si>
  <si>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</si>
  <si>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</si>
  <si>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</si>
  <si>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</si>
  <si>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</si>
  <si>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</si>
  <si>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</si>
  <si>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</si>
  <si>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</si>
  <si>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</si>
  <si>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</si>
  <si>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</si>
  <si>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</si>
  <si>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</si>
  <si>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</si>
  <si>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</si>
  <si>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</si>
  <si>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</si>
  <si>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</si>
  <si>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</si>
  <si>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</si>
  <si>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</si>
  <si>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</si>
  <si>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</si>
  <si>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</si>
  <si>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</si>
  <si>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</si>
  <si>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</si>
  <si>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</si>
  <si>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</si>
  <si>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</si>
  <si>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</si>
  <si>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</si>
  <si>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</si>
  <si>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</si>
  <si>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</si>
  <si>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</si>
  <si>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</si>
  <si>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</si>
  <si>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</si>
  <si>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</si>
  <si>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</si>
  <si>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</si>
  <si>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</si>
  <si>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</si>
  <si>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</si>
  <si>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</si>
  <si>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</si>
  <si>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</si>
  <si>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</si>
  <si>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</si>
  <si>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</si>
  <si>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</si>
  <si>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</si>
  <si>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</si>
  <si>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</si>
  <si>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</si>
  <si>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</si>
  <si>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</si>
  <si>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</si>
  <si>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</si>
  <si>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</si>
  <si>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</si>
  <si>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</si>
  <si>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</si>
  <si>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</si>
  <si>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</si>
  <si>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</si>
  <si>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</si>
  <si>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</si>
  <si>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</si>
  <si>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</si>
  <si>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</si>
  <si>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</si>
  <si>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</si>
  <si>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</si>
  <si>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</si>
  <si>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</si>
  <si>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</si>
  <si>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</si>
  <si>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</si>
  <si>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</si>
  <si>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</si>
  <si>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</si>
  <si>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</si>
  <si>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</si>
  <si>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</si>
  <si>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</si>
  <si>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</si>
  <si>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</si>
  <si>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</si>
  <si>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</si>
  <si>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</si>
  <si>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</si>
  <si>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</si>
  <si>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</si>
  <si>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</si>
  <si>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</si>
  <si>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</si>
  <si>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</si>
  <si>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</si>
  <si>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</si>
  <si>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</si>
  <si>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</si>
  <si>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</si>
  <si>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</si>
  <si>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</si>
  <si>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</si>
  <si>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</si>
  <si>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</si>
  <si>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</si>
  <si>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</si>
  <si>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</si>
  <si>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</si>
  <si>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</si>
  <si>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</si>
  <si>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</si>
  <si>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</si>
  <si>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</si>
  <si>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</si>
  <si>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</si>
  <si>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</si>
  <si>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</si>
  <si>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</si>
  <si>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</si>
  <si>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</si>
  <si>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</si>
  <si>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</si>
  <si>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</si>
  <si>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</si>
  <si>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</si>
  <si>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</si>
  <si>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</si>
  <si>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</si>
  <si>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</si>
  <si>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</si>
  <si>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</si>
  <si>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</si>
  <si>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</si>
  <si>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</si>
  <si>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</si>
  <si>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</si>
  <si>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</si>
  <si>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</si>
  <si>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</si>
  <si>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</si>
  <si>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</si>
  <si>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</si>
  <si>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</si>
  <si>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</si>
  <si>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</si>
  <si>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</si>
  <si>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</si>
  <si>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</si>
  <si>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</si>
  <si>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</si>
  <si>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</si>
  <si>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</si>
  <si>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</si>
  <si>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</si>
  <si>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</si>
  <si>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</si>
  <si>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</si>
  <si>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</si>
  <si>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</si>
  <si>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</si>
  <si>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</si>
  <si>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</si>
  <si>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</si>
  <si>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</si>
  <si>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</si>
  <si>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</si>
  <si>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</si>
  <si>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</si>
  <si>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</si>
  <si>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</si>
  <si>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</si>
  <si>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</si>
  <si>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</si>
  <si>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</si>
  <si>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</si>
  <si>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</si>
  <si>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</si>
  <si>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</si>
  <si>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</si>
  <si>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</si>
  <si>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</si>
  <si>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</si>
  <si>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</si>
  <si>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</si>
  <si>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</si>
  <si>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</si>
  <si>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</si>
  <si>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</si>
  <si>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</si>
  <si>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</si>
  <si>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</si>
  <si>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</si>
  <si>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</si>
  <si>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</si>
  <si>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</si>
  <si>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</si>
  <si>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</si>
  <si>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</si>
  <si>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</si>
  <si>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</si>
  <si>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</si>
  <si>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</si>
  <si>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</si>
  <si>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</si>
  <si>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</si>
  <si>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</si>
  <si>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</si>
  <si>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</si>
  <si>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</si>
  <si>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</si>
  <si>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</si>
  <si>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</si>
  <si>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</si>
  <si>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</si>
  <si>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</si>
  <si>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</si>
  <si>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</si>
  <si>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</si>
  <si>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</si>
  <si>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</si>
  <si>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</si>
  <si>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</si>
  <si>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</si>
  <si>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</si>
  <si>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</si>
  <si>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</si>
  <si>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</si>
  <si>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</si>
  <si>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</si>
  <si>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</si>
  <si>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</si>
  <si>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</si>
  <si>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</si>
  <si>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</si>
  <si>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</si>
  <si>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</si>
  <si>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</si>
  <si>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</si>
  <si>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</si>
  <si>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</si>
  <si>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</si>
  <si>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</si>
  <si>
    <t>Year</t>
  </si>
  <si>
    <t>2021;2022</t>
  </si>
  <si>
    <t>Debit Transaction Account</t>
  </si>
  <si>
    <t>Debit</t>
  </si>
  <si>
    <t>Credit Transaction Account</t>
  </si>
  <si>
    <t>Credit</t>
  </si>
  <si>
    <t>120000;2000000</t>
  </si>
  <si>
    <t>Month</t>
  </si>
  <si>
    <t>January;February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</si>
</sst>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B13" sqref="B1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t="s">
        <v>3370</v>
      </c>
      <c r="C1" s="2" t="s">
        <v>3370</v>
      </c>
      <c r="D1" s="2" t="s">
        <v>2794</v>
      </c>
      <c r="E1" s="2" t="s">
        <v>2794</v>
      </c>
    </row>
    <row customFormat="1" r="2" s="2" spans="1:5" x14ac:dyDescent="0.25">
      <c r="A2" s="2" t="s">
        <v>3405</v>
      </c>
    </row>
    <row customFormat="1" r="3" s="2" spans="1:5" x14ac:dyDescent="0.25">
      <c r="A3" s="2" t="s">
        <v>3406</v>
      </c>
      <c r="B3" t="s">
        <v>3477</v>
      </c>
    </row>
    <row customFormat="1" r="4" s="2" spans="1:5" x14ac:dyDescent="0.25">
      <c r="A4" s="2" t="s">
        <v>3429</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0002APP20211200164</v>
      </c>
    </row>
    <row customFormat="1" r="13" s="2" spans="1:5" x14ac:dyDescent="0.25">
      <c r="A13" s="39" t="s">
        <v>3085</v>
      </c>
      <c r="B13" t="s">
        <v>3404</v>
      </c>
      <c r="C13" s="2" t="s">
        <v>3404</v>
      </c>
    </row>
    <row customFormat="1" r="14" s="2" spans="1:5" x14ac:dyDescent="0.25">
      <c r="A14" s="30" t="s">
        <v>3430</v>
      </c>
      <c r="B14" s="34">
        <v>44535</v>
      </c>
      <c r="C14" s="34">
        <v>44536</v>
      </c>
    </row>
    <row customFormat="1" r="15" s="2" spans="1:5" x14ac:dyDescent="0.25">
      <c r="A15" s="30" t="s">
        <v>3431</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3475</v>
      </c>
      <c r="B18" s="1" t="s">
        <v>3435</v>
      </c>
      <c r="C18" s="1" t="s">
        <v>3403</v>
      </c>
    </row>
    <row customFormat="1" r="19" s="2" spans="1:3" x14ac:dyDescent="0.25">
      <c r="A19" s="1" t="s">
        <v>1</v>
      </c>
      <c r="B19" s="1"/>
      <c r="C19" s="1"/>
    </row>
    <row customFormat="1" r="20" s="2" spans="1:3" x14ac:dyDescent="0.25">
      <c r="A20" s="32" t="s">
        <v>3432</v>
      </c>
      <c r="B20" s="1" t="str">
        <f>VLOOKUP(B21,Master!$AK:$AL,2,FALSE)</f>
        <v>1119</v>
      </c>
      <c r="C20" s="1" t="str">
        <f>VLOOKUP(C21,Master!$AK:$AL,2,FALSE)</f>
        <v>1119</v>
      </c>
    </row>
    <row customFormat="1" r="21" s="2" spans="1:3" x14ac:dyDescent="0.25">
      <c r="A21" s="30" t="s">
        <v>3433</v>
      </c>
      <c r="B21" s="1" t="s">
        <v>2825</v>
      </c>
      <c r="C21" s="1" t="s">
        <v>2825</v>
      </c>
    </row>
    <row customFormat="1" r="22" s="2" spans="1:3" x14ac:dyDescent="0.25">
      <c r="A22" s="1" t="s">
        <v>3436</v>
      </c>
      <c r="B22" s="1" t="s">
        <v>2</v>
      </c>
      <c r="C22" s="1" t="s">
        <v>2</v>
      </c>
    </row>
    <row customFormat="1" r="23" s="2" spans="1:3" x14ac:dyDescent="0.25">
      <c r="A23" s="31" t="s">
        <v>3434</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8" sqref="A8:XFD8"/>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3</v>
      </c>
      <c r="B1" t="s">
        <v>3478</v>
      </c>
      <c r="C1" t="s">
        <v>3478</v>
      </c>
      <c r="D1" s="2" t="s">
        <v>2794</v>
      </c>
      <c r="E1" s="2"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IF(B13="",COUNTIFS($A$12:$A$32, "*$*",B12:B32,""),0)</f>
        <v>0</v>
      </c>
      <c r="C4" s="2">
        <f>IF(C13="",COUNTIFS($A$12:$A$32, "*$*",C12:C32,""),0)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43" spans="1:5" x14ac:dyDescent="0.25">
      <c r="B11" s="42"/>
      <c r="C11" s="42"/>
    </row>
    <row customFormat="1" r="12" s="2" spans="1:5" x14ac:dyDescent="0.25">
      <c r="A12" s="30" t="s">
        <v>3418</v>
      </c>
      <c r="B12" s="2" t="s">
        <v>5</v>
      </c>
      <c r="C12" s="2" t="s">
        <v>5</v>
      </c>
    </row>
    <row customFormat="1" r="13" s="2" spans="1:5" x14ac:dyDescent="0.25">
      <c r="A13" s="2" t="s">
        <v>6</v>
      </c>
    </row>
    <row customFormat="1" r="14" s="2" spans="1:5" x14ac:dyDescent="0.25">
      <c r="A14" s="30" t="s">
        <v>3419</v>
      </c>
      <c r="B14" s="41" t="s">
        <v>3394</v>
      </c>
      <c r="C14" s="41" t="s">
        <v>3394</v>
      </c>
    </row>
    <row customFormat="1" r="15" s="2" spans="1:5" x14ac:dyDescent="0.25">
      <c r="A15" s="30" t="s">
        <v>3420</v>
      </c>
      <c r="B15" s="33">
        <v>12</v>
      </c>
      <c r="C15" s="33">
        <v>12</v>
      </c>
    </row>
    <row customFormat="1" r="16" s="2" spans="1:5" x14ac:dyDescent="0.25">
      <c r="A16" s="30" t="s">
        <v>3421</v>
      </c>
      <c r="B16" s="33">
        <v>12</v>
      </c>
      <c r="C16" s="33">
        <v>12</v>
      </c>
    </row>
    <row customFormat="1" r="17" s="2" spans="1:3" x14ac:dyDescent="0.25">
      <c r="A17" s="30" t="s">
        <v>3422</v>
      </c>
      <c r="B17" s="1">
        <v>40242</v>
      </c>
      <c r="C17" s="1">
        <v>40242</v>
      </c>
    </row>
    <row customFormat="1" r="18" s="2" spans="1:3" x14ac:dyDescent="0.25">
      <c r="A18" s="30" t="s">
        <v>3423</v>
      </c>
      <c r="B18" s="2" t="s">
        <v>3380</v>
      </c>
      <c r="C18" s="2" t="s">
        <v>3380</v>
      </c>
    </row>
    <row customFormat="1" r="19" s="2" spans="1:3" x14ac:dyDescent="0.25">
      <c r="A19" s="30" t="s">
        <v>3424</v>
      </c>
      <c r="B19" s="2" t="s">
        <v>3381</v>
      </c>
      <c r="C19" s="2" t="s">
        <v>3381</v>
      </c>
    </row>
    <row customFormat="1" r="20" s="2" spans="1:3" x14ac:dyDescent="0.25">
      <c r="A20" s="30" t="s">
        <v>3425</v>
      </c>
      <c r="B20" s="2" t="s">
        <v>3382</v>
      </c>
      <c r="C20" s="2" t="s">
        <v>3382</v>
      </c>
    </row>
    <row customFormat="1" r="21" s="2" spans="1:3" x14ac:dyDescent="0.25">
      <c r="A21" s="30" t="s">
        <v>3426</v>
      </c>
      <c r="B21" s="33">
        <v>1212</v>
      </c>
      <c r="C21" s="33">
        <v>1212</v>
      </c>
    </row>
    <row customFormat="1" r="22" s="2" spans="1:3" x14ac:dyDescent="0.25">
      <c r="A22" s="30" t="s">
        <v>3427</v>
      </c>
      <c r="B22" s="41">
        <v>1234</v>
      </c>
      <c r="C22" s="41">
        <v>1234</v>
      </c>
    </row>
    <row customFormat="1" r="23" s="2" spans="1:3" x14ac:dyDescent="0.25">
      <c r="A23" s="1" t="s">
        <v>3090</v>
      </c>
      <c r="B23" s="33" t="s">
        <v>3371</v>
      </c>
      <c r="C23" s="33" t="s">
        <v>3371</v>
      </c>
    </row>
    <row customFormat="1" r="24" s="2" spans="1:3" x14ac:dyDescent="0.25">
      <c r="A24" s="2" t="s">
        <v>3091</v>
      </c>
      <c r="B24" s="33"/>
      <c r="C24" s="33"/>
    </row>
    <row customFormat="1" r="25" s="2" spans="1:3" x14ac:dyDescent="0.25">
      <c r="A25" s="2" t="s">
        <v>3092</v>
      </c>
      <c r="B25" s="1"/>
      <c r="C25" s="1"/>
    </row>
    <row customFormat="1" r="26" s="2" spans="1:3" x14ac:dyDescent="0.25">
      <c r="A26" s="2" t="s">
        <v>3093</v>
      </c>
      <c r="B26" s="1"/>
      <c r="C26" s="1"/>
    </row>
    <row customFormat="1" r="27" s="2" spans="1:3" x14ac:dyDescent="0.25">
      <c r="A27" s="2" t="s">
        <v>3094</v>
      </c>
      <c r="B27" s="33"/>
      <c r="C27" s="33"/>
    </row>
    <row customFormat="1" r="28" s="2" spans="1:3" x14ac:dyDescent="0.25">
      <c r="A28" s="2" t="s">
        <v>3095</v>
      </c>
      <c r="B28" s="1"/>
      <c r="C28" s="1"/>
    </row>
    <row customFormat="1" r="29" s="2" spans="1:3" x14ac:dyDescent="0.25">
      <c r="A29" s="2" t="s">
        <v>3096</v>
      </c>
      <c r="B29" s="1"/>
      <c r="C29" s="1"/>
    </row>
    <row customFormat="1" r="30" s="2" spans="1:3" x14ac:dyDescent="0.25">
      <c r="A30" s="2" t="s">
        <v>3097</v>
      </c>
      <c r="B30" s="33" t="s">
        <v>3371</v>
      </c>
      <c r="C30" s="33" t="s">
        <v>3371</v>
      </c>
    </row>
    <row customFormat="1" r="31" s="2" spans="1:3" x14ac:dyDescent="0.25">
      <c r="A31" s="2" t="s">
        <v>3098</v>
      </c>
      <c r="B31" s="1"/>
      <c r="C31" s="1"/>
    </row>
    <row customFormat="1" r="32" s="2" spans="1:3" x14ac:dyDescent="0.25">
      <c r="A32" s="30" t="s">
        <v>3428</v>
      </c>
      <c r="B32" s="1" t="s">
        <v>14</v>
      </c>
      <c r="C32" s="1" t="s">
        <v>14</v>
      </c>
    </row>
  </sheetData>
  <conditionalFormatting sqref="A14 A18:A20 D14:XFD20 A15:C17">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B1" sqref="B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3370</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3437</v>
      </c>
      <c r="B12" s="2" t="s">
        <v>3395</v>
      </c>
      <c r="C12" s="2" t="s">
        <v>3395</v>
      </c>
      <c r="D12" s="2" t="s">
        <v>3395</v>
      </c>
    </row>
    <row customFormat="1" r="13" s="2" spans="1:5" x14ac:dyDescent="0.25">
      <c r="A13" s="30" t="s">
        <v>3438</v>
      </c>
      <c r="B13" s="2" t="s">
        <v>3384</v>
      </c>
      <c r="C13" s="2" t="s">
        <v>3384</v>
      </c>
      <c r="D13" s="2" t="s">
        <v>3384</v>
      </c>
    </row>
    <row customFormat="1" r="14" s="2" spans="1:5" x14ac:dyDescent="0.25">
      <c r="A14" s="2" t="s">
        <v>3439</v>
      </c>
      <c r="B14" s="2" t="s">
        <v>3396</v>
      </c>
      <c r="C14" s="2" t="s">
        <v>3396</v>
      </c>
      <c r="D14" s="2" t="s">
        <v>3396</v>
      </c>
    </row>
    <row customFormat="1" r="15" s="2" spans="1:5" x14ac:dyDescent="0.25">
      <c r="A15" s="2" t="s">
        <v>3440</v>
      </c>
      <c r="B15" s="33" t="s">
        <v>3397</v>
      </c>
      <c r="C15" s="33" t="s">
        <v>3397</v>
      </c>
      <c r="D15" s="33" t="s">
        <v>3397</v>
      </c>
    </row>
    <row customFormat="1" r="16" s="2" spans="1:5" x14ac:dyDescent="0.25">
      <c r="A16" s="2" t="s">
        <v>3442</v>
      </c>
      <c r="B16" s="34" t="s">
        <v>3383</v>
      </c>
      <c r="C16" s="34" t="s">
        <v>3412</v>
      </c>
      <c r="D16" s="34" t="s">
        <v>3413</v>
      </c>
    </row>
    <row customFormat="1" r="17" s="2" spans="1:4" x14ac:dyDescent="0.25">
      <c r="A17" s="30" t="s">
        <v>3441</v>
      </c>
      <c r="B17" s="33" t="s">
        <v>3398</v>
      </c>
      <c r="C17" s="33" t="s">
        <v>3414</v>
      </c>
      <c r="D17" s="33" t="s">
        <v>3415</v>
      </c>
    </row>
    <row customFormat="1" r="18" s="2" spans="1:4" x14ac:dyDescent="0.25">
      <c r="A18" s="2" t="s">
        <v>17</v>
      </c>
      <c r="B18" s="3"/>
      <c r="C18" s="3"/>
      <c r="D18" s="3"/>
    </row>
    <row customFormat="1" r="19" s="2" spans="1:4" x14ac:dyDescent="0.25">
      <c r="A19" s="30" t="s">
        <v>3443</v>
      </c>
      <c r="B19" s="2" t="s">
        <v>3399</v>
      </c>
      <c r="C19" s="2" t="s">
        <v>3399</v>
      </c>
      <c r="D19" s="2" t="s">
        <v>3399</v>
      </c>
    </row>
    <row customFormat="1" r="20" s="2" spans="1:4" x14ac:dyDescent="0.25">
      <c r="A20" s="30" t="s">
        <v>3444</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3386</v>
      </c>
      <c r="C27" s="2" t="s">
        <v>3416</v>
      </c>
      <c r="D27" s="2" t="s">
        <v>3417</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3387</v>
      </c>
      <c r="C31" s="2" t="s">
        <v>3387</v>
      </c>
      <c r="D31" s="2" t="s">
        <v>3387</v>
      </c>
    </row>
    <row customFormat="1" r="32" s="2" spans="1:4" x14ac:dyDescent="0.25">
      <c r="A32" s="2" t="s">
        <v>10</v>
      </c>
      <c r="B32" s="2" t="s">
        <v>3388</v>
      </c>
      <c r="C32" s="2" t="s">
        <v>3388</v>
      </c>
      <c r="D32" s="2" t="s">
        <v>3388</v>
      </c>
    </row>
    <row customFormat="1" r="33" s="2" spans="1:4" x14ac:dyDescent="0.25">
      <c r="A33" s="2" t="s">
        <v>12</v>
      </c>
      <c r="B33" s="2" t="s">
        <v>3385</v>
      </c>
      <c r="C33" s="2" t="s">
        <v>3385</v>
      </c>
      <c r="D33" s="2" t="s">
        <v>3385</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abSelected="1" workbookViewId="0">
      <selection activeCell="A74" sqref="A74:XFD79"/>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3370</v>
      </c>
      <c r="C1" t="s">
        <v>3370</v>
      </c>
      <c r="D1" s="48" t="s">
        <v>2794</v>
      </c>
      <c r="E1" s="48" t="s">
        <v>2794</v>
      </c>
    </row>
    <row customFormat="1" r="2" s="2" spans="1:5" x14ac:dyDescent="0.25">
      <c r="A2" s="2" t="s">
        <v>3405</v>
      </c>
      <c r="B2" t="s">
        <v>3476</v>
      </c>
      <c r="C2" t="s">
        <v>3476</v>
      </c>
    </row>
    <row customFormat="1" r="3" s="2" spans="1:5" x14ac:dyDescent="0.25">
      <c r="A3" s="2" t="s">
        <v>3406</v>
      </c>
    </row>
    <row customFormat="1" r="4" s="2" spans="1:5" x14ac:dyDescent="0.25">
      <c r="A4" s="2" t="s">
        <v>3429</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0002APP20211200164</v>
      </c>
      <c r="C9" s="2" t="str">
        <f>'1.CustomerDetail'!B12</f>
        <v>0002APP20211200164</v>
      </c>
    </row>
    <row customFormat="1" r="10" s="2" spans="1:5" x14ac:dyDescent="0.25">
      <c r="A10" s="2" t="s">
        <v>3479</v>
      </c>
      <c r="B10" s="2" t="str">
        <f>'1.CustomerDetail'!B13</f>
        <v>PT POKE</v>
      </c>
      <c r="C10" s="2" t="str">
        <f>'1.CustomerDetail'!B13</f>
        <v>PT POKE</v>
      </c>
    </row>
    <row customFormat="1" r="11" s="55" spans="1:5" x14ac:dyDescent="0.25">
      <c r="A11" s="52" t="s">
        <v>3100</v>
      </c>
      <c r="B11" s="53"/>
      <c r="C11" s="54"/>
    </row>
    <row customFormat="1" r="12" s="2" spans="1:5" x14ac:dyDescent="0.25">
      <c r="A12" s="31" t="s">
        <v>3445</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3446</v>
      </c>
      <c r="B35" s="34" t="s">
        <v>3400</v>
      </c>
      <c r="C35" s="34" t="s">
        <v>3407</v>
      </c>
      <c r="D35" s="34" t="s">
        <v>3408</v>
      </c>
      <c r="E35" s="34" t="s">
        <v>3409</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3471</v>
      </c>
      <c r="B53" s="35">
        <v>0</v>
      </c>
      <c r="C53" s="35"/>
      <c r="D53" s="35">
        <v>0</v>
      </c>
      <c r="E53" s="35">
        <v>0</v>
      </c>
    </row>
    <row customFormat="1" r="54" s="2" spans="1:5" x14ac:dyDescent="0.25">
      <c r="A54" s="30" t="s">
        <v>3472</v>
      </c>
      <c r="B54" s="35">
        <v>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3473</v>
      </c>
      <c r="B61" s="35">
        <v>0</v>
      </c>
      <c r="C61" s="35"/>
      <c r="D61" s="35">
        <v>0</v>
      </c>
      <c r="E61" s="35">
        <v>0</v>
      </c>
    </row>
    <row customFormat="1" r="62" s="2" spans="1:5" x14ac:dyDescent="0.25">
      <c r="A62" s="30" t="s">
        <v>3474</v>
      </c>
      <c r="B62" s="35">
        <v>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3489</v>
      </c>
      <c r="D68" s="1" t="s">
        <v>3051</v>
      </c>
      <c r="E68" s="1" t="s">
        <v>3051</v>
      </c>
    </row>
    <row customFormat="1" r="69" s="2" spans="1:5" x14ac:dyDescent="0.25">
      <c r="A69" s="31" t="s">
        <v>74</v>
      </c>
      <c r="B69" s="1" t="s">
        <v>3401</v>
      </c>
      <c r="C69" s="1" t="s">
        <v>3490</v>
      </c>
      <c r="D69" s="1" t="s">
        <v>3401</v>
      </c>
      <c r="E69" s="1" t="s">
        <v>3401</v>
      </c>
    </row>
    <row customFormat="1" r="70" s="2" spans="1:5" x14ac:dyDescent="0.25">
      <c r="A70" s="31" t="s">
        <v>75</v>
      </c>
      <c r="B70" s="33" t="s">
        <v>3402</v>
      </c>
      <c r="C70" s="33" t="s">
        <v>3491</v>
      </c>
      <c r="D70" s="33" t="s">
        <v>3410</v>
      </c>
      <c r="E70" s="33" t="s">
        <v>3411</v>
      </c>
    </row>
    <row customFormat="1" r="71" s="2" spans="1:5" x14ac:dyDescent="0.25">
      <c r="A71" s="2" t="s">
        <v>76</v>
      </c>
      <c r="B71" s="2" t="s">
        <v>3403</v>
      </c>
      <c r="C71" s="2" t="s">
        <v>3435</v>
      </c>
      <c r="D71" s="2" t="s">
        <v>3403</v>
      </c>
      <c r="E71" s="2" t="s">
        <v>3403</v>
      </c>
    </row>
    <row customFormat="1" r="72" s="2" spans="1:5" x14ac:dyDescent="0.25">
      <c r="A72" s="2" t="s">
        <v>77</v>
      </c>
      <c r="B72" s="2" t="s">
        <v>3403</v>
      </c>
      <c r="C72" s="2" t="s">
        <v>3403</v>
      </c>
      <c r="D72" s="2" t="s">
        <v>3403</v>
      </c>
      <c r="E72" s="2" t="s">
        <v>3403</v>
      </c>
    </row>
    <row customFormat="1" r="73" s="2" spans="1:5" x14ac:dyDescent="0.25">
      <c r="A73" s="31" t="s">
        <v>78</v>
      </c>
      <c r="B73" s="40">
        <v>1000000</v>
      </c>
      <c r="C73" s="40">
        <v>1000000</v>
      </c>
      <c r="D73" s="40">
        <v>2</v>
      </c>
      <c r="E73" s="40">
        <v>3</v>
      </c>
    </row>
    <row customFormat="1" r="74" s="2" spans="1:5" x14ac:dyDescent="0.25">
      <c r="A74" s="31" t="s">
        <v>3499</v>
      </c>
      <c r="B74" s="2" t="s">
        <v>3500</v>
      </c>
    </row>
    <row customFormat="1" r="75" s="2" spans="1:5" x14ac:dyDescent="0.25">
      <c r="A75" s="31" t="s">
        <v>3492</v>
      </c>
      <c r="B75" s="2" t="s">
        <v>3493</v>
      </c>
    </row>
    <row customFormat="1" r="76" s="2" spans="1:5" x14ac:dyDescent="0.25">
      <c r="A76" s="31" t="s">
        <v>3494</v>
      </c>
      <c r="B76" s="2" t="s">
        <v>3485</v>
      </c>
    </row>
    <row customFormat="1" r="77" s="2" spans="1:5" x14ac:dyDescent="0.25">
      <c r="A77" s="31" t="s">
        <v>3495</v>
      </c>
      <c r="B77" s="2" t="s">
        <v>3485</v>
      </c>
    </row>
    <row customFormat="1" r="78" s="2" spans="1:5" x14ac:dyDescent="0.25">
      <c r="A78" s="31" t="s">
        <v>3496</v>
      </c>
      <c r="B78" s="2" t="s">
        <v>3485</v>
      </c>
    </row>
    <row customFormat="1" r="79" s="2" spans="1:5" x14ac:dyDescent="0.25">
      <c r="A79" s="31" t="s">
        <v>3497</v>
      </c>
      <c r="B79" s="2" t="s">
        <v>3498</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6" sqref="B16"/>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3488</v>
      </c>
      <c r="C1" s="2" t="s">
        <v>2794</v>
      </c>
      <c r="D1" s="2" t="s">
        <v>2794</v>
      </c>
      <c r="E1" s="2" t="s">
        <v>2794</v>
      </c>
    </row>
    <row customFormat="1" r="2" s="2" spans="1:5" x14ac:dyDescent="0.25">
      <c r="A2" s="2" t="s">
        <v>3405</v>
      </c>
    </row>
    <row customFormat="1" r="3" s="2" spans="1:5" x14ac:dyDescent="0.25">
      <c r="A3" s="2" t="s">
        <v>3406</v>
      </c>
    </row>
    <row customFormat="1" r="4" s="2" spans="1:5" x14ac:dyDescent="0.25">
      <c r="A4" s="2" t="s">
        <v>3429</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3486</v>
      </c>
      <c r="B12" s="50" t="s">
        <v>3403</v>
      </c>
    </row>
    <row customFormat="1" r="13" s="2" spans="1:5" x14ac:dyDescent="0.25">
      <c r="A13" s="31" t="s">
        <v>3480</v>
      </c>
      <c r="B13" s="2" t="s">
        <v>3483</v>
      </c>
    </row>
    <row customFormat="1" r="14" s="2" spans="1:5" x14ac:dyDescent="0.25">
      <c r="A14" s="2" t="s">
        <v>79</v>
      </c>
      <c r="B14" s="2" t="s">
        <v>3485</v>
      </c>
    </row>
    <row customFormat="1" r="15" s="2" spans="1:5" x14ac:dyDescent="0.25">
      <c r="A15" s="31" t="s">
        <v>3481</v>
      </c>
      <c r="B15" s="13" t="s">
        <v>3487</v>
      </c>
      <c r="C15" s="13"/>
      <c r="D15" s="13"/>
      <c r="E15" s="13"/>
    </row>
    <row customFormat="1" r="16" s="2" spans="1:5" x14ac:dyDescent="0.25">
      <c r="A16" s="31" t="s">
        <v>3482</v>
      </c>
      <c r="B16" s="2" t="s">
        <v>3484</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 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4" sqref="A4: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3370</v>
      </c>
      <c r="C1" s="48" t="s">
        <v>2794</v>
      </c>
      <c r="D1" s="48" t="s">
        <v>2794</v>
      </c>
      <c r="E1" s="48" t="s">
        <v>2794</v>
      </c>
    </row>
    <row customFormat="1" r="2" s="2" spans="1:5" x14ac:dyDescent="0.25">
      <c r="A2" s="2" t="s">
        <v>3405</v>
      </c>
    </row>
    <row customFormat="1" r="3" s="2" spans="1:5" x14ac:dyDescent="0.25">
      <c r="A3" s="2" t="s">
        <v>3406</v>
      </c>
    </row>
    <row customFormat="1" r="4" s="2" spans="1:5" x14ac:dyDescent="0.25">
      <c r="A4" s="2" t="s">
        <v>3429</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3447</v>
      </c>
      <c r="B12" s="2" t="s">
        <v>3393</v>
      </c>
    </row>
    <row customFormat="1" r="13" s="2" spans="1:5" x14ac:dyDescent="0.25">
      <c r="A13" s="30" t="s">
        <v>3448</v>
      </c>
      <c r="B13" s="41" t="s">
        <v>3389</v>
      </c>
    </row>
    <row customFormat="1" r="14" s="2" spans="1:5" x14ac:dyDescent="0.25">
      <c r="A14" s="30" t="s">
        <v>3449</v>
      </c>
      <c r="B14" s="4" t="s">
        <v>3390</v>
      </c>
    </row>
    <row customFormat="1" r="15" s="2" spans="1:5" x14ac:dyDescent="0.25">
      <c r="A15" s="2" t="s">
        <v>80</v>
      </c>
      <c r="B15" s="4" t="s">
        <v>3391</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40" sqref="A4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t="s">
        <v>3370</v>
      </c>
      <c r="C1" s="2" t="s">
        <v>2794</v>
      </c>
      <c r="D1" s="2" t="s">
        <v>2794</v>
      </c>
      <c r="E1" s="2" t="s">
        <v>2794</v>
      </c>
    </row>
    <row customFormat="1" r="2" s="2" spans="1:5" x14ac:dyDescent="0.25">
      <c r="A2" s="2" t="s">
        <v>3405</v>
      </c>
      <c r="B2" t="s">
        <v>3476</v>
      </c>
    </row>
    <row customFormat="1" r="3" s="2" spans="1:5" x14ac:dyDescent="0.25">
      <c r="A3" s="2" t="s">
        <v>3406</v>
      </c>
    </row>
    <row customFormat="1" r="4" s="2" spans="1:5" x14ac:dyDescent="0.25">
      <c r="A4" s="2" t="s">
        <v>3429</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3450</v>
      </c>
      <c r="B12" s="10" t="str">
        <f>VLOOKUP(B13,Master!$A:$B,2,FALSE)</f>
        <v>01</v>
      </c>
      <c r="C12" s="10" t="str">
        <f>VLOOKUP(C13,Master!$A:$B,2,FALSE)</f>
        <v>01</v>
      </c>
    </row>
    <row customFormat="1" r="13" s="2" spans="1:5" x14ac:dyDescent="0.25">
      <c r="A13" s="30" t="s">
        <v>3451</v>
      </c>
      <c r="B13" s="10" t="s">
        <v>97</v>
      </c>
      <c r="C13" s="10" t="s">
        <v>97</v>
      </c>
    </row>
    <row customFormat="1" r="14" s="2" spans="1:5" x14ac:dyDescent="0.25">
      <c r="A14" s="32" t="s">
        <v>3452</v>
      </c>
      <c r="B14" s="10" t="str">
        <f>VLOOKUP(B15,Master!$D:$E,2,FALSE)</f>
        <v>4</v>
      </c>
      <c r="C14" s="10" t="str">
        <f>VLOOKUP(C15,Master!$D:$E,2,FALSE)</f>
        <v>4</v>
      </c>
    </row>
    <row customFormat="1" r="15" s="2" spans="1:5" x14ac:dyDescent="0.25">
      <c r="A15" s="30" t="s">
        <v>3453</v>
      </c>
      <c r="B15" s="6" t="s">
        <v>161</v>
      </c>
      <c r="C15" s="6" t="s">
        <v>161</v>
      </c>
    </row>
    <row customFormat="1" r="16" s="2" spans="1:5" x14ac:dyDescent="0.25">
      <c r="A16" s="32" t="s">
        <v>3454</v>
      </c>
      <c r="B16" s="10" t="str">
        <f>VLOOKUP(B17,Master!$G:$H,2,FALSE)</f>
        <v>e2955</v>
      </c>
      <c r="C16" s="10" t="str">
        <f>VLOOKUP(C17,Master!$G:$H,2,FALSE)</f>
        <v>e2955</v>
      </c>
    </row>
    <row customFormat="1" ht="75" r="17" s="2" spans="1:3" x14ac:dyDescent="0.25">
      <c r="A17" s="30" t="s">
        <v>3455</v>
      </c>
      <c r="B17" s="6" t="s">
        <v>3392</v>
      </c>
      <c r="C17" s="6" t="s">
        <v>3392</v>
      </c>
    </row>
    <row customFormat="1" r="18" s="2" spans="1:3" x14ac:dyDescent="0.25">
      <c r="A18" s="32" t="s">
        <v>3456</v>
      </c>
      <c r="B18" s="10" t="str">
        <f>VLOOKUP(B19,Master!$J:$K,2,FALSE)</f>
        <v>e3820</v>
      </c>
      <c r="C18" s="10" t="str">
        <f>VLOOKUP(C19,Master!$J:$K,2,FALSE)</f>
        <v>e3820</v>
      </c>
    </row>
    <row customFormat="1" r="19" s="2" spans="1:3" x14ac:dyDescent="0.25">
      <c r="A19" s="30" t="s">
        <v>3457</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3458</v>
      </c>
      <c r="B22" s="10" t="str">
        <f>VLOOKUP(B23,Master!$M:$N,2,FALSE)</f>
        <v>0010</v>
      </c>
      <c r="C22" s="10" t="str">
        <f>VLOOKUP(C23,Master!$M:$N,2,FALSE)</f>
        <v>0010</v>
      </c>
    </row>
    <row customFormat="1" ht="30" r="23" s="2" spans="1:3" x14ac:dyDescent="0.25">
      <c r="A23" s="30" t="s">
        <v>3459</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3460</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3461</v>
      </c>
      <c r="B30" s="10" t="str">
        <f>VLOOKUP(B31,Master!$P:$Q,2,FALSE)</f>
        <v>0110</v>
      </c>
      <c r="C30" s="10" t="str">
        <f>VLOOKUP(C31,Master!$P:$Q,2,FALSE)</f>
        <v>0110</v>
      </c>
    </row>
    <row customFormat="1" ht="30" r="31" s="2" spans="1:3" x14ac:dyDescent="0.25">
      <c r="A31" s="30" t="s">
        <v>3463</v>
      </c>
      <c r="B31" s="6" t="s">
        <v>105</v>
      </c>
      <c r="C31" s="6" t="s">
        <v>105</v>
      </c>
    </row>
    <row customFormat="1" r="32" s="2" spans="1:3" x14ac:dyDescent="0.25">
      <c r="A32" s="30" t="s">
        <v>3464</v>
      </c>
      <c r="B32" s="6" t="s">
        <v>2786</v>
      </c>
      <c r="C32" s="6" t="s">
        <v>2786</v>
      </c>
    </row>
    <row customFormat="1" r="33" s="2" spans="1:3" x14ac:dyDescent="0.25">
      <c r="A33" s="32" t="s">
        <v>3462</v>
      </c>
      <c r="B33" s="10" t="str">
        <f>VLOOKUP(B34,Master!$V:$W,2,FALSE)</f>
        <v>00055</v>
      </c>
      <c r="C33" s="10" t="str">
        <f>VLOOKUP(C34,Master!$V:$W,2,FALSE)</f>
        <v>00055</v>
      </c>
    </row>
    <row customFormat="1" r="34" s="2" spans="1:3" x14ac:dyDescent="0.25">
      <c r="A34" s="30" t="s">
        <v>3465</v>
      </c>
      <c r="B34" s="6" t="s">
        <v>109</v>
      </c>
      <c r="C34" s="6" t="s">
        <v>109</v>
      </c>
    </row>
    <row customFormat="1" ht="30" r="35" s="2" spans="1:3" x14ac:dyDescent="0.25">
      <c r="A35" s="32" t="s">
        <v>3467</v>
      </c>
      <c r="B35" s="10" t="str">
        <f>VLOOKUP(B36,Master!$Y:$Z,2,FALSE)</f>
        <v>PAYMENT_TYPEX_AUTOPAYMENT</v>
      </c>
      <c r="C35" s="10" t="str">
        <f>VLOOKUP(C36,Master!$Y:$Z,2,FALSE)</f>
        <v>PAYMENT_TYPEX_AUTOPAYMENT</v>
      </c>
    </row>
    <row customFormat="1" r="36" s="2" spans="1:3" x14ac:dyDescent="0.25">
      <c r="A36" s="30" t="s">
        <v>3466</v>
      </c>
      <c r="B36" s="6" t="s">
        <v>111</v>
      </c>
      <c r="C36" s="6" t="s">
        <v>111</v>
      </c>
    </row>
    <row customFormat="1" r="37" s="2" spans="1:3" x14ac:dyDescent="0.25">
      <c r="A37" s="32" t="s">
        <v>3469</v>
      </c>
      <c r="B37" s="10" t="str">
        <f>VLOOKUP(B38,Master!$AE:$AF,2,FALSE)</f>
        <v>BISNIS_SENDIRI</v>
      </c>
      <c r="C37" s="10" t="str">
        <f>VLOOKUP(C38,Master!$AE:$AF,2,FALSE)</f>
        <v>BISNIS_SENDIRI</v>
      </c>
    </row>
    <row customFormat="1" r="38" s="2" spans="1:3" x14ac:dyDescent="0.25">
      <c r="A38" s="30" t="s">
        <v>3468</v>
      </c>
      <c r="B38" s="6" t="s">
        <v>115</v>
      </c>
      <c r="C38" s="6" t="s">
        <v>115</v>
      </c>
    </row>
    <row customFormat="1" r="39" s="2" spans="1:3" x14ac:dyDescent="0.25">
      <c r="A39" s="30" t="s">
        <v>3470</v>
      </c>
      <c r="B39" s="38" t="s">
        <v>3400</v>
      </c>
      <c r="C39" s="38" t="s">
        <v>3407</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2022-09-12T07:53:52Z</dcterms:modified>
</cp:coreProperties>
</file>