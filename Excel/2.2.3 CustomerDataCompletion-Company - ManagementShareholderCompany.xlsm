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Sprint17\Excel\"/>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2" r="D10"/>
  <c i="2" r="C10"/>
  <c i="2" l="1" r="D4"/>
  <c i="4" l="1" r="B4"/>
  <c i="4" r="D4"/>
  <c i="4" r="E4"/>
  <c i="4" r="C4"/>
  <c i="5" l="1" r="B4"/>
  <c i="2" l="1" r="C4"/>
  <c i="2" l="1" r="B4"/>
  <c i="1" r="B4"/>
  <c i="7" l="1" r="B4"/>
  <c i="6" r="B4"/>
  <c i="3" r="B4"/>
  <c i="7" l="1" r="C12"/>
  <c i="7" r="C14"/>
  <c i="7" r="C16"/>
  <c i="7" r="C18"/>
  <c i="7" r="C22"/>
  <c i="7" r="C27"/>
  <c i="7" r="C30"/>
  <c i="7" r="C33"/>
  <c i="7" r="C35"/>
  <c i="7" r="C37"/>
  <c i="4" r="C66"/>
  <c i="4" r="D66"/>
  <c i="4" r="E66"/>
  <c i="1" r="C20"/>
  <c i="1" r="B12"/>
  <c i="7" l="1" r="B10"/>
  <c i="3" r="B10"/>
  <c i="6" r="B10"/>
  <c i="5" r="B10"/>
  <c i="4" r="C9"/>
  <c i="4" r="B9"/>
  <c i="2" r="D9"/>
  <c i="2"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<sst xmlns="http://schemas.openxmlformats.org/spreadsheetml/2006/main" count="3790" uniqueCount="3502">
  <si>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</si>
  <si>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</si>
  <si>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</si>
  <si>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</si>
  <si>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</si>
  <si>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</si>
  <si>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</si>
  <si>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</si>
  <si>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</si>
  <si>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</si>
  <si>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</si>
  <si>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</si>
  <si>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</si>
  <si>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</si>
  <si>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</si>
  <si>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</si>
  <si>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</si>
  <si>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</si>
  <si>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</si>
  <si>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</si>
  <si>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</si>
  <si>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</si>
  <si>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</si>
  <si>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</si>
  <si>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</si>
  <si>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</si>
  <si>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</si>
  <si>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</si>
  <si>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</si>
  <si>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</si>
  <si>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</si>
  <si>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</si>
  <si>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</si>
  <si>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</si>
  <si>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</si>
  <si>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</si>
  <si>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</si>
  <si>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</si>
  <si>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</si>
  <si>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</si>
  <si>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</si>
  <si>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</si>
  <si>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</si>
  <si>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</si>
  <si>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</si>
  <si>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</si>
  <si>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</si>
  <si>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</si>
  <si>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</si>
  <si>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</si>
  <si>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</si>
  <si>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</si>
  <si>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</si>
  <si>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</si>
  <si>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</si>
  <si>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</si>
  <si>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</si>
  <si>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</si>
  <si>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</si>
  <si>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</si>
  <si>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</si>
  <si>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</si>
  <si>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</si>
  <si>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</si>
  <si>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</si>
  <si>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</si>
  <si>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</si>
  <si>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</si>
  <si>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</si>
  <si>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</si>
  <si>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</si>
  <si>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</si>
  <si>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</si>
  <si>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</si>
  <si>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</si>
  <si>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</si>
  <si>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</si>
  <si>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</si>
  <si>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</si>
  <si>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</si>
  <si>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</si>
  <si>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</si>
  <si>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</si>
  <si>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</si>
  <si>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</si>
  <si>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</si>
  <si>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</si>
  <si>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</si>
  <si>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</si>
  <si>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</si>
  <si>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</si>
  <si>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</si>
  <si>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</si>
  <si>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</si>
  <si>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</si>
  <si>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</si>
  <si>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</si>
  <si>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</si>
  <si>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</si>
  <si>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</si>
  <si>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</si>
  <si>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</si>
  <si>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</si>
  <si>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</si>
  <si>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</si>
  <si>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</si>
  <si>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</si>
  <si>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</si>
  <si>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</si>
  <si>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</si>
  <si>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</si>
  <si>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</si>
  <si>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</si>
  <si>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</si>
  <si>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</si>
  <si>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</si>
  <si>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</si>
  <si>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</si>
  <si>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</si>
  <si>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</si>
  <si>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</si>
  <si>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</si>
  <si>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</si>
  <si>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</si>
  <si>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</si>
  <si>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</si>
  <si>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</si>
  <si>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</si>
  <si>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</si>
  <si>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</si>
  <si>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</si>
  <si>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</si>
  <si>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</si>
  <si>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</si>
  <si>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</si>
  <si>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</si>
  <si>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</si>
  <si>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</si>
  <si>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</si>
  <si>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</si>
  <si>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</si>
  <si>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</si>
  <si>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</si>
  <si>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</si>
  <si>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</si>
  <si>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</si>
  <si>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</si>
  <si>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</si>
  <si>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</si>
  <si>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</si>
  <si>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</si>
  <si>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</si>
  <si>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</si>
  <si>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</si>
  <si>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</si>
  <si>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</si>
  <si>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</si>
  <si>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</si>
  <si>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</si>
  <si>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</si>
  <si>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</si>
  <si>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</si>
  <si>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</si>
  <si>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</si>
  <si>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</si>
  <si>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</si>
  <si>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</si>
  <si>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</si>
  <si>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</si>
  <si>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</si>
  <si>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</si>
  <si>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</si>
  <si>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</si>
  <si>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</si>
  <si>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</si>
  <si>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</si>
  <si>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</si>
  <si>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</si>
  <si>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</si>
  <si>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</si>
  <si>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</si>
  <si>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</si>
  <si>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</si>
  <si>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</si>
  <si>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</si>
  <si>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</si>
  <si>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</si>
  <si>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</si>
  <si>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</si>
  <si>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</si>
  <si>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</si>
  <si>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</si>
  <si>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</si>
  <si>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</si>
  <si>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</si>
  <si>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</si>
  <si>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</si>
  <si>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</si>
  <si>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</si>
  <si>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</si>
  <si>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</si>
  <si>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</si>
  <si>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</si>
  <si>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</si>
  <si>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</si>
  <si>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</si>
  <si>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</si>
  <si>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</si>
  <si>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</si>
  <si>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</si>
  <si>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</si>
  <si>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</si>
  <si>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</si>
  <si>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</si>
  <si>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</si>
  <si>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</si>
  <si>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</si>
  <si>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</si>
  <si>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</si>
  <si>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</si>
  <si>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</si>
  <si>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</si>
  <si>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</si>
  <si>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</si>
  <si>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</si>
  <si>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</si>
  <si>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</si>
  <si>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</si>
  <si>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</si>
  <si>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</si>
  <si>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</si>
  <si>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</si>
  <si>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</si>
  <si>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</si>
  <si>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</si>
  <si>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</si>
  <si>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</si>
  <si>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</si>
  <si>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</si>
  <si>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</si>
  <si>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</si>
  <si>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</si>
  <si>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</si>
  <si>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</si>
  <si>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</si>
  <si>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</si>
  <si>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</si>
  <si>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</si>
  <si>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</si>
  <si>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</si>
  <si>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</si>
  <si>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</si>
  <si>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</si>
  <si>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</si>
  <si>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</si>
  <si>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</si>
  <si>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</si>
  <si>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</si>
  <si>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</si>
  <si>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</si>
  <si>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</si>
  <si>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</si>
  <si>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</si>
  <si>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</si>
  <si>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</si>
  <si>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</si>
  <si>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</si>
  <si>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</si>
  <si>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</si>
  <si>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</si>
  <si>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</si>
  <si>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</si>
  <si>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</si>
  <si>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</si>
  <si>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</si>
  <si>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</si>
  <si>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</si>
  <si>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</si>
  <si>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</si>
  <si>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</si>
  <si>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</si>
  <si>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</si>
  <si>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</si>
  <si>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</si>
  <si>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</si>
  <si>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</si>
  <si>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</si>
  <si>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</si>
  <si>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</si>
  <si>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</si>
  <si>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</si>
  <si>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</si>
  <si>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</si>
  <si>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</si>
  <si>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</si>
  <si>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</si>
  <si>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</si>
  <si>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</si>
  <si>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</si>
  <si>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</si>
  <si>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</si>
  <si>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</si>
  <si>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</si>
  <si>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</si>
  <si>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</si>
  <si>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</si>
  <si>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</si>
  <si>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</si>
  <si>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</si>
  <si>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</si>
  <si>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</si>
  <si>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</si>
  <si>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</si>
  <si>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</si>
  <si>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</si>
  <si>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</si>
  <si>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</si>
  <si>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</si>
  <si>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</si>
  <si>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</si>
  <si>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</si>
  <si>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</si>
  <si>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</si>
  <si>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</si>
  <si>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</si>
  <si>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</si>
  <si>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</si>
  <si>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</si>
  <si>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</si>
  <si>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</si>
  <si>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</si>
  <si>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</si>
  <si>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</si>
  <si>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</si>
  <si>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</si>
  <si>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</si>
  <si>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</si>
  <si>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</si>
  <si>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</si>
  <si>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</si>
  <si>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</si>
  <si>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</si>
  <si>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</si>
  <si>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</si>
  <si>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</si>
  <si>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</si>
  <si>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</si>
  <si>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</si>
  <si>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</si>
  <si>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</si>
  <si>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</si>
  <si>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</si>
  <si>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</si>
  <si>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</si>
  <si>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</si>
  <si>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</si>
  <si>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</si>
  <si>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</si>
  <si>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</si>
  <si>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</si>
  <si>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</si>
  <si>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</si>
  <si>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</si>
  <si>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</si>
  <si>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</si>
  <si>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</si>
  <si>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</si>
  <si>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</si>
  <si>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</si>
  <si>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</si>
  <si>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</si>
  <si>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</si>
  <si>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</si>
  <si>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</si>
  <si>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</si>
  <si>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</si>
  <si>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</si>
  <si>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</si>
  <si>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</si>
  <si>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</si>
  <si>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</si>
  <si>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</si>
  <si>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</si>
  <si>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</si>
  <si>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</si>
  <si>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</si>
  <si>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</si>
  <si>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</si>
  <si>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</si>
  <si>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</si>
  <si>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</si>
  <si>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</si>
  <si>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</si>
  <si>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</si>
  <si>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</si>
  <si>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</si>
  <si>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</si>
  <si>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</si>
  <si>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</si>
  <si>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</si>
  <si>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</si>
  <si>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</si>
  <si>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</si>
  <si>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</si>
  <si>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</si>
  <si>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</si>
  <si>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</si>
  <si>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</si>
  <si>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</si>
  <si>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</si>
  <si>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</si>
  <si>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</si>
  <si>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</si>
  <si>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</si>
  <si>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</si>
  <si>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</si>
  <si>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</si>
  <si>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</si>
  <si>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</si>
  <si>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</si>
  <si>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</si>
  <si>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</si>
  <si>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</si>
  <si>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</si>
  <si>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</si>
  <si>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</si>
  <si>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</si>
  <si>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</si>
  <si>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</si>
  <si>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</si>
  <si>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</si>
  <si>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</si>
  <si>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</si>
  <si>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</si>
  <si>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</si>
  <si>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</si>
  <si>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</si>
  <si>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</si>
  <si>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</si>
  <si>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</si>
  <si>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</si>
  <si>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</si>
  <si>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</si>
  <si>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</si>
  <si>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</si>
  <si>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</si>
  <si>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</si>
  <si>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</si>
  <si>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</si>
  <si>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</si>
  <si>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</si>
  <si>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</si>
  <si>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</si>
  <si>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</si>
  <si>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</si>
  <si>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</si>
  <si>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</si>
  <si>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</si>
  <si>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</si>
  <si>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</si>
  <si>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</si>
  <si>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</si>
  <si>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</si>
  <si>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</si>
  <si>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</si>
  <si>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</si>
  <si>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</si>
  <si>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</si>
  <si>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</si>
  <si>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</si>
  <si>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</si>
  <si>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</si>
  <si>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</si>
  <si>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</si>
  <si>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</si>
  <si>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</si>
  <si>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</si>
  <si>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</si>
  <si>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</si>
  <si>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</si>
  <si>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</si>
  <si>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</si>
  <si>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</si>
  <si>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</si>
  <si>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</si>
  <si>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</si>
  <si>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</si>
  <si>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</si>
  <si>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</si>
  <si>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</si>
  <si>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</si>
  <si>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</si>
  <si>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</si>
  <si>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</si>
  <si>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</si>
  <si>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</si>
  <si>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</si>
  <si>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</si>
  <si>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</si>
  <si>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</si>
  <si>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</si>
  <si>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</si>
  <si>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</si>
  <si>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</si>
  <si>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</si>
  <si>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</si>
  <si>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</si>
  <si>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</si>
  <si>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</si>
  <si>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</si>
  <si>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</si>
  <si>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</si>
  <si>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</si>
  <si>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</si>
  <si>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</si>
  <si>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</si>
  <si>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</si>
  <si>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</si>
  <si>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</si>
  <si>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</si>
  <si>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</si>
  <si>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</si>
  <si>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</si>
  <si>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</si>
  <si>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</si>
  <si>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</si>
  <si>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</si>
  <si>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</si>
  <si>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</si>
  <si>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</si>
  <si>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</si>
  <si>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</si>
  <si>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</si>
  <si>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</si>
  <si>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</si>
  <si>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</si>
  <si>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</si>
  <si>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</si>
  <si>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</si>
  <si>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</si>
  <si>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</si>
  <si>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</si>
  <si>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</si>
  <si>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</si>
  <si>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</si>
  <si>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</si>
  <si>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</si>
  <si>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</si>
  <si>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</si>
  <si>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</si>
  <si>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</si>
  <si>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</si>
  <si>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</si>
  <si>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</si>
  <si>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</si>
  <si>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</si>
  <si>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</si>
  <si>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</si>
  <si>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</si>
  <si>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</si>
  <si>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</si>
  <si>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</si>
  <si>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</si>
  <si>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</si>
  <si>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</si>
  <si>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</si>
  <si>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</si>
  <si>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</si>
  <si>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</si>
  <si>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</si>
  <si>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</si>
  <si>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</si>
  <si>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</si>
  <si>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</si>
  <si>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</si>
  <si>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</si>
  <si>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</si>
  <si>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</si>
  <si>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</si>
  <si>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</si>
  <si>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</si>
  <si>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</si>
  <si>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</si>
  <si>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</si>
  <si>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</si>
  <si>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</si>
  <si>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</si>
  <si>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</si>
  <si>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</si>
  <si>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</si>
  <si>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</si>
  <si>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</si>
  <si>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</si>
  <si>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</si>
  <si>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</si>
  <si>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</si>
  <si>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</si>
  <si>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</si>
  <si>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</si>
  <si>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</si>
  <si>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</si>
  <si>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</si>
  <si>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</si>
  <si>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</si>
  <si>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</si>
  <si>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</si>
  <si>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</si>
  <si>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</si>
  <si>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</si>
  <si>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</si>
  <si>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</si>
  <si>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</si>
  <si>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</si>
  <si>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</si>
  <si>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</si>
  <si>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</si>
  <si>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</si>
  <si>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</si>
  <si>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</si>
  <si>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</si>
  <si>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</si>
  <si>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</si>
  <si>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</si>
  <si>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</si>
  <si>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</si>
  <si>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</si>
  <si>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</si>
  <si>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</si>
  <si>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</si>
  <si>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</si>
  <si>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</si>
  <si>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</si>
  <si>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</si>
  <si>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</si>
  <si>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</si>
  <si>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</si>
  <si>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</si>
  <si>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</si>
  <si>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</si>
  <si>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</si>
  <si>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</si>
  <si>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</si>
  <si>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</si>
  <si>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</si>
  <si>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</si>
  <si>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</si>
  <si>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</si>
  <si>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</si>
  <si>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</si>
  <si>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</si>
  <si>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</si>
  <si>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</si>
  <si>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</si>
  <si>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</si>
  <si>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</si>
  <si>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</si>
  <si>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</si>
  <si>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</si>
  <si>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</si>
  <si>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</si>
  <si>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</si>
  <si>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</si>
  <si>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</si>
  <si>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</si>
  <si>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</si>
  <si>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</si>
  <si>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</si>
  <si>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</si>
  <si>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</si>
  <si>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</si>
  <si>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</si>
  <si>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</si>
  <si>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</si>
  <si>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</si>
  <si>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</si>
  <si>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</si>
  <si>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</si>
  <si>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</si>
  <si>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</si>
  <si>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</si>
  <si>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</si>
  <si>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</si>
  <si>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</si>
  <si>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</si>
  <si>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</si>
  <si>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</si>
  <si>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</si>
  <si>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</si>
  <si>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</si>
  <si>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</si>
  <si>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</si>
  <si>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</si>
  <si>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</si>
  <si>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</si>
  <si>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</si>
  <si>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</si>
  <si>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</si>
  <si>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</si>
  <si>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</si>
  <si>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</si>
  <si>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</si>
  <si>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</si>
  <si>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</si>
  <si>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</si>
  <si>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</si>
  <si>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</si>
  <si>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</si>
  <si>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</si>
  <si>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</si>
  <si>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</si>
  <si>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</si>
  <si>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</si>
  <si>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</si>
  <si>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</si>
  <si>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</si>
  <si>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</si>
  <si>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</si>
  <si>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</si>
  <si>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</si>
  <si>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</si>
  <si>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</si>
  <si>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</si>
  <si>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</si>
  <si>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</si>
  <si>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</si>
  <si>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</si>
  <si>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</si>
  <si>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</si>
  <si>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</si>
  <si>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</si>
  <si>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</si>
  <si>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</si>
  <si>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</si>
  <si>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</si>
  <si>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</si>
  <si>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</si>
  <si>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</si>
  <si>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</si>
  <si>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</si>
  <si>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</si>
  <si>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</si>
  <si>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</si>
  <si>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</si>
  <si>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</si>
  <si>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</si>
  <si>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</si>
  <si>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</si>
  <si>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</si>
  <si>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</si>
  <si>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</si>
  <si>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</si>
  <si>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</si>
  <si>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</si>
  <si>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</si>
  <si>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</si>
  <si>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</si>
  <si>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</si>
  <si>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</si>
  <si>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</si>
  <si>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</si>
  <si>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</si>
  <si>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</si>
  <si>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</si>
  <si>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</si>
  <si>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</si>
  <si>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</si>
  <si>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</si>
  <si>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</si>
  <si>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</si>
  <si>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</si>
  <si>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</si>
  <si>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</si>
  <si>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</si>
  <si>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</si>
  <si>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</si>
  <si>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</si>
  <si>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</si>
  <si>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</si>
  <si>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</si>
  <si>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</si>
  <si>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</si>
  <si>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</si>
  <si>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</si>
  <si>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</si>
  <si>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</si>
  <si>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</si>
  <si>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</si>
  <si>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</si>
  <si>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</si>
  <si>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</si>
  <si>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</si>
  <si>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</si>
  <si>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</si>
  <si>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</si>
  <si>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</si>
  <si>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</si>
  <si>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</si>
  <si>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</si>
  <si>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</si>
  <si>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</si>
  <si>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</si>
  <si>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</si>
  <si>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</si>
  <si>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</si>
  <si>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</si>
  <si>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</si>
  <si>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</si>
  <si>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</si>
  <si>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</si>
  <si>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</si>
  <si>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</si>
  <si>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</si>
  <si>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</si>
  <si>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</si>
  <si>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</si>
  <si>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</si>
  <si>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</si>
  <si>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</si>
  <si>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</si>
  <si>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</si>
  <si>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</si>
  <si>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</si>
  <si>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</si>
  <si>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</si>
  <si>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</si>
  <si>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</si>
  <si>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</si>
  <si>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</si>
  <si>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</si>
  <si>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</si>
  <si>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</si>
  <si>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</si>
  <si>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</si>
  <si>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</si>
  <si>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</si>
  <si>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</si>
  <si>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</si>
  <si>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</si>
  <si>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</si>
  <si>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</si>
  <si>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</si>
  <si>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</si>
  <si>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</si>
  <si>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</si>
  <si>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</si>
  <si>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</si>
  <si>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</si>
  <si>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</si>
  <si>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</si>
  <si>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</si>
  <si>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</si>
  <si>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</si>
  <si>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</si>
  <si>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</si>
  <si>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</si>
  <si>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</si>
  <si>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</si>
  <si>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</si>
  <si>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</si>
  <si>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</si>
  <si>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</si>
  <si>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</si>
  <si>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</si>
  <si>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</si>
  <si>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</si>
  <si>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</si>
  <si>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</si>
  <si>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</si>
  <si>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</si>
  <si>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</si>
  <si>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</si>
  <si>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</si>
  <si>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</si>
  <si>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</si>
  <si>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</si>
  <si>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</si>
  <si>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</si>
  <si>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</si>
  <si>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</si>
  <si>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</si>
  <si>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</si>
  <si>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</si>
  <si>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</si>
  <si>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</si>
  <si>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</si>
  <si>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</si>
  <si>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</si>
  <si>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</si>
  <si>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</si>
  <si>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</si>
  <si>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</si>
  <si>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</si>
  <si>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</si>
  <si>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</si>
  <si>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</si>
  <si>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</si>
  <si>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</si>
  <si>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</si>
  <si>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</si>
  <si>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</si>
  <si>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</si>
  <si>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</si>
  <si>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</si>
  <si>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</si>
  <si>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</si>
  <si>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</si>
  <si>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</si>
  <si>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</si>
  <si>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</si>
  <si>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</si>
  <si>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</si>
  <si>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</si>
  <si>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</si>
  <si>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</si>
  <si>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</si>
  <si>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</si>
  <si>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</si>
  <si>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</si>
  <si>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</si>
  <si>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</si>
  <si>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</si>
  <si>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</si>
  <si>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</si>
  <si>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</si>
  <si>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</si>
  <si>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</si>
  <si>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</si>
  <si>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</si>
  <si>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</si>
  <si>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</si>
  <si>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</si>
  <si>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</si>
  <si>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</si>
  <si>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</si>
  <si>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</si>
  <si>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</si>
  <si>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</si>
  <si>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</si>
  <si>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</si>
  <si>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</si>
  <si>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</si>
  <si>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</si>
  <si>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</si>
  <si>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</si>
  <si>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</si>
  <si>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</si>
  <si>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</si>
  <si>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</si>
  <si>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</si>
  <si>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</si>
  <si>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</si>
  <si>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</si>
  <si>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</si>
  <si>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</si>
  <si>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</si>
  <si>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</si>
  <si>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</si>
  <si>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</si>
  <si>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</si>
  <si>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</si>
  <si>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</si>
  <si>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</si>
  <si>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</si>
  <si>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</si>
  <si>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</si>
  <si>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</si>
  <si>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</si>
  <si>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</si>
  <si>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</si>
  <si>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</si>
  <si>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</si>
  <si>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</si>
  <si>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</si>
  <si>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</si>
  <si>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</si>
  <si>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</si>
  <si>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</si>
  <si>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</si>
  <si>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</si>
  <si>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</si>
  <si>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</si>
  <si>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</si>
  <si>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</si>
  <si>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</si>
  <si>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</si>
  <si>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</si>
  <si>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</si>
  <si>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</si>
  <si>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</si>
  <si>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</si>
  <si>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</si>
  <si>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</si>
  <si>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</si>
  <si>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</si>
  <si>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</si>
  <si>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</si>
  <si>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</si>
  <si>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</si>
  <si>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</si>
  <si>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</si>
  <si>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</si>
  <si>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</si>
  <si>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</si>
  <si>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</si>
  <si>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</si>
  <si>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</si>
  <si>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</si>
  <si>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</si>
  <si>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</si>
  <si>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</si>
  <si>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</si>
  <si>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</si>
  <si>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</si>
  <si>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</si>
  <si>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</si>
  <si>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</si>
  <si>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</si>
  <si>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</si>
  <si>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</si>
  <si>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</si>
  <si>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</si>
  <si>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</si>
  <si>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</si>
  <si>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</si>
  <si>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</si>
  <si>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</si>
  <si>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</si>
  <si>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</si>
  <si>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</si>
  <si>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</si>
  <si>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</si>
  <si>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</si>
  <si>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</si>
  <si>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</si>
  <si>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</si>
  <si>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</si>
  <si>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</si>
  <si>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</si>
  <si>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</si>
  <si>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</si>
  <si>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</si>
  <si>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</si>
  <si>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</si>
  <si>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</si>
  <si>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</si>
  <si>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</si>
  <si>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</si>
  <si>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</si>
  <si>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</si>
  <si>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</si>
  <si>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</si>
  <si>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</si>
  <si>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</si>
  <si>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</si>
  <si>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</si>
  <si>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</si>
  <si>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</si>
  <si>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</si>
  <si>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</si>
  <si>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</si>
  <si>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</si>
  <si>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</si>
  <si>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</si>
  <si>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</si>
  <si>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</si>
  <si>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</si>
  <si>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</si>
  <si>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</si>
  <si>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</si>
  <si>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</si>
  <si>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</si>
  <si>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</si>
  <si>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</si>
  <si>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</si>
  <si>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</si>
  <si>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</si>
  <si>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</si>
  <si>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</si>
  <si>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</si>
  <si>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</si>
  <si>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</si>
  <si>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</si>
  <si>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</si>
  <si>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</si>
  <si>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</si>
  <si>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</si>
  <si>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</si>
  <si>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</si>
  <si>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</si>
  <si>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</si>
  <si>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</si>
  <si>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</si>
  <si>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</si>
  <si>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</si>
  <si>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</si>
  <si>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</si>
  <si>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</si>
  <si>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</si>
  <si>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</si>
  <si>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</si>
  <si>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</si>
  <si>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</si>
  <si>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</si>
  <si>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</si>
  <si>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</si>
  <si>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</si>
  <si>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</si>
  <si>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</si>
  <si>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</si>
  <si>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</si>
  <si>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</si>
  <si>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</si>
  <si>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</si>
  <si>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</si>
  <si>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</si>
  <si>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</si>
  <si>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</si>
  <si>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</si>
  <si>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</si>
  <si>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</si>
  <si>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</si>
  <si>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</si>
  <si>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</si>
  <si>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</si>
  <si>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</si>
  <si>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</si>
  <si>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</si>
  <si>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</si>
  <si>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</si>
  <si>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</si>
  <si>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</si>
  <si>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</si>
  <si>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</si>
  <si>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</si>
  <si>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</si>
  <si>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</si>
  <si>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</si>
  <si>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</si>
  <si>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</si>
  <si>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</si>
  <si>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</si>
  <si>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</si>
  <si>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</si>
  <si>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</si>
  <si>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</si>
  <si>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</si>
  <si>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</si>
  <si>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</si>
  <si>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</si>
  <si>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</si>
  <si>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</si>
  <si>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</si>
  <si>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</si>
  <si>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</si>
  <si>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</si>
  <si>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</si>
  <si>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</si>
  <si>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</si>
  <si>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</si>
  <si>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</si>
  <si>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</si>
  <si>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</si>
  <si>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</si>
  <si>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</si>
  <si>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</si>
  <si>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</si>
  <si>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</si>
  <si>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</si>
  <si>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</si>
  <si>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</si>
  <si>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</si>
  <si>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</si>
  <si>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</si>
  <si>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</si>
  <si>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</si>
  <si>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</si>
  <si>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</si>
  <si>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</si>
  <si>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</si>
  <si>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</si>
  <si>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</si>
  <si>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</si>
  <si>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</si>
  <si>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</si>
  <si>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</si>
  <si>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</si>
  <si>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</si>
  <si>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</si>
  <si>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</si>
  <si>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</si>
  <si>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</si>
  <si>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</si>
  <si>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</si>
  <si>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</si>
  <si>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</si>
  <si>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</si>
  <si>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</si>
  <si>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</si>
  <si>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</si>
  <si>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</si>
  <si>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</si>
  <si>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</si>
  <si>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</si>
  <si>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</si>
  <si>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</si>
  <si>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</si>
  <si>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</si>
  <si>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</si>
  <si>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</si>
  <si>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</si>
  <si>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</si>
  <si>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</si>
  <si>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</si>
  <si>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</si>
  <si>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</si>
  <si>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</si>
  <si>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</si>
  <si>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</si>
  <si>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</si>
  <si>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</si>
  <si>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</si>
  <si>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</si>
  <si>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</si>
  <si>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</si>
  <si>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</si>
  <si>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</si>
  <si>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</si>
  <si>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</si>
  <si>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</si>
  <si>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</si>
  <si>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</si>
  <si>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</si>
  <si>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</si>
  <si>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</si>
  <si>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</si>
  <si>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</si>
  <si>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</si>
  <si>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</si>
  <si>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</si>
  <si>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</si>
  <si>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</si>
  <si>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</si>
  <si>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</si>
  <si>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</si>
  <si>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</si>
  <si>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</si>
  <si>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</si>
  <si>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</si>
  <si>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</si>
  <si>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</si>
  <si>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</si>
  <si>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</si>
  <si>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</si>
  <si>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</si>
  <si>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</si>
  <si>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</si>
  <si>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</si>
  <si>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</si>
  <si>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</si>
  <si>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</si>
  <si>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</si>
  <si>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</si>
  <si>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</si>
  <si>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</si>
  <si>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</si>
  <si>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</si>
  <si>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</si>
  <si>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</si>
  <si>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</si>
  <si>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</si>
  <si>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</si>
  <si>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</si>
  <si>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</si>
  <si>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</si>
  <si>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</si>
  <si>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</si>
  <si>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</si>
  <si>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</si>
  <si>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</si>
  <si>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</si>
  <si>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</si>
  <si>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</si>
  <si>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</si>
  <si>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</si>
  <si>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</si>
  <si>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</si>
  <si>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</si>
  <si>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</si>
  <si>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</si>
  <si>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</si>
  <si>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</si>
  <si>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</si>
  <si>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</si>
  <si>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</si>
  <si>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</si>
  <si>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</si>
  <si>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</si>
  <si>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</si>
  <si>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</si>
  <si>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</si>
  <si>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</si>
  <si>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</si>
  <si>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</si>
  <si>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</si>
  <si>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</si>
  <si>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</si>
  <si>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</si>
  <si>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</si>
  <si>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</si>
  <si>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</si>
  <si>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</si>
  <si>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</si>
  <si>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</si>
  <si>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</si>
  <si>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</si>
  <si>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</si>
  <si>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</si>
  <si>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</si>
  <si>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</si>
  <si>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</si>
  <si>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</si>
  <si>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</si>
  <si>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</si>
  <si>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</si>
  <si>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</si>
  <si>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</si>
  <si>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</si>
  <si>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</si>
  <si>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</si>
  <si>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</si>
  <si>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</si>
  <si>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</si>
  <si>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</si>
  <si>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</si>
  <si>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</si>
  <si>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</si>
  <si>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</si>
  <si>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</si>
  <si>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</si>
  <si>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</si>
  <si>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</si>
  <si>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</si>
  <si>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</si>
  <si>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</si>
  <si>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</si>
  <si>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</si>
  <si>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</si>
  <si>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</si>
  <si>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</si>
  <si>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</si>
  <si>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</si>
  <si>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</si>
  <si>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</si>
  <si>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</si>
  <si>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</si>
  <si>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</si>
  <si>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</si>
  <si>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</si>
  <si>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</si>
  <si>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</si>
  <si>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</si>
  <si>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</si>
  <si>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</si>
  <si>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</si>
  <si>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</si>
  <si>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</si>
  <si>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</si>
  <si>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</si>
  <si>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</si>
  <si>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</si>
  <si>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</si>
  <si>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</si>
  <si>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</si>
  <si>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</si>
  <si>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</si>
  <si>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</si>
  <si>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</si>
  <si>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</si>
  <si>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</si>
  <si>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</si>
  <si>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</si>
  <si>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</si>
  <si>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</si>
  <si>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</si>
  <si>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</si>
  <si>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</si>
  <si>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</si>
  <si>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</si>
  <si>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</si>
  <si>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</si>
  <si>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</si>
  <si>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</si>
  <si>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</si>
  <si>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</si>
  <si>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</si>
  <si>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</si>
  <si>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</si>
  <si>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</si>
  <si>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</si>
  <si>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</si>
  <si>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</si>
  <si>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</si>
  <si>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</si>
  <si>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</si>
  <si>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</si>
  <si>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</si>
  <si>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</si>
  <si>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</si>
  <si>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</si>
  <si>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</si>
  <si>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</si>
  <si>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</si>
  <si>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</si>
  <si>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</si>
  <si>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</si>
  <si>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</si>
  <si>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</si>
  <si>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</si>
  <si>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</si>
  <si>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</si>
  <si>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</si>
  <si>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</si>
  <si>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</si>
  <si>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</si>
  <si>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</si>
  <si>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</si>
  <si>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</si>
  <si>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</si>
  <si>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</si>
  <si>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</si>
  <si>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</si>
  <si>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</si>
  <si>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</si>
  <si>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</si>
  <si>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</si>
  <si>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</si>
  <si>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</si>
  <si>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</si>
  <si>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</si>
  <si>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</si>
  <si>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</si>
  <si>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</si>
  <si>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</si>
  <si>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</si>
  <si>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</si>
  <si>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</si>
  <si>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</si>
  <si>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</si>
  <si>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</si>
  <si>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</si>
  <si>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</si>
  <si>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</si>
  <si>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</si>
  <si>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</si>
  <si>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</si>
  <si>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</si>
  <si>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</si>
  <si>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</si>
  <si>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</si>
  <si>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</si>
  <si>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</si>
  <si>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</si>
  <si>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</si>
  <si>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</si>
  <si>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</si>
  <si>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</si>
  <si>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</si>
  <si>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</si>
  <si>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</si>
  <si>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</si>
  <si>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</si>
  <si>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</si>
  <si>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</si>
  <si>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</si>
  <si>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</si>
  <si>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</si>
  <si>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</si>
  <si>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</si>
  <si>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</si>
  <si>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</si>
  <si>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</si>
  <si>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</si>
  <si>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</si>
  <si>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</si>
  <si>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</si>
  <si>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</si>
  <si>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</si>
  <si>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</si>
  <si>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</si>
  <si>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</si>
  <si>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</si>
  <si>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</si>
  <si>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</si>
  <si>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</si>
  <si>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</si>
  <si>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</si>
  <si>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</si>
  <si>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</si>
  <si>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</si>
  <si>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</si>
  <si>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</si>
  <si>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</si>
  <si>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</si>
  <si>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</si>
  <si>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</si>
  <si>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</si>
  <si>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</si>
  <si>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</si>
  <si>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</si>
  <si>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</si>
  <si>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</si>
  <si>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</si>
  <si>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</si>
  <si>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</si>
  <si>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</si>
  <si>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</si>
  <si>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</si>
  <si>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</si>
  <si>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</si>
  <si>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</si>
  <si>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</si>
  <si>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</si>
  <si>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</si>
  <si>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</si>
  <si>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</si>
  <si>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</si>
  <si>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</si>
  <si>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</si>
  <si>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</si>
  <si>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</si>
  <si>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</si>
  <si>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</si>
  <si>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</si>
  <si>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</si>
  <si>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</si>
  <si>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</si>
  <si>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</si>
  <si>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</si>
  <si>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</si>
  <si>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</si>
  <si>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</si>
  <si>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</si>
  <si>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</si>
  <si>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</si>
  <si>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</si>
  <si>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</si>
  <si>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</si>
  <si>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</si>
  <si>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</si>
  <si>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</si>
  <si>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</si>
  <si>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</si>
  <si>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</si>
  <si>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</si>
  <si>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</si>
  <si>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</si>
  <si>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</si>
  <si>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</si>
  <si>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</si>
  <si>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</si>
  <si>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</si>
  <si>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</si>
  <si>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</si>
  <si>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</si>
  <si>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</si>
  <si>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</si>
  <si>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</si>
  <si>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</si>
  <si>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</si>
  <si>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</si>
  <si>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</si>
  <si>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</si>
  <si>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</si>
  <si>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</si>
  <si>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</si>
  <si>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</si>
  <si>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</si>
  <si>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</si>
  <si>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</si>
  <si>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</si>
  <si>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</si>
  <si>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</si>
  <si>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</si>
  <si>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</si>
  <si>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</si>
  <si>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</si>
  <si>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</si>
  <si>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</si>
  <si>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</si>
  <si>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</si>
  <si>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</si>
  <si>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</si>
  <si>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</si>
  <si>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</si>
  <si>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</si>
  <si>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</si>
  <si>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</si>
  <si>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</si>
  <si>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</si>
  <si>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</si>
  <si>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</si>
  <si>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</si>
  <si>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</si>
  <si>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</si>
  <si>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</si>
  <si>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</si>
  <si>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</si>
  <si>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</si>
  <si>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</si>
  <si>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</si>
  <si>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</si>
  <si>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</si>
  <si>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</si>
  <si>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</si>
  <si>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</si>
  <si>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</si>
  <si>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</si>
  <si>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</si>
  <si>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</si>
  <si>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</si>
  <si>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</si>
  <si>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</si>
  <si>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</si>
  <si>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</si>
  <si>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</si>
  <si>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</si>
  <si>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</si>
  <si>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</si>
  <si>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</si>
  <si>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</si>
  <si>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</si>
  <si>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</si>
  <si>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</si>
  <si>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</si>
  <si>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</si>
  <si>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</si>
  <si>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</si>
  <si>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</si>
  <si>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</si>
  <si>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</si>
  <si>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</si>
  <si>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</si>
  <si>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</si>
  <si>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</si>
  <si>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</si>
  <si>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</si>
  <si>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</si>
  <si>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</si>
  <si>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</si>
  <si>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</si>
  <si>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</si>
  <si>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</si>
  <si>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</si>
  <si>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</si>
  <si>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</si>
  <si>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</si>
  <si>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</si>
  <si>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</si>
  <si>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</si>
  <si>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</si>
  <si>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</si>
  <si>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</si>
  <si>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</si>
  <si>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</si>
  <si>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</si>
  <si>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</si>
  <si>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</si>
  <si>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</si>
  <si>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</si>
  <si>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</si>
  <si>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</si>
  <si>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</si>
  <si>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</si>
  <si>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</si>
  <si>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</si>
  <si>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</si>
  <si>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</si>
  <si>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</si>
  <si>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</si>
  <si>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</si>
  <si>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</si>
  <si>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</si>
  <si>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</si>
  <si>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</si>
  <si>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</si>
  <si>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</si>
  <si>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</si>
  <si>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</si>
  <si>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</si>
  <si>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</si>
  <si>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</si>
  <si>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</si>
  <si>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</si>
  <si>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</si>
  <si>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</si>
  <si>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</si>
  <si>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</si>
  <si>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</si>
  <si>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</si>
  <si>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</si>
  <si>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</si>
  <si>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</si>
  <si>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</si>
  <si>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</si>
  <si>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</si>
  <si>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</si>
  <si>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</si>
  <si>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</si>
  <si>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</si>
  <si>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</si>
  <si>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</si>
  <si>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</si>
  <si>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</si>
  <si>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</si>
  <si>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</si>
  <si>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</si>
  <si>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</si>
  <si>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</si>
  <si>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</si>
  <si>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</si>
  <si>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</si>
  <si>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</si>
  <si>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</si>
  <si>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</si>
  <si>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</si>
  <si>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</si>
  <si>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</si>
  <si>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</si>
  <si>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</si>
  <si>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</si>
  <si>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</si>
  <si>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</si>
  <si>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</si>
  <si>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</si>
  <si>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</si>
  <si>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</si>
  <si>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</si>
  <si>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</si>
  <si>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</si>
  <si>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</si>
  <si>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</si>
  <si>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</si>
  <si>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</si>
  <si>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</si>
  <si>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</si>
  <si>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</si>
  <si>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</si>
  <si>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</si>
  <si>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</si>
  <si>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</si>
  <si>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</si>
  <si>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</si>
  <si>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</si>
  <si>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</si>
  <si>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</si>
  <si>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</si>
  <si>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</si>
  <si>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</si>
  <si>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</si>
  <si>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</si>
  <si>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</si>
  <si>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</si>
  <si>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</si>
  <si>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</si>
  <si>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</si>
  <si>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</si>
  <si>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</si>
  <si>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</si>
  <si>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</si>
  <si>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</si>
  <si>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</si>
  <si>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</si>
  <si>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</si>
  <si>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</si>
  <si>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</si>
  <si>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</si>
  <si>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</si>
  <si>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</si>
  <si>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</si>
  <si>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</si>
  <si>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</si>
  <si>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</si>
  <si>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</si>
  <si>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</si>
  <si>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</si>
  <si>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</si>
  <si>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</si>
  <si>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</si>
  <si>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</si>
  <si>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</si>
  <si>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</si>
  <si>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</si>
  <si>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</si>
  <si>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</si>
  <si>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</si>
  <si>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</si>
  <si>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</si>
  <si>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</si>
  <si>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</si>
  <si>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</si>
  <si>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</si>
  <si>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</si>
  <si>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</si>
  <si>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</si>
  <si>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</si>
  <si>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</si>
  <si>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</si>
  <si>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</si>
  <si>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</si>
  <si>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</si>
  <si>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</si>
  <si>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</si>
  <si>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</si>
  <si>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</si>
  <si>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</si>
  <si>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</si>
  <si>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</si>
  <si>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</si>
  <si>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</si>
  <si>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</si>
  <si>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</si>
  <si>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</si>
  <si>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</si>
  <si>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</si>
  <si>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</si>
  <si>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</si>
  <si>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</si>
  <si>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</si>
  <si>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</si>
  <si>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</si>
  <si>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</si>
  <si>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</si>
  <si>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</si>
  <si>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</si>
  <si>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</si>
  <si>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</si>
  <si>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</si>
  <si>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</si>
  <si>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</si>
  <si>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</si>
  <si>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</si>
  <si>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</si>
  <si>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</si>
  <si>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</si>
  <si>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</si>
  <si>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</si>
  <si>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</si>
  <si>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</si>
  <si>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</si>
  <si>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</si>
  <si>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</si>
  <si>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</si>
  <si>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</si>
  <si>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</si>
  <si>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</si>
  <si>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</si>
  <si>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</si>
  <si>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</si>
  <si>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</si>
  <si>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</si>
  <si>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</si>
  <si>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</si>
  <si>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</si>
  <si>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</si>
  <si>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</si>
  <si>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</si>
  <si>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</si>
  <si>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</si>
  <si>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</si>
  <si>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</si>
  <si>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</si>
  <si>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</si>
  <si>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</si>
  <si>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</si>
  <si>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</si>
  <si>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</si>
  <si>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</si>
  <si>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</si>
  <si>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</si>
  <si>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</si>
  <si>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</si>
  <si>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</si>
  <si>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</si>
  <si>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</si>
  <si>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</si>
  <si>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</si>
  <si>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</si>
  <si>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</si>
  <si>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</si>
  <si>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</si>
  <si>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</si>
  <si>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</si>
  <si>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</si>
  <si>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</si>
  <si>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</si>
  <si>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</si>
  <si>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</si>
  <si>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</si>
  <si>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</si>
  <si>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</si>
  <si>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</si>
  <si>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</si>
  <si>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</si>
  <si>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</si>
  <si>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</si>
  <si>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</si>
  <si>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</si>
  <si>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</si>
  <si>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</si>
  <si>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</si>
  <si>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</si>
  <si>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</si>
  <si>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</si>
  <si>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</si>
  <si>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</si>
  <si>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</si>
  <si>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</si>
  <si>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</si>
  <si>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</si>
  <si>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</si>
  <si>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</si>
  <si>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</si>
  <si>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</si>
  <si>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</si>
  <si>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</si>
  <si>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</si>
  <si>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</si>
  <si>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</si>
  <si>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</si>
  <si>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</si>
  <si>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</si>
  <si>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</si>
  <si>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</si>
  <si>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</si>
  <si>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</si>
  <si>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</si>
  <si>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</si>
  <si>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</si>
  <si>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</si>
  <si>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</si>
  <si>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</si>
  <si>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</si>
  <si>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</si>
  <si>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</si>
  <si>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</si>
  <si>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</si>
  <si>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</si>
  <si>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</si>
  <si>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</si>
  <si>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</si>
  <si>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</si>
  <si>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</si>
  <si>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</si>
  <si>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</si>
  <si>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</si>
  <si>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</si>
  <si>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</si>
  <si>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</si>
  <si>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</si>
  <si>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</si>
  <si>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</si>
  <si>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</si>
  <si>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</si>
  <si>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</si>
  <si>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</si>
  <si>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</si>
  <si>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</si>
  <si>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</si>
  <si>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</si>
  <si>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</si>
  <si>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</si>
  <si>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</si>
  <si>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</si>
  <si>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</si>
  <si>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</si>
  <si>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</si>
  <si>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</si>
  <si>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</si>
  <si>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</si>
  <si>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</si>
  <si>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</si>
  <si>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</si>
  <si>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</si>
  <si>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</si>
  <si>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</si>
  <si>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</si>
  <si>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</si>
  <si>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</si>
  <si>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</si>
  <si>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</si>
  <si>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</si>
  <si>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</si>
  <si>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</si>
  <si>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</si>
  <si>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</si>
  <si>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</si>
  <si>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</si>
  <si>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</si>
  <si>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</si>
  <si>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</si>
  <si>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</si>
  <si>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</si>
  <si>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</si>
  <si>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</si>
  <si>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</si>
  <si>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</si>
  <si>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</si>
  <si>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</si>
  <si>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</si>
  <si>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</si>
  <si>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</si>
  <si>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</si>
  <si>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</si>
  <si>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</si>
  <si>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</si>
  <si>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</si>
  <si>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</si>
  <si>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</si>
  <si>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</si>
  <si>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</si>
  <si>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</si>
  <si>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</si>
  <si>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</si>
  <si>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</si>
  <si>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</si>
  <si>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</si>
  <si>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</si>
  <si>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</si>
  <si>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</si>
  <si>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</si>
  <si>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</si>
  <si>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</si>
  <si>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</si>
  <si>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</si>
  <si>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</si>
  <si>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</si>
  <si>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</si>
  <si>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</si>
  <si>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</si>
  <si>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</si>
  <si>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</si>
  <si>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</si>
  <si>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</si>
  <si>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</si>
  <si>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</si>
  <si>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</si>
  <si>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</si>
  <si>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</si>
  <si>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</si>
  <si>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</si>
  <si>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</si>
  <si>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</si>
  <si>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</si>
  <si>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</si>
  <si>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</si>
  <si>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</si>
  <si>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</si>
  <si>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</si>
  <si>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</si>
  <si>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</si>
  <si>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</si>
  <si>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</si>
  <si>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</si>
  <si>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</si>
  <si>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</si>
  <si>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</si>
  <si>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</si>
  <si>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</si>
  <si>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</si>
  <si>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</si>
  <si>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</si>
  <si>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</si>
  <si>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</si>
  <si>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</si>
  <si>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</si>
  <si>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</si>
  <si>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</si>
  <si>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</si>
  <si>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</si>
  <si>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</si>
  <si>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</si>
  <si>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</si>
  <si>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</si>
  <si>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</si>
  <si>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</si>
  <si>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</si>
  <si>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</si>
  <si>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</si>
  <si>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</si>
  <si>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</si>
  <si>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</si>
  <si>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</si>
  <si>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</si>
  <si>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</si>
  <si>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</si>
  <si>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</si>
  <si>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</si>
  <si>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</si>
  <si>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</si>
  <si>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</si>
  <si>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</si>
  <si>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</si>
  <si>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</si>
  <si>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</si>
  <si>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</si>
  <si>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</si>
  <si>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</si>
  <si>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</si>
  <si>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</si>
  <si>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</si>
  <si>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</si>
  <si>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</si>
  <si>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</si>
  <si>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</si>
  <si>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</si>
  <si>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</si>
  <si>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</si>
  <si>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</si>
  <si>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</si>
  <si>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</si>
  <si>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</si>
  <si>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</si>
  <si>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</si>
  <si>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</si>
  <si>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</si>
  <si>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</si>
  <si>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</si>
  <si>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</si>
  <si>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</si>
  <si>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</si>
  <si>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</si>
  <si>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</si>
  <si>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</si>
  <si>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</si>
  <si>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</si>
  <si>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</si>
  <si>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</si>
  <si>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</si>
  <si>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</si>
  <si>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</si>
  <si>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</si>
  <si>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</si>
  <si>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</si>
  <si>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</si>
  <si>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</si>
  <si>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</si>
  <si>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</si>
  <si>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</si>
  <si>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</si>
  <si>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</si>
  <si>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</si>
  <si>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</si>
  <si>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</si>
  <si>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</si>
  <si>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</si>
  <si>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</si>
  <si>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</si>
  <si>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</si>
  <si>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</si>
  <si>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</si>
  <si>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</si>
  <si>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</si>
  <si>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</si>
  <si>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</si>
  <si>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</si>
  <si>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</si>
  <si>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</si>
  <si>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</si>
  <si>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</si>
  <si>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</si>
  <si>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</si>
  <si>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</si>
  <si>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</si>
  <si>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</si>
  <si>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</si>
  <si>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</si>
  <si>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</si>
  <si>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</si>
  <si>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</si>
  <si>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</si>
  <si>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</si>
  <si>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</si>
  <si>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</si>
  <si>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</si>
  <si>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</si>
  <si>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</si>
  <si>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</si>
  <si>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</si>
  <si>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</si>
  <si>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</si>
  <si>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</si>
  <si>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</si>
  <si>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</si>
  <si>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</si>
  <si>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</si>
  <si>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</si>
  <si>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</si>
  <si>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</si>
  <si>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</si>
  <si>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</si>
  <si>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</si>
  <si>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</si>
  <si>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</si>
  <si>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</si>
  <si>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</si>
  <si>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</si>
  <si>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</si>
  <si>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</si>
  <si>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</si>
  <si>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</si>
  <si>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</si>
  <si>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</si>
  <si>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</si>
  <si>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</si>
  <si>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</si>
  <si>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</si>
  <si>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</si>
  <si>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</si>
  <si>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</si>
  <si>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</si>
  <si>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</si>
  <si>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</si>
  <si>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</si>
  <si>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</si>
  <si>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</si>
  <si>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</si>
  <si>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</si>
  <si>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</si>
  <si>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</si>
  <si>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</si>
  <si>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</si>
  <si>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</si>
  <si>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</si>
  <si>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</si>
  <si>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</si>
  <si>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</si>
  <si>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</si>
  <si>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</si>
  <si>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</si>
  <si>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</si>
  <si>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</si>
  <si>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</si>
  <si>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</si>
  <si>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</si>
  <si>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</si>
  <si>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</si>
  <si>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</si>
  <si>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</si>
  <si>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</si>
  <si>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</si>
  <si>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</si>
  <si>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</si>
  <si>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</si>
  <si>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</si>
  <si>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</si>
  <si>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</si>
  <si>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</si>
  <si>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</si>
  <si>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</si>
  <si>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</si>
  <si>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</si>
  <si>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</si>
  <si>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</si>
  <si>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</si>
  <si>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</si>
  <si>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</si>
  <si>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</si>
  <si>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</si>
  <si>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</si>
  <si>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</si>
  <si>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</si>
  <si>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</si>
  <si>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</si>
  <si>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</si>
  <si>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</si>
  <si>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</si>
  <si>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</si>
  <si>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</si>
  <si>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</si>
  <si>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</si>
  <si>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</si>
  <si>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</si>
  <si>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</si>
  <si>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</si>
  <si>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</si>
  <si>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</si>
  <si>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</si>
  <si>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</si>
  <si>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</si>
  <si>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</si>
  <si>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</si>
  <si>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</si>
  <si>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</si>
  <si>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</si>
  <si>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</si>
  <si>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</si>
  <si>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</si>
  <si>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</si>
  <si>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</si>
  <si>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</si>
  <si>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</si>
  <si>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</si>
  <si>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</si>
  <si>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</si>
  <si>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</si>
  <si>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</si>
  <si>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</si>
  <si>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</si>
  <si>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</si>
  <si>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</si>
  <si>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</si>
  <si>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</si>
  <si>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</si>
  <si>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</si>
  <si>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</si>
  <si>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</si>
  <si>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</si>
  <si>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</si>
  <si>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</si>
  <si>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</si>
  <si>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</si>
  <si>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</si>
  <si>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</si>
  <si>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</si>
  <si>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</si>
  <si>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</si>
  <si>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</si>
  <si>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</si>
  <si>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</si>
  <si>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</si>
  <si>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</si>
  <si>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</si>
  <si>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</si>
  <si>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</si>
  <si>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</si>
  <si>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</si>
  <si>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</si>
  <si>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</si>
  <si>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</si>
  <si>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</si>
  <si>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</si>
  <si>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</si>
  <si>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</si>
  <si>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</si>
  <si>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</si>
  <si>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</si>
  <si>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</si>
  <si>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</si>
  <si>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</si>
  <si>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</si>
  <si>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</si>
  <si>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</si>
  <si>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</si>
  <si>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</si>
  <si>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</si>
  <si>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</si>
  <si>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</si>
  <si>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</si>
  <si>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</si>
  <si>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</si>
  <si>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</si>
  <si>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</si>
  <si>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</si>
  <si>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</si>
  <si>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</si>
  <si>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</si>
  <si>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</si>
  <si>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</si>
  <si>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</si>
  <si>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</si>
  <si>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</si>
  <si>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</si>
  <si>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</si>
  <si>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</si>
  <si>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</si>
  <si>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</si>
  <si>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</si>
  <si>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</si>
  <si>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</si>
  <si>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</si>
  <si>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</si>
  <si>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</si>
  <si>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</si>
  <si>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</si>
  <si>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</si>
  <si>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</si>
  <si>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</si>
  <si>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</si>
  <si>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</si>
  <si>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</si>
  <si>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</si>
  <si>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</si>
  <si>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</si>
  <si>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</si>
  <si>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</si>
  <si>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</si>
  <si>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</si>
  <si>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</si>
  <si>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</si>
  <si>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</si>
  <si>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</si>
  <si>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</si>
  <si>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</si>
  <si>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</si>
  <si>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</si>
  <si>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</si>
  <si>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</si>
  <si>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</si>
  <si>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</si>
  <si>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</si>
  <si>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</si>
  <si>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</si>
  <si>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</si>
  <si>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</si>
  <si>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</si>
  <si>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</si>
  <si>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</si>
  <si>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</si>
  <si>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</si>
  <si>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</si>
  <si>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</si>
  <si>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</si>
  <si>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</si>
  <si>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</si>
  <si>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</si>
  <si>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</si>
  <si>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</si>
  <si>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</si>
  <si>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</si>
  <si>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</si>
  <si>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</si>
  <si>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</si>
  <si>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</si>
  <si>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</si>
  <si>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</si>
  <si>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</si>
  <si>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</si>
  <si>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</si>
  <si>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</si>
  <si>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</si>
  <si>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</si>
  <si>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</si>
  <si>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</si>
  <si>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</si>
  <si>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</si>
  <si>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</si>
  <si>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</si>
  <si>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</si>
  <si>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</si>
  <si>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</si>
  <si>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</si>
  <si>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</si>
  <si>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</si>
  <si>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</si>
  <si>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</si>
  <si>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</si>
  <si>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</si>
  <si>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</si>
  <si>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</si>
  <si>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</si>
  <si>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</si>
  <si>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</si>
  <si>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</si>
  <si>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</si>
  <si>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</si>
  <si>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</si>
  <si>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</si>
  <si>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</si>
  <si>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</si>
  <si>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</si>
  <si>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</si>
  <si>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</si>
  <si>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</si>
  <si>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</si>
  <si>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</si>
  <si>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</si>
  <si>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</si>
  <si>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</si>
  <si>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</si>
  <si>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</si>
  <si>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</si>
  <si>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</si>
  <si>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</si>
  <si>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</si>
  <si>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</si>
  <si>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</si>
  <si>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</si>
  <si>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</si>
  <si>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</si>
  <si>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</si>
  <si>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</si>
  <si>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</si>
  <si>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</si>
  <si>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</si>
  <si>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</si>
  <si>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</si>
  <si>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</si>
  <si>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</si>
  <si>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</si>
  <si>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</si>
  <si>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</si>
  <si>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</si>
  <si>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</si>
  <si>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</si>
  <si>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</si>
  <si>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</si>
  <si>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</si>
  <si>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</si>
  <si>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</si>
  <si>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</si>
  <si>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</si>
  <si>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</si>
  <si>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</si>
  <si>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</si>
  <si>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</si>
  <si>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</si>
  <si>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</si>
  <si>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</si>
  <si>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</si>
  <si>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</si>
  <si>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</si>
  <si>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</si>
  <si>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</si>
  <si>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</si>
  <si>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</si>
  <si>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</si>
  <si>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</si>
  <si>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</si>
  <si>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</si>
  <si>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</si>
  <si>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</si>
  <si>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</si>
  <si>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</si>
  <si>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</si>
  <si>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</si>
  <si>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</si>
  <si>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</si>
  <si>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</si>
  <si>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</si>
  <si>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</si>
  <si>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</si>
  <si>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</si>
  <si>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</si>
  <si>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</si>
  <si>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</si>
  <si>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</si>
  <si>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</si>
  <si>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</si>
  <si>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</si>
  <si>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</si>
  <si>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</si>
  <si>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</si>
  <si>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</si>
  <si>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</si>
  <si>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</si>
  <si>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</si>
  <si>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</si>
  <si>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</si>
  <si>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</si>
  <si>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</si>
  <si>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</si>
  <si>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</si>
  <si>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</si>
  <si>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</si>
  <si>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</si>
  <si>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</si>
  <si>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</si>
  <si>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</si>
  <si>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</si>
  <si>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</si>
  <si>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</si>
  <si>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</si>
  <si>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</si>
  <si>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</si>
  <si>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</si>
  <si>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</si>
  <si>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</si>
  <si>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</si>
  <si>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</si>
  <si>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</si>
  <si>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</si>
  <si>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</si>
  <si>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</si>
  <si>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</si>
  <si>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</si>
  <si>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</si>
  <si>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</si>
  <si>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</si>
  <si>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</si>
  <si>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</si>
  <si>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</si>
  <si>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</si>
  <si>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</si>
  <si>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</si>
  <si>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</si>
  <si>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</si>
  <si>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</si>
  <si>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</si>
  <si>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</si>
  <si>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</si>
  <si>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</si>
  <si>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</si>
  <si>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</si>
  <si>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</si>
  <si>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</si>
  <si>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</si>
  <si>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</si>
  <si>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</si>
  <si>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</si>
  <si>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</si>
  <si>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</si>
  <si>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</si>
  <si>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</si>
  <si>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</si>
  <si>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</si>
  <si>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</si>
  <si>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</si>
  <si>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</si>
  <si>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</si>
  <si>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</si>
  <si>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</si>
  <si>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</si>
  <si>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</si>
  <si>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</si>
  <si>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</si>
  <si>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</si>
  <si>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</si>
  <si>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</si>
  <si>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</si>
  <si>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</si>
  <si>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</si>
  <si>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</si>
  <si>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</si>
  <si>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</si>
  <si>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</si>
  <si>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</si>
  <si>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</si>
  <si>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</si>
  <si>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</si>
  <si>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</si>
  <si>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</si>
  <si>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</si>
  <si>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</si>
  <si>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</si>
  <si>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</si>
  <si>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</si>
  <si>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</si>
  <si>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</si>
  <si>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</si>
  <si>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</si>
  <si>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</si>
  <si>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</si>
  <si>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</si>
  <si>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</si>
  <si>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</si>
  <si>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</si>
  <si>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</si>
  <si>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</si>
  <si>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</si>
  <si>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</si>
  <si>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</si>
  <si>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</si>
  <si>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</si>
  <si>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</si>
  <si>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</si>
  <si>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</si>
  <si>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</si>
  <si>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</si>
  <si>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</si>
  <si>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</si>
  <si>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</si>
  <si>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</si>
  <si>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</si>
  <si>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</si>
  <si>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</si>
  <si>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</si>
  <si>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</si>
  <si>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</si>
  <si>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</si>
  <si>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</si>
  <si>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</si>
  <si>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</si>
  <si>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</si>
  <si>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</si>
  <si>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</si>
  <si>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</si>
  <si>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</si>
  <si>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</si>
  <si>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</si>
  <si>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</si>
  <si>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</si>
  <si>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</si>
  <si>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</si>
  <si>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</si>
  <si>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</si>
  <si>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</si>
  <si>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</si>
  <si>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</si>
  <si>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</si>
  <si>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</si>
  <si>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</si>
  <si>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</si>
  <si>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</si>
  <si>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</si>
  <si>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</si>
  <si>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</si>
  <si>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</si>
  <si>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</si>
  <si>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</si>
  <si>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</si>
  <si>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</si>
  <si>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</si>
  <si>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</si>
  <si>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</si>
  <si>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</si>
  <si>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</si>
  <si>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</si>
  <si>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</si>
  <si>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</si>
  <si>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</si>
  <si>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</si>
  <si>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</si>
  <si>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</si>
  <si>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</si>
  <si>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</si>
  <si>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</si>
  <si>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</si>
  <si>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</si>
  <si>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</si>
  <si>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</si>
  <si>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</si>
  <si>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</si>
  <si>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</si>
  <si>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</si>
  <si>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</si>
  <si>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</si>
  <si>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</si>
  <si>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</si>
  <si>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</si>
  <si>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</si>
  <si>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</si>
  <si>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</si>
  <si>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</si>
  <si>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</si>
  <si>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</si>
  <si>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</si>
  <si>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</si>
  <si>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</si>
  <si>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</si>
  <si>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</si>
  <si>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</si>
  <si>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</si>
  <si>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</si>
  <si>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</si>
  <si>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</si>
  <si>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</si>
  <si>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</si>
  <si>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</si>
  <si>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</si>
  <si>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</si>
  <si>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</si>
  <si>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</si>
  <si>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</si>
  <si>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</si>
  <si>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</si>
  <si>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</si>
  <si>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</si>
  <si>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</si>
  <si>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</si>
  <si>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</si>
  <si>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</si>
  <si>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</si>
  <si>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</si>
  <si>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</si>
  <si>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</si>
  <si>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</si>
  <si>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</si>
  <si>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</si>
  <si>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</si>
  <si>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</si>
  <si>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</si>
  <si>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</si>
  <si>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</si>
  <si>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</si>
  <si>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</si>
  <si>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</si>
  <si>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</si>
  <si>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</si>
  <si>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</si>
  <si>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</si>
  <si>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</si>
  <si>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</si>
  <si>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</si>
  <si>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</si>
  <si>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</si>
  <si>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</si>
  <si>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</si>
  <si>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</si>
  <si>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</si>
  <si>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</si>
  <si>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</si>
  <si>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</si>
  <si>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</si>
  <si>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</si>
  <si>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</si>
  <si>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</si>
  <si>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</si>
  <si>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</si>
  <si>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</si>
  <si>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</si>
  <si>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</si>
  <si>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</si>
  <si>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</si>
  <si>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</si>
  <si>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</si>
  <si>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</si>
  <si>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</si>
  <si>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</si>
  <si>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</si>
  <si>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</si>
  <si>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</si>
  <si>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</si>
  <si>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</si>
  <si>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</si>
  <si>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</si>
  <si>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</si>
  <si>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</si>
  <si>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</si>
  <si>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</si>
  <si>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</si>
  <si>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</si>
  <si>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</si>
  <si>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</si>
  <si>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</si>
  <si>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</si>
  <si>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</si>
  <si>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</si>
  <si>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</si>
  <si>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</si>
  <si>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</si>
  <si>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</si>
  <si>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</si>
  <si>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</si>
  <si>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</si>
  <si>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</si>
  <si>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</si>
  <si>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</si>
  <si>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</si>
  <si>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</si>
  <si>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</si>
  <si>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</si>
  <si>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</si>
  <si>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</si>
  <si>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</si>
  <si>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</si>
  <si>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</si>
  <si>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</si>
  <si>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</si>
  <si>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</si>
  <si>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</si>
  <si>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</si>
  <si>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</si>
  <si>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</si>
  <si>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</si>
  <si>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</si>
  <si>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</si>
  <si>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</si>
  <si>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</si>
  <si>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</si>
  <si>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</si>
  <si>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</si>
  <si>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</si>
  <si>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</si>
  <si>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</si>
  <si>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</si>
  <si>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</si>
  <si>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</si>
  <si>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</si>
  <si>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</si>
  <si>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</si>
  <si>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</si>
  <si>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</si>
  <si>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</si>
  <si>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</si>
  <si>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</si>
  <si>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</si>
  <si>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</si>
  <si>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</si>
  <si>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</si>
  <si>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</si>
  <si>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</si>
  <si>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</si>
  <si>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</si>
  <si>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</si>
  <si>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</si>
  <si>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</si>
  <si>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</si>
  <si>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</si>
  <si>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</si>
  <si>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</si>
  <si>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</si>
  <si>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</si>
  <si>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</si>
  <si>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</si>
  <si>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</si>
  <si>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</si>
  <si>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</si>
  <si>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</si>
  <si>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</si>
  <si>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</si>
  <si>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</si>
  <si>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</si>
  <si>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</si>
  <si>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</si>
  <si>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</si>
  <si>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</si>
  <si>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</si>
  <si>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</si>
  <si>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</si>
  <si>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</si>
  <si>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</si>
  <si>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</si>
  <si>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</si>
  <si>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</si>
  <si>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</si>
  <si>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</si>
  <si>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</si>
  <si>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</si>
  <si>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</si>
  <si>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</si>
  <si>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</si>
  <si>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</si>
  <si>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</si>
  <si>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</si>
  <si>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</si>
  <si>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</si>
  <si>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</si>
  <si>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</si>
  <si>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</si>
  <si>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</si>
  <si>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</si>
  <si>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</si>
  <si>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</si>
  <si>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</si>
  <si>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</si>
  <si>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</si>
  <si>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</si>
  <si>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</si>
  <si>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</si>
  <si>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</si>
  <si>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</si>
  <si>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</si>
  <si>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</si>
  <si>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</si>
  <si>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</si>
  <si>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</si>
  <si>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</si>
  <si>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</si>
  <si>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</si>
  <si>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</si>
  <si>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</si>
  <si>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</si>
  <si>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</si>
  <si>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</si>
  <si>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</si>
  <si>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</si>
  <si>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</si>
  <si>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</si>
  <si>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</si>
  <si>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</si>
  <si>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</si>
  <si>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</si>
  <si>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</si>
  <si>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</si>
  <si>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</si>
  <si>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</si>
  <si>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</si>
  <si>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</si>
  <si>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</si>
  <si>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</si>
  <si>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</si>
  <si>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</si>
  <si>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</si>
  <si>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</si>
  <si>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</si>
  <si>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</si>
  <si>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</si>
  <si>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</si>
  <si>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</si>
  <si>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</si>
  <si>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</si>
  <si>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</si>
  <si>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</si>
  <si>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</si>
  <si>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</si>
  <si>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</si>
  <si>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</si>
  <si>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</si>
  <si>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</si>
  <si>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</si>
  <si>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</si>
  <si>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</si>
  <si>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</si>
  <si>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</si>
  <si>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</si>
  <si>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</si>
  <si>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</si>
  <si>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</si>
  <si>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</si>
  <si>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</si>
  <si>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</si>
  <si>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</si>
  <si>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</si>
  <si>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</si>
  <si>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</si>
  <si>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</si>
  <si>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</si>
  <si>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</si>
  <si>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</si>
  <si>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</si>
  <si>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</si>
  <si>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</si>
  <si>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</si>
  <si>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</si>
  <si>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</si>
  <si>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</si>
  <si>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</si>
  <si>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</si>
  <si>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</si>
  <si>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</si>
  <si>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</si>
  <si>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</si>
  <si>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</si>
  <si>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</si>
  <si>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</si>
  <si>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</si>
  <si>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</si>
  <si>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</si>
  <si>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</si>
  <si>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</si>
  <si>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</si>
  <si>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</si>
  <si>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</si>
  <si>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</si>
  <si>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</si>
  <si>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</si>
  <si>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</si>
  <si>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</si>
  <si>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</si>
  <si>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</si>
  <si>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</si>
  <si>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</si>
  <si>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</si>
  <si>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</si>
  <si>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</si>
  <si>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</si>
  <si>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</si>
  <si>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</si>
  <si>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</si>
  <si>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</si>
  <si>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</si>
  <si>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</si>
  <si>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</si>
  <si>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</si>
  <si>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</si>
  <si>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</si>
  <si>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</si>
  <si>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</si>
  <si>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</si>
  <si>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</si>
  <si>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</si>
  <si>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</si>
  <si>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</si>
  <si>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</si>
  <si>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</si>
  <si>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</si>
  <si>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</si>
  <si>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</si>
  <si>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</si>
  <si>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</si>
  <si>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</si>
  <si>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</si>
  <si>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</si>
  <si>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</si>
  <si>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</si>
  <si>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</si>
  <si>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</si>
  <si>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</si>
  <si>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</si>
  <si>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</si>
  <si>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</si>
  <si>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</si>
  <si>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</si>
  <si>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</si>
  <si>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</si>
  <si>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</si>
  <si>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</si>
  <si>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</si>
  <si>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</si>
  <si>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</si>
  <si>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</si>
  <si>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</si>
  <si>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</si>
  <si>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</si>
  <si>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</si>
  <si>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</si>
  <si>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</si>
  <si>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</si>
  <si>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</si>
  <si>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</si>
  <si>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</si>
  <si>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</si>
  <si>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</si>
  <si>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</si>
  <si>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</si>
  <si>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</si>
  <si>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</si>
  <si>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</si>
  <si>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</si>
  <si>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</si>
  <si>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</si>
  <si>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</si>
  <si>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</si>
  <si>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</si>
  <si>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</si>
  <si>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</si>
  <si>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</si>
  <si>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</si>
  <si>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</si>
  <si>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</si>
  <si>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</si>
  <si>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</si>
  <si>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</si>
  <si>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</si>
  <si>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</si>
  <si>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</si>
  <si>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</si>
  <si>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</si>
  <si>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</si>
  <si>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</si>
  <si>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</si>
  <si>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</si>
  <si>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</si>
  <si>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</si>
  <si>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</si>
  <si>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</si>
  <si>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</si>
  <si>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</si>
  <si>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</si>
  <si>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</si>
  <si>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</si>
  <si>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</si>
  <si>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</si>
  <si>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</si>
  <si>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</si>
  <si>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</si>
  <si>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</si>
  <si>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</si>
  <si>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</si>
  <si>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</si>
  <si>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</si>
  <si>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</si>
  <si>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</si>
  <si>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</si>
  <si>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</si>
  <si>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</si>
  <si>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</si>
  <si>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</si>
  <si>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</si>
  <si>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</si>
  <si>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</si>
  <si>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</si>
  <si>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</si>
  <si>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</si>
  <si>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</si>
  <si>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</si>
  <si>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</si>
  <si>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</si>
  <si>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</si>
  <si>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</si>
  <si>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</si>
  <si>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</si>
  <si>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</si>
  <si>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</si>
  <si>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</si>
  <si>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</si>
  <si>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</si>
  <si>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</si>
  <si>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</si>
  <si>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</si>
  <si>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</si>
  <si>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</si>
  <si>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</si>
  <si>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</si>
  <si>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</si>
  <si>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</si>
  <si>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</si>
  <si>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</si>
  <si>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</si>
  <si>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</si>
  <si>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</si>
  <si>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</si>
  <si>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</si>
  <si>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</si>
  <si>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</si>
  <si>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</si>
  <si>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</si>
  <si>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</si>
  <si>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</si>
  <si>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</si>
  <si>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</si>
  <si>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</si>
  <si>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</si>
  <si>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</si>
  <si>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</si>
  <si>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</si>
  <si>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</si>
  <si>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</si>
  <si>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</si>
  <si>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</si>
  <si>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</si>
  <si>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</si>
  <si>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</si>
  <si>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</si>
  <si>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</si>
  <si>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</si>
  <si>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</si>
  <si>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</si>
  <si>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</si>
  <si>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</si>
  <si>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</si>
  <si>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</si>
  <si>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</si>
  <si>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</si>
  <si>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</si>
  <si>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</si>
  <si>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</si>
  <si>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</si>
  <si>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</si>
  <si>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</si>
  <si>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</si>
  <si>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</si>
  <si>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</si>
  <si>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</si>
  <si>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</si>
  <si>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</si>
  <si>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</si>
  <si>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</si>
  <si>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</si>
  <si>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</si>
  <si>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</si>
  <si>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</si>
  <si>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</si>
  <si>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</si>
  <si>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</si>
  <si>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</si>
  <si>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</si>
  <si>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</si>
  <si>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</si>
  <si>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</si>
  <si>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</si>
  <si>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</si>
  <si>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</si>
  <si>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</si>
  <si>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</si>
  <si>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</si>
  <si>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</si>
  <si>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</si>
  <si>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</si>
  <si>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</si>
  <si>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</si>
  <si>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</si>
  <si>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</si>
  <si>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</si>
  <si>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</si>
  <si>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</si>
  <si>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</si>
  <si>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</si>
  <si>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</si>
  <si>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</si>
  <si>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</si>
  <si>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</si>
  <si>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</si>
  <si>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</si>
  <si>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</si>
  <si>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</si>
  <si>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</si>
  <si>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</si>
  <si>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</si>
  <si>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</si>
  <si>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</si>
  <si>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</si>
  <si>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</si>
  <si>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</si>
  <si>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</si>
  <si>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</si>
  <si>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</si>
  <si>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</si>
  <si>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</si>
  <si>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</si>
  <si>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</si>
  <si>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</si>
  <si>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</si>
  <si>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</si>
  <si>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</si>
  <si>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</si>
  <si>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</si>
  <si>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</si>
  <si>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</si>
  <si>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</si>
  <si>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</si>
  <si>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</si>
  <si>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</si>
  <si>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</si>
  <si>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</si>
  <si>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</si>
  <si>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</si>
  <si>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</si>
  <si>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</si>
  <si>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</si>
  <si>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</si>
  <si>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</si>
  <si>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</si>
  <si>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</si>
  <si>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</si>
  <si>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</si>
  <si>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</si>
  <si>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</si>
  <si>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</si>
  <si>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</si>
  <si>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</si>
  <si>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</si>
  <si>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</si>
  <si>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</si>
  <si>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</si>
  <si>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</si>
  <si>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</si>
  <si>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</si>
  <si>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</si>
  <si>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</si>
  <si>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</si>
  <si>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</si>
  <si>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</si>
  <si>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</si>
  <si>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</si>
  <si>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</si>
  <si>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</si>
  <si>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</si>
  <si>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</si>
  <si>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</si>
  <si>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</si>
  <si>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</si>
  <si>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</si>
  <si>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</si>
  <si>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</si>
  <si>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</si>
  <si>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</si>
  <si>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</si>
  <si>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</si>
  <si>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</si>
  <si>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</si>
  <si>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</si>
  <si>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</si>
  <si>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</si>
  <si>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</si>
  <si>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</si>
  <si>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</si>
  <si>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</si>
  <si>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</si>
  <si>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</si>
  <si>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</si>
  <si>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</si>
  <si>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</si>
  <si>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</si>
  <si>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</si>
  <si>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</si>
  <si>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</si>
  <si>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</si>
  <si>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</si>
  <si>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</si>
  <si>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</si>
  <si>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</si>
  <si>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</si>
  <si>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</si>
  <si>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</si>
  <si>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</si>
  <si>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</si>
  <si>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</si>
  <si>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</si>
  <si>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</si>
  <si>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</si>
  <si>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</si>
  <si>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</si>
  <si>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</si>
  <si>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</si>
  <si>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</si>
  <si>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</si>
  <si>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</si>
  <si>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</si>
  <si>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</si>
  <si>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</si>
  <si>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</si>
  <si>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</si>
  <si>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</si>
  <si>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</si>
  <si>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</si>
  <si>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</si>
  <si>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</si>
  <si>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</si>
  <si>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</si>
  <si>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</si>
  <si>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</si>
  <si>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</si>
  <si>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</si>
  <si>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</si>
  <si>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</si>
  <si>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</si>
  <si>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</si>
  <si>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</si>
  <si>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</si>
  <si>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</si>
  <si>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</si>
  <si>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</si>
  <si>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</si>
  <si>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</si>
  <si>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</si>
  <si>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</si>
  <si>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</si>
  <si>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</si>
  <si>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</si>
  <si>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</si>
  <si>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</si>
  <si>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</si>
  <si>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</si>
  <si>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</si>
  <si>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</si>
  <si>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</si>
  <si>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</si>
  <si>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</si>
  <si>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</si>
  <si>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</si>
  <si>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</si>
  <si>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</si>
  <si>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</si>
  <si>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</si>
  <si>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</si>
  <si>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</si>
  <si>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</si>
  <si>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</si>
  <si>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</si>
  <si>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</si>
  <si>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</si>
  <si>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</si>
  <si>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</si>
  <si>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</si>
  <si>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</si>
  <si>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</si>
  <si>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</si>
  <si>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</si>
  <si>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</si>
  <si>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</si>
  <si>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</si>
  <si>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</si>
  <si>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</si>
  <si>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</si>
  <si>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</si>
  <si>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</si>
  <si>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</si>
  <si>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</si>
  <si>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</si>
  <si>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</si>
  <si>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</si>
  <si>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</si>
  <si>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PT BARU</t>
  </si>
  <si>
    <t>Customer Name</t>
  </si>
  <si>
    <t>$AssetType</t>
  </si>
  <si>
    <t>$AssetValue</t>
  </si>
  <si>
    <t>$AssetQuantity</t>
  </si>
  <si>
    <t>1;1</t>
  </si>
  <si>
    <t>;</t>
  </si>
  <si>
    <t>Add Asset</t>
  </si>
  <si>
    <t>panin branch</t>
  </si>
  <si>
    <t>saro</t>
  </si>
  <si>
    <t>213861294</t>
  </si>
  <si>
    <t>Year</t>
  </si>
  <si>
    <t>2021;2022</t>
  </si>
  <si>
    <t>Debit Transaction Account</t>
  </si>
  <si>
    <t>Debit</t>
  </si>
  <si>
    <t>Credit Transaction Account</t>
  </si>
  <si>
    <t>Credit</t>
  </si>
  <si>
    <t>120000;2000000</t>
  </si>
  <si>
    <t>Month</t>
  </si>
  <si>
    <t>January;February</t>
  </si>
  <si>
    <t>JL JLN</t>
  </si>
  <si>
    <t>kebon jeruk</t>
  </si>
  <si>
    <t>jakarta barat</t>
  </si>
  <si>
    <t>Motor;Rumah</t>
  </si>
  <si>
    <t>10000000;2000000000</t>
  </si>
  <si>
    <t>PT AJA</t>
  </si>
  <si>
    <t>-</t>
  </si>
  <si>
    <t>9999;77666</t>
  </si>
  <si>
    <t>FT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</si>
</sst>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0002APP20211205214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 refreshError="1" sheetId="25"/>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G23"/>
  <sheetViews>
    <sheetView topLeftCell="A4" workbookViewId="0">
      <selection activeCell="C1" sqref="B1:C2"/>
    </sheetView>
  </sheetViews>
  <sheetFormatPr defaultRowHeight="15" x14ac:dyDescent="0.25"/>
  <cols>
    <col min="1" max="1" bestFit="true" customWidth="true" width="26.42578125" collapsed="true"/>
    <col min="2" max="3" bestFit="true" customWidth="true" width="36.5703125" collapsed="true"/>
  </cols>
  <sheetData>
    <row customFormat="1" r="1" s="2" spans="1:6" x14ac:dyDescent="0.25">
      <c r="A1" s="2" t="s">
        <v>3</v>
      </c>
      <c r="B1" s="2" t="s">
        <v>2794</v>
      </c>
      <c r="C1" s="2" t="s">
        <v>2794</v>
      </c>
      <c r="D1" s="2" t="s">
        <v>2794</v>
      </c>
      <c r="E1" s="2" t="s">
        <v>2794</v>
      </c>
      <c r="F1" s="2" t="s">
        <v>2794</v>
      </c>
    </row>
    <row customFormat="1" r="2" s="2" spans="1:6" x14ac:dyDescent="0.25">
      <c r="A2" s="2" t="s">
        <v>3402</v>
      </c>
      <c r="B2" s="2" t="s">
        <v>3499</v>
      </c>
      <c r="C2" s="2" t="s">
        <v>3499</v>
      </c>
      <c r="D2" s="2" t="s">
        <v>3499</v>
      </c>
      <c r="E2" s="2" t="s">
        <v>3499</v>
      </c>
      <c r="F2" s="2" t="s">
        <v>3499</v>
      </c>
    </row>
    <row customFormat="1" r="3" s="2" spans="1:6" x14ac:dyDescent="0.25">
      <c r="A3" s="2" t="s">
        <v>3403</v>
      </c>
      <c r="B3" t="s">
        <v>3473</v>
      </c>
    </row>
    <row customFormat="1" r="4" s="2" spans="1:6" x14ac:dyDescent="0.25">
      <c r="A4" s="2" t="s">
        <v>3426</v>
      </c>
      <c r="B4" s="2">
        <f>COUNTIFS($A$14:$A$15, "*$*",B14:B15,"")+COUNTIFS($A$18, "*$*",B18,"")+COUNTIFS($A$20:$A$22, "*$*",B20:B22,"")+IF(B18="Yes",COUNTIFS($A$23, "*$*",B23,""),0)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row customFormat="1" r="11" s="43" spans="1:6" x14ac:dyDescent="0.25">
      <c r="B11" s="42"/>
      <c r="C11" s="42"/>
    </row>
    <row customFormat="1" r="12" s="2" spans="1:6" x14ac:dyDescent="0.25">
      <c r="A12" s="39" t="s">
        <v>3084</v>
      </c>
      <c r="B12" s="2" t="str">
        <f>'[1]1.TabCustomerMainData'!$B$13</f>
        <v>0002APP20211205214</v>
      </c>
    </row>
    <row customFormat="1" r="13" s="2" spans="1:6" x14ac:dyDescent="0.25">
      <c r="A13" s="39" t="s">
        <v>3085</v>
      </c>
      <c r="B13" t="s">
        <v>3370</v>
      </c>
      <c r="C13" t="s">
        <v>3498</v>
      </c>
    </row>
    <row customFormat="1" r="14" s="2" spans="1:6" x14ac:dyDescent="0.25">
      <c r="A14" s="30" t="s">
        <v>3427</v>
      </c>
      <c r="B14" s="34">
        <v>44535</v>
      </c>
      <c r="C14" s="34">
        <v>44536</v>
      </c>
    </row>
    <row customFormat="1" r="15" s="2" spans="1:6" x14ac:dyDescent="0.25">
      <c r="A15" s="30" t="s">
        <v>3428</v>
      </c>
      <c r="B15" s="1">
        <v>500</v>
      </c>
      <c r="C15" s="1">
        <v>501</v>
      </c>
    </row>
    <row customFormat="1" r="16" s="2" spans="1:6" x14ac:dyDescent="0.25">
      <c r="A16" s="1" t="s">
        <v>4</v>
      </c>
      <c r="B16" s="1"/>
      <c r="C16" s="1"/>
    </row>
    <row customFormat="1" r="17" s="2" spans="1:3" x14ac:dyDescent="0.25">
      <c r="A17" s="1" t="s">
        <v>0</v>
      </c>
      <c r="B17" s="1"/>
      <c r="C17" s="1"/>
    </row>
    <row customFormat="1" r="18" s="2" spans="1:3" x14ac:dyDescent="0.25">
      <c r="A18" s="1" t="s">
        <v>3472</v>
      </c>
      <c r="B18" s="1" t="s">
        <v>3432</v>
      </c>
      <c r="C18" s="1" t="s">
        <v>3401</v>
      </c>
    </row>
    <row customFormat="1" r="19" s="2" spans="1:3" x14ac:dyDescent="0.25">
      <c r="A19" s="1" t="s">
        <v>1</v>
      </c>
      <c r="B19" s="1"/>
      <c r="C19" s="1"/>
    </row>
    <row customFormat="1" r="20" s="2" spans="1:3" x14ac:dyDescent="0.25">
      <c r="A20" s="32" t="s">
        <v>3429</v>
      </c>
      <c r="B20" s="1" t="str">
        <f>VLOOKUP(B21,Master!$AK:$AL,2,FALSE)</f>
        <v>1119</v>
      </c>
      <c r="C20" s="1" t="str">
        <f>VLOOKUP(C21,Master!$AK:$AL,2,FALSE)</f>
        <v>1119</v>
      </c>
    </row>
    <row customFormat="1" r="21" s="2" spans="1:3" x14ac:dyDescent="0.25">
      <c r="A21" s="30" t="s">
        <v>3430</v>
      </c>
      <c r="B21" s="1" t="s">
        <v>2825</v>
      </c>
      <c r="C21" s="1" t="s">
        <v>2825</v>
      </c>
    </row>
    <row customFormat="1" r="22" s="2" spans="1:3" x14ac:dyDescent="0.25">
      <c r="A22" s="1" t="s">
        <v>3433</v>
      </c>
      <c r="B22" s="1" t="s">
        <v>2</v>
      </c>
      <c r="C22" s="1" t="s">
        <v>2</v>
      </c>
    </row>
    <row customFormat="1" r="23" s="2" spans="1:3" x14ac:dyDescent="0.25">
      <c r="A23" s="31" t="s">
        <v>3431</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workbookViewId="0">
      <selection activeCell="H22" sqref="H22"/>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6" x14ac:dyDescent="0.25">
      <c r="A1" s="2" t="s">
        <v>3</v>
      </c>
      <c r="B1" s="2" t="s">
        <v>2794</v>
      </c>
      <c r="C1" t="s">
        <v>2794</v>
      </c>
      <c r="D1" t="s">
        <v>2794</v>
      </c>
      <c r="E1" s="2" t="s">
        <v>2794</v>
      </c>
      <c r="F1" s="2" t="s">
        <v>2794</v>
      </c>
    </row>
    <row customFormat="1" r="2" s="2" spans="1:6" x14ac:dyDescent="0.25">
      <c r="A2" s="2" t="s">
        <v>3402</v>
      </c>
      <c r="B2" s="2" t="s">
        <v>3499</v>
      </c>
      <c r="C2" s="2" t="s">
        <v>3499</v>
      </c>
      <c r="D2" s="2" t="s">
        <v>3499</v>
      </c>
      <c r="E2" s="2" t="s">
        <v>3499</v>
      </c>
      <c r="F2" s="2" t="s">
        <v>3499</v>
      </c>
    </row>
    <row customFormat="1" r="3" s="2" spans="1:6" x14ac:dyDescent="0.25">
      <c r="A3" s="2" t="s">
        <v>3403</v>
      </c>
    </row>
    <row customFormat="1" r="4" s="2" spans="1:6" x14ac:dyDescent="0.25">
      <c r="A4" s="2" t="s">
        <v>3426</v>
      </c>
      <c r="B4" s="2">
        <f>IF(B13="",COUNTIFS($A$12:$A$32, "*$*",B12:B32,""),0)</f>
        <v>0</v>
      </c>
      <c r="C4" s="2">
        <f>IF(C13="",COUNTIFS($A$12:$A$32, "*$*",C12:C32,""),0)</f>
        <v>0</v>
      </c>
      <c r="D4" s="2">
        <f>IF(D13="",COUNTIFS($A$12:$A$32, "*$*",D12:D32,""),0)</f>
        <v>0</v>
      </c>
    </row>
    <row customFormat="1" r="5" s="2" spans="1:6" x14ac:dyDescent="0.25"/>
    <row customFormat="1" r="6" s="2" spans="1:6" x14ac:dyDescent="0.25"/>
    <row customFormat="1" r="7" s="2" spans="1:6" x14ac:dyDescent="0.25"/>
    <row customFormat="1" r="8" s="43" spans="1:6" x14ac:dyDescent="0.25">
      <c r="B8" s="42"/>
      <c r="C8" s="42"/>
    </row>
    <row customFormat="1" r="9" s="2" spans="1:6" x14ac:dyDescent="0.25">
      <c r="A9" s="2" t="s">
        <v>3084</v>
      </c>
      <c r="C9" s="2" t="str">
        <f>'1.CustomerDetail'!B12</f>
        <v>0002APP20211205214</v>
      </c>
      <c r="D9" s="2" t="str">
        <f>'1.CustomerDetail'!B12</f>
        <v>0002APP20211205214</v>
      </c>
    </row>
    <row customFormat="1" r="10" s="2" spans="1:6" x14ac:dyDescent="0.25">
      <c r="A10" s="2" t="s">
        <v>3474</v>
      </c>
      <c r="C10" s="2" t="str">
        <f>'1.CustomerDetail'!B13</f>
        <v>PT AJA</v>
      </c>
      <c r="D10" s="2" t="str">
        <f>'1.CustomerDetail'!B13</f>
        <v>PT AJA</v>
      </c>
    </row>
    <row customFormat="1" r="11" s="43" spans="1:6" x14ac:dyDescent="0.25">
      <c r="B11" s="42"/>
      <c r="C11" s="42"/>
    </row>
    <row customFormat="1" r="12" s="2" spans="1:6" x14ac:dyDescent="0.25">
      <c r="A12" s="30" t="s">
        <v>3415</v>
      </c>
      <c r="B12" s="2" t="s">
        <v>5</v>
      </c>
      <c r="C12" s="2" t="s">
        <v>5</v>
      </c>
      <c r="D12" s="2" t="s">
        <v>3374</v>
      </c>
    </row>
    <row customFormat="1" r="13" s="2" spans="1:6" x14ac:dyDescent="0.25">
      <c r="A13" s="2" t="s">
        <v>6</v>
      </c>
    </row>
    <row customFormat="1" r="14" s="2" spans="1:6" x14ac:dyDescent="0.25">
      <c r="A14" s="30" t="s">
        <v>3416</v>
      </c>
      <c r="B14" s="41" t="s">
        <v>3392</v>
      </c>
      <c r="C14" s="41" t="s">
        <v>3392</v>
      </c>
      <c r="D14" s="2" t="s">
        <v>3493</v>
      </c>
    </row>
    <row customFormat="1" r="15" s="2" spans="1:6" x14ac:dyDescent="0.25">
      <c r="A15" s="30" t="s">
        <v>3417</v>
      </c>
      <c r="B15" s="33">
        <v>12</v>
      </c>
      <c r="C15" s="33">
        <v>12</v>
      </c>
      <c r="D15" s="2">
        <v>2</v>
      </c>
    </row>
    <row customFormat="1" r="16" s="2" spans="1:6" x14ac:dyDescent="0.25">
      <c r="A16" s="30" t="s">
        <v>3418</v>
      </c>
      <c r="B16" s="33">
        <v>12</v>
      </c>
      <c r="C16" s="33">
        <v>12</v>
      </c>
      <c r="D16" s="2">
        <v>2</v>
      </c>
    </row>
    <row customFormat="1" r="17" s="2" spans="1:4" x14ac:dyDescent="0.25">
      <c r="A17" s="30" t="s">
        <v>3419</v>
      </c>
      <c r="B17" s="1">
        <v>40242</v>
      </c>
      <c r="C17" s="1">
        <v>40242</v>
      </c>
      <c r="D17" s="2">
        <v>11530</v>
      </c>
    </row>
    <row customFormat="1" r="18" s="2" spans="1:4" x14ac:dyDescent="0.25">
      <c r="A18" s="30" t="s">
        <v>3420</v>
      </c>
      <c r="B18" s="2" t="s">
        <v>3379</v>
      </c>
      <c r="C18" s="2" t="s">
        <v>3379</v>
      </c>
      <c r="D18" s="2" t="s">
        <v>3494</v>
      </c>
    </row>
    <row customFormat="1" r="19" s="2" spans="1:4" x14ac:dyDescent="0.25">
      <c r="A19" s="30" t="s">
        <v>3421</v>
      </c>
      <c r="B19" s="2" t="s">
        <v>3380</v>
      </c>
      <c r="C19" s="2" t="s">
        <v>3380</v>
      </c>
      <c r="D19" s="2" t="s">
        <v>3494</v>
      </c>
    </row>
    <row customFormat="1" r="20" s="2" spans="1:4" x14ac:dyDescent="0.25">
      <c r="A20" s="30" t="s">
        <v>3422</v>
      </c>
      <c r="B20" s="2" t="s">
        <v>3381</v>
      </c>
      <c r="C20" s="2" t="s">
        <v>3381</v>
      </c>
      <c r="D20" s="2" t="s">
        <v>3495</v>
      </c>
    </row>
    <row customFormat="1" r="21" s="2" spans="1:4" x14ac:dyDescent="0.25">
      <c r="A21" s="30" t="s">
        <v>3423</v>
      </c>
      <c r="B21" s="33">
        <v>1212</v>
      </c>
      <c r="C21" s="33">
        <v>1212</v>
      </c>
      <c r="D21" s="2">
        <v>213</v>
      </c>
    </row>
    <row customFormat="1" r="22" s="2" spans="1:4" x14ac:dyDescent="0.25">
      <c r="A22" s="30" t="s">
        <v>3424</v>
      </c>
      <c r="B22" s="41">
        <v>1234</v>
      </c>
      <c r="C22" s="41">
        <v>1234</v>
      </c>
      <c r="D22" s="2">
        <v>213</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3425</v>
      </c>
      <c r="B32" s="1" t="s">
        <v>14</v>
      </c>
      <c r="C32" s="1" t="s">
        <v>14</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G41"/>
  <sheetViews>
    <sheetView workbookViewId="0">
      <selection activeCell="B10" sqref="A10:B10"/>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6" x14ac:dyDescent="0.25">
      <c r="A1" s="2" t="s">
        <v>3</v>
      </c>
      <c r="B1" t="s">
        <v>2794</v>
      </c>
      <c r="C1" s="2" t="s">
        <v>2794</v>
      </c>
      <c r="D1" s="2" t="s">
        <v>2794</v>
      </c>
      <c r="E1" s="2" t="s">
        <v>2794</v>
      </c>
      <c r="F1" s="2" t="s">
        <v>2794</v>
      </c>
    </row>
    <row customFormat="1" r="2" s="2" spans="1:6" x14ac:dyDescent="0.25">
      <c r="A2" s="2" t="s">
        <v>3402</v>
      </c>
      <c r="B2" t="s">
        <v>3499</v>
      </c>
      <c r="C2" s="2" t="s">
        <v>3499</v>
      </c>
      <c r="D2" s="2" t="s">
        <v>3499</v>
      </c>
      <c r="E2" s="2" t="s">
        <v>3499</v>
      </c>
      <c r="F2" s="2" t="s">
        <v>3499</v>
      </c>
    </row>
    <row customFormat="1" r="3" s="2" spans="1:6" x14ac:dyDescent="0.25">
      <c r="A3" s="2" t="s">
        <v>3403</v>
      </c>
    </row>
    <row customFormat="1" r="4" s="2" spans="1:6" x14ac:dyDescent="0.25">
      <c r="A4" s="2" t="s">
        <v>3426</v>
      </c>
      <c r="B4" s="2">
        <f>COUNTIFS($A$12:$A$17, "*$*",B12:B17,"")+COUNTIFS($A$19:$A$20, "*$*",B19:B20,"")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47" spans="1:6" x14ac:dyDescent="0.25">
      <c r="A11" s="44" t="s">
        <v>3086</v>
      </c>
      <c r="B11" s="45"/>
      <c r="C11" s="46"/>
    </row>
    <row customFormat="1" r="12" s="2" spans="1:6" x14ac:dyDescent="0.25">
      <c r="A12" s="30" t="s">
        <v>3434</v>
      </c>
      <c r="B12" s="2" t="s">
        <v>3393</v>
      </c>
      <c r="C12" s="2" t="s">
        <v>3393</v>
      </c>
      <c r="D12" s="2" t="s">
        <v>3393</v>
      </c>
    </row>
    <row customFormat="1" r="13" s="2" spans="1:6" x14ac:dyDescent="0.25">
      <c r="A13" s="30" t="s">
        <v>3435</v>
      </c>
      <c r="B13" s="2" t="s">
        <v>3383</v>
      </c>
      <c r="C13" s="2" t="s">
        <v>3383</v>
      </c>
      <c r="D13" s="2" t="s">
        <v>3383</v>
      </c>
    </row>
    <row customFormat="1" r="14" s="2" spans="1:6" x14ac:dyDescent="0.25">
      <c r="A14" s="2" t="s">
        <v>3436</v>
      </c>
      <c r="B14" s="2" t="s">
        <v>3394</v>
      </c>
      <c r="C14" s="2" t="s">
        <v>3394</v>
      </c>
      <c r="D14" s="2" t="s">
        <v>3394</v>
      </c>
    </row>
    <row customFormat="1" r="15" s="2" spans="1:6" x14ac:dyDescent="0.25">
      <c r="A15" s="2" t="s">
        <v>3437</v>
      </c>
      <c r="B15" s="33" t="s">
        <v>3395</v>
      </c>
      <c r="C15" s="33" t="s">
        <v>3395</v>
      </c>
      <c r="D15" s="33" t="s">
        <v>3395</v>
      </c>
    </row>
    <row customFormat="1" r="16" s="2" spans="1:6" x14ac:dyDescent="0.25">
      <c r="A16" s="2" t="s">
        <v>3439</v>
      </c>
      <c r="B16" s="34" t="s">
        <v>3382</v>
      </c>
      <c r="C16" s="34" t="s">
        <v>3409</v>
      </c>
      <c r="D16" s="34" t="s">
        <v>3410</v>
      </c>
    </row>
    <row customFormat="1" r="17" s="2" spans="1:4" x14ac:dyDescent="0.25">
      <c r="A17" s="30" t="s">
        <v>3438</v>
      </c>
      <c r="B17" s="33" t="s">
        <v>3396</v>
      </c>
      <c r="C17" s="33" t="s">
        <v>3411</v>
      </c>
      <c r="D17" s="33" t="s">
        <v>3412</v>
      </c>
    </row>
    <row customFormat="1" r="18" s="2" spans="1:4" x14ac:dyDescent="0.25">
      <c r="A18" s="2" t="s">
        <v>17</v>
      </c>
      <c r="B18" s="3"/>
      <c r="C18" s="3"/>
      <c r="D18" s="3"/>
    </row>
    <row customFormat="1" r="19" s="2" spans="1:4" x14ac:dyDescent="0.25">
      <c r="A19" s="30" t="s">
        <v>3440</v>
      </c>
      <c r="B19" s="2" t="s">
        <v>3397</v>
      </c>
      <c r="C19" s="2" t="s">
        <v>3397</v>
      </c>
      <c r="D19" s="2" t="s">
        <v>3397</v>
      </c>
    </row>
    <row customFormat="1" r="20" s="2" spans="1:4" x14ac:dyDescent="0.25">
      <c r="A20" s="30" t="s">
        <v>3441</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3413</v>
      </c>
      <c r="D27" s="2" t="s">
        <v>3414</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G79"/>
  <sheetViews>
    <sheetView workbookViewId="0">
      <selection activeCell="B63" sqref="B63"/>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6" x14ac:dyDescent="0.25">
      <c r="A1" s="48" t="s">
        <v>3</v>
      </c>
      <c r="B1" t="s">
        <v>2794</v>
      </c>
      <c r="C1" t="s">
        <v>2794</v>
      </c>
      <c r="D1" s="2" t="s">
        <v>2794</v>
      </c>
      <c r="E1" s="2" t="s">
        <v>2794</v>
      </c>
      <c r="F1" s="48" t="s">
        <v>2794</v>
      </c>
    </row>
    <row customFormat="1" r="2" s="2" spans="1:6" x14ac:dyDescent="0.25">
      <c r="A2" s="2" t="s">
        <v>3402</v>
      </c>
      <c r="B2" s="2" t="s">
        <v>3499</v>
      </c>
      <c r="C2" s="2" t="s">
        <v>3499</v>
      </c>
      <c r="D2" s="2" t="s">
        <v>3499</v>
      </c>
      <c r="E2" s="2" t="s">
        <v>3499</v>
      </c>
      <c r="F2" s="2" t="s">
        <v>3499</v>
      </c>
    </row>
    <row customFormat="1" r="3" s="2" spans="1:6" x14ac:dyDescent="0.25">
      <c r="A3" s="2" t="s">
        <v>3403</v>
      </c>
    </row>
    <row customFormat="1" r="4" s="2" spans="1:6" x14ac:dyDescent="0.25">
      <c r="A4" s="2" t="s">
        <v>3426</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6" x14ac:dyDescent="0.25"/>
    <row customFormat="1" r="6" s="2" spans="1:6" x14ac:dyDescent="0.25"/>
    <row customFormat="1" r="7" s="2" spans="1:6" x14ac:dyDescent="0.25"/>
    <row customFormat="1" r="8" s="51" spans="1:6" x14ac:dyDescent="0.25"/>
    <row customFormat="1" r="9" s="2" spans="1:6" x14ac:dyDescent="0.25">
      <c r="A9" s="2" t="s">
        <v>3084</v>
      </c>
      <c r="B9" s="2" t="str">
        <f>'1.CustomerDetail'!B12</f>
        <v>0002APP20211205214</v>
      </c>
      <c r="C9" s="2" t="str">
        <f>'1.CustomerDetail'!B12</f>
        <v>0002APP20211205214</v>
      </c>
    </row>
    <row customFormat="1" r="10" s="2" spans="1:6" x14ac:dyDescent="0.25">
      <c r="A10" s="2" t="s">
        <v>3474</v>
      </c>
      <c r="B10" s="2" t="str">
        <f>'1.CustomerDetail'!B13</f>
        <v>PT AJA</v>
      </c>
      <c r="C10" s="2" t="str">
        <f>'1.CustomerDetail'!B13</f>
        <v>PT AJA</v>
      </c>
    </row>
    <row customFormat="1" r="11" s="55" spans="1:6" x14ac:dyDescent="0.25">
      <c r="A11" s="52" t="s">
        <v>3100</v>
      </c>
      <c r="B11" s="53"/>
      <c r="C11" s="54"/>
    </row>
    <row customFormat="1" r="12" s="2" spans="1:6" x14ac:dyDescent="0.25">
      <c r="A12" s="31" t="s">
        <v>3442</v>
      </c>
      <c r="B12" s="35">
        <v>0</v>
      </c>
      <c r="C12" s="35">
        <v>0</v>
      </c>
      <c r="D12" s="35">
        <v>0</v>
      </c>
      <c r="E12" s="35">
        <v>0</v>
      </c>
    </row>
    <row customFormat="1" r="13" s="2" spans="1:6" x14ac:dyDescent="0.25">
      <c r="A13" s="1" t="s">
        <v>3099</v>
      </c>
      <c r="B13" s="36">
        <v>0</v>
      </c>
      <c r="C13" s="36">
        <v>0</v>
      </c>
      <c r="D13" s="36">
        <v>0</v>
      </c>
      <c r="E13" s="36">
        <v>0</v>
      </c>
    </row>
    <row customFormat="1" r="14" s="2" spans="1:6" x14ac:dyDescent="0.25">
      <c r="A14" s="1" t="s">
        <v>26</v>
      </c>
      <c r="B14" s="37">
        <v>1</v>
      </c>
      <c r="C14" s="37">
        <v>1</v>
      </c>
      <c r="D14" s="37">
        <v>1</v>
      </c>
      <c r="E14" s="37">
        <v>1</v>
      </c>
    </row>
    <row customFormat="1" r="15" s="2" spans="1:6" x14ac:dyDescent="0.25">
      <c r="A15" s="1" t="s">
        <v>27</v>
      </c>
      <c r="B15" s="37">
        <v>1</v>
      </c>
      <c r="C15" s="37">
        <v>1</v>
      </c>
      <c r="D15" s="37">
        <v>1</v>
      </c>
      <c r="E15" s="37">
        <v>1</v>
      </c>
    </row>
    <row customFormat="1" r="16" s="2" spans="1:6"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3443</v>
      </c>
      <c r="B35" s="34" t="s">
        <v>3398</v>
      </c>
      <c r="C35" s="34" t="s">
        <v>3404</v>
      </c>
      <c r="D35" s="34" t="s">
        <v>3405</v>
      </c>
      <c r="E35" s="34" t="s">
        <v>3406</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3468</v>
      </c>
      <c r="B53" s="35">
        <v>10</v>
      </c>
      <c r="C53" s="35"/>
      <c r="D53" s="35">
        <v>0</v>
      </c>
      <c r="E53" s="35">
        <v>0</v>
      </c>
    </row>
    <row customFormat="1" r="54" s="2" spans="1:5" x14ac:dyDescent="0.25">
      <c r="A54" s="30" t="s">
        <v>3469</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3470</v>
      </c>
      <c r="B61" s="35">
        <v>10</v>
      </c>
      <c r="C61" s="35"/>
      <c r="D61" s="35">
        <v>0</v>
      </c>
      <c r="E61" s="35">
        <v>0</v>
      </c>
    </row>
    <row customFormat="1" r="62" s="2" spans="1:5" x14ac:dyDescent="0.25">
      <c r="A62" s="30" t="s">
        <v>3471</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3481</v>
      </c>
      <c r="D68" s="1" t="s">
        <v>3051</v>
      </c>
      <c r="E68" s="1" t="s">
        <v>3051</v>
      </c>
    </row>
    <row customFormat="1" r="69" s="2" spans="1:5" x14ac:dyDescent="0.25">
      <c r="A69" s="31" t="s">
        <v>74</v>
      </c>
      <c r="B69" s="1" t="s">
        <v>3399</v>
      </c>
      <c r="C69" s="1" t="s">
        <v>3482</v>
      </c>
      <c r="D69" s="1" t="s">
        <v>3399</v>
      </c>
      <c r="E69" s="1" t="s">
        <v>3399</v>
      </c>
    </row>
    <row customFormat="1" r="70" s="2" spans="1:5" x14ac:dyDescent="0.25">
      <c r="A70" s="31" t="s">
        <v>75</v>
      </c>
      <c r="B70" s="33" t="s">
        <v>3400</v>
      </c>
      <c r="C70" s="33" t="s">
        <v>3483</v>
      </c>
      <c r="D70" s="33" t="s">
        <v>3407</v>
      </c>
      <c r="E70" s="33" t="s">
        <v>3408</v>
      </c>
    </row>
    <row customFormat="1" r="71" s="2" spans="1:5" x14ac:dyDescent="0.25">
      <c r="A71" s="2" t="s">
        <v>76</v>
      </c>
      <c r="B71" s="2" t="s">
        <v>3401</v>
      </c>
      <c r="C71" s="2" t="s">
        <v>3432</v>
      </c>
      <c r="D71" s="2" t="s">
        <v>3401</v>
      </c>
      <c r="E71" s="2" t="s">
        <v>3401</v>
      </c>
    </row>
    <row customFormat="1" r="72" s="2" spans="1:5" x14ac:dyDescent="0.25">
      <c r="A72" s="2" t="s">
        <v>77</v>
      </c>
      <c r="B72" s="2" t="s">
        <v>3401</v>
      </c>
      <c r="C72" s="2" t="s">
        <v>3401</v>
      </c>
      <c r="D72" s="2" t="s">
        <v>3401</v>
      </c>
      <c r="E72" s="2" t="s">
        <v>3401</v>
      </c>
    </row>
    <row customFormat="1" r="73" s="2" spans="1:5" x14ac:dyDescent="0.25">
      <c r="A73" s="31" t="s">
        <v>78</v>
      </c>
      <c r="B73" s="40">
        <v>1000000</v>
      </c>
      <c r="C73" s="40">
        <v>1000000</v>
      </c>
      <c r="D73" s="40">
        <v>2</v>
      </c>
      <c r="E73" s="40">
        <v>3</v>
      </c>
    </row>
    <row customFormat="1" r="74" s="2" spans="1:5" x14ac:dyDescent="0.25">
      <c r="A74" s="31" t="s">
        <v>3491</v>
      </c>
      <c r="B74" s="2" t="s">
        <v>3492</v>
      </c>
    </row>
    <row customFormat="1" r="75" s="2" spans="1:5" x14ac:dyDescent="0.25">
      <c r="A75" s="31" t="s">
        <v>3484</v>
      </c>
      <c r="B75" s="2" t="s">
        <v>3485</v>
      </c>
    </row>
    <row customFormat="1" r="76" s="2" spans="1:5" x14ac:dyDescent="0.25">
      <c r="A76" s="31" t="s">
        <v>3486</v>
      </c>
      <c r="B76" s="2" t="s">
        <v>3479</v>
      </c>
    </row>
    <row customFormat="1" r="77" s="2" spans="1:5" x14ac:dyDescent="0.25">
      <c r="A77" s="31" t="s">
        <v>3487</v>
      </c>
      <c r="B77" s="2" t="s">
        <v>3479</v>
      </c>
    </row>
    <row customFormat="1" r="78" s="2" spans="1:5" x14ac:dyDescent="0.25">
      <c r="A78" s="31" t="s">
        <v>3488</v>
      </c>
      <c r="B78" s="2" t="s">
        <v>3479</v>
      </c>
    </row>
    <row customFormat="1" r="79" s="2" spans="1:5" x14ac:dyDescent="0.25">
      <c r="A79" s="31" t="s">
        <v>3489</v>
      </c>
      <c r="B79" s="2" t="s">
        <v>3490</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G16"/>
  <sheetViews>
    <sheetView workbookViewId="0">
      <selection activeCell="A10" sqref="A10:B10"/>
    </sheetView>
  </sheetViews>
  <sheetFormatPr defaultRowHeight="15" x14ac:dyDescent="0.25"/>
  <cols>
    <col min="1" max="1" bestFit="true" customWidth="true" width="16.140625" collapsed="true"/>
    <col min="2" max="3" bestFit="true" customWidth="true" width="18.140625" collapsed="true"/>
  </cols>
  <sheetData>
    <row customFormat="1" r="1" s="2" spans="1:6" x14ac:dyDescent="0.25">
      <c r="A1" s="2" t="s">
        <v>3</v>
      </c>
      <c r="B1" t="s">
        <v>2794</v>
      </c>
      <c r="C1" s="2" t="s">
        <v>2794</v>
      </c>
      <c r="D1" s="2" t="s">
        <v>2794</v>
      </c>
      <c r="E1" s="2" t="s">
        <v>2794</v>
      </c>
      <c r="F1" s="2" t="s">
        <v>2794</v>
      </c>
    </row>
    <row customFormat="1" r="2" s="2" spans="1:6" x14ac:dyDescent="0.25">
      <c r="A2" s="2" t="s">
        <v>3402</v>
      </c>
      <c r="B2" s="2" t="s">
        <v>3499</v>
      </c>
      <c r="C2" s="2" t="s">
        <v>3499</v>
      </c>
      <c r="D2" s="2" t="s">
        <v>3499</v>
      </c>
      <c r="E2" s="2" t="s">
        <v>3499</v>
      </c>
      <c r="F2" s="2" t="s">
        <v>3499</v>
      </c>
    </row>
    <row customFormat="1" r="3" s="2" spans="1:6" x14ac:dyDescent="0.25">
      <c r="A3" s="2" t="s">
        <v>3403</v>
      </c>
    </row>
    <row customFormat="1" r="4" s="2" spans="1:6" x14ac:dyDescent="0.25">
      <c r="A4" s="2" t="s">
        <v>3426</v>
      </c>
      <c r="B4" s="2">
        <f>IF(B12="Yes",COUNTIFS($A$13:$A$16,"*$*",B13:B16,""),0)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43" spans="1:6" x14ac:dyDescent="0.25">
      <c r="B11" s="42"/>
    </row>
    <row customFormat="1" r="12" s="49" spans="1:6" x14ac:dyDescent="0.25">
      <c r="A12" s="49" t="s">
        <v>3480</v>
      </c>
      <c r="B12" s="50" t="s">
        <v>3401</v>
      </c>
    </row>
    <row customFormat="1" r="13" s="2" spans="1:6" x14ac:dyDescent="0.25">
      <c r="A13" s="31" t="s">
        <v>3475</v>
      </c>
      <c r="B13" s="2" t="s">
        <v>3496</v>
      </c>
    </row>
    <row customFormat="1" r="14" s="2" spans="1:6" x14ac:dyDescent="0.25">
      <c r="A14" s="2" t="s">
        <v>79</v>
      </c>
      <c r="B14" s="2" t="s">
        <v>3479</v>
      </c>
    </row>
    <row customFormat="1" r="15" s="2" spans="1:6" x14ac:dyDescent="0.25">
      <c r="A15" s="31" t="s">
        <v>3476</v>
      </c>
      <c r="B15" s="13" t="s">
        <v>3497</v>
      </c>
      <c r="C15" s="13"/>
      <c r="D15" s="13"/>
      <c r="E15" s="13"/>
    </row>
    <row customFormat="1" r="16" s="2" spans="1:6" x14ac:dyDescent="0.25">
      <c r="A16" s="31" t="s">
        <v>3477</v>
      </c>
      <c r="B16" s="2" t="s">
        <v>3478</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G20"/>
  <sheetViews>
    <sheetView workbookViewId="0">
      <selection activeCell="A10" sqref="A10:B10"/>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6" x14ac:dyDescent="0.25">
      <c r="A1" s="48" t="s">
        <v>3</v>
      </c>
      <c r="B1" t="s">
        <v>2794</v>
      </c>
      <c r="C1" s="2" t="s">
        <v>2794</v>
      </c>
      <c r="D1" s="2" t="s">
        <v>2794</v>
      </c>
      <c r="E1" s="2" t="s">
        <v>2794</v>
      </c>
      <c r="F1" s="48" t="s">
        <v>2794</v>
      </c>
    </row>
    <row customFormat="1" r="2" s="2" spans="1:6" x14ac:dyDescent="0.25">
      <c r="A2" s="2" t="s">
        <v>3402</v>
      </c>
      <c r="B2" s="2" t="s">
        <v>3499</v>
      </c>
      <c r="C2" s="2" t="s">
        <v>3499</v>
      </c>
      <c r="D2" s="2" t="s">
        <v>3499</v>
      </c>
      <c r="E2" s="2" t="s">
        <v>3499</v>
      </c>
      <c r="F2" s="2" t="s">
        <v>3499</v>
      </c>
    </row>
    <row customFormat="1" r="3" s="2" spans="1:6" x14ac:dyDescent="0.25">
      <c r="A3" s="2" t="s">
        <v>3403</v>
      </c>
    </row>
    <row customFormat="1" r="4" s="2" spans="1:6" x14ac:dyDescent="0.25">
      <c r="A4" s="2" t="s">
        <v>3426</v>
      </c>
      <c r="B4" s="2">
        <f>COUNTIFS($A$12:$A$18,"*$*",B12:B18,"")</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43" spans="1:6" x14ac:dyDescent="0.25">
      <c r="B11" s="42"/>
    </row>
    <row customFormat="1" r="12" s="2" spans="1:6" x14ac:dyDescent="0.25">
      <c r="A12" s="30" t="s">
        <v>3444</v>
      </c>
      <c r="B12" s="2" t="s">
        <v>3391</v>
      </c>
    </row>
    <row customFormat="1" r="13" s="2" spans="1:6" x14ac:dyDescent="0.25">
      <c r="A13" s="30" t="s">
        <v>3445</v>
      </c>
      <c r="B13" s="41" t="s">
        <v>3500</v>
      </c>
    </row>
    <row customFormat="1" r="14" s="2" spans="1:6" x14ac:dyDescent="0.25">
      <c r="A14" s="30" t="s">
        <v>3446</v>
      </c>
      <c r="B14" s="4" t="s">
        <v>3388</v>
      </c>
    </row>
    <row customFormat="1" r="15" s="2" spans="1:6" x14ac:dyDescent="0.25">
      <c r="A15" s="2" t="s">
        <v>80</v>
      </c>
      <c r="B15" s="4" t="s">
        <v>3389</v>
      </c>
    </row>
    <row customFormat="1" r="16" s="2" spans="1:6"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39"/>
  <sheetViews>
    <sheetView workbookViewId="0">
      <selection activeCell="B10" sqref="B10"/>
    </sheetView>
  </sheetViews>
  <sheetFormatPr defaultRowHeight="15" x14ac:dyDescent="0.25"/>
  <cols>
    <col min="1" max="1" bestFit="true" customWidth="true" style="11" width="34.5703125" collapsed="true"/>
    <col min="2" max="3" customWidth="true" style="9" width="25.0" collapsed="true"/>
  </cols>
  <sheetData>
    <row customFormat="1" r="1" s="2" spans="1:6" x14ac:dyDescent="0.25">
      <c r="A1" s="1" t="s">
        <v>3</v>
      </c>
      <c r="B1" s="2" t="s">
        <v>2794</v>
      </c>
      <c r="C1" s="2" t="s">
        <v>2794</v>
      </c>
      <c r="D1" s="2" t="s">
        <v>2794</v>
      </c>
      <c r="E1" s="2" t="s">
        <v>2794</v>
      </c>
      <c r="F1" s="2" t="s">
        <v>2794</v>
      </c>
    </row>
    <row customFormat="1" r="2" s="2" spans="1:6" x14ac:dyDescent="0.25">
      <c r="A2" s="2" t="s">
        <v>3402</v>
      </c>
      <c r="B2" s="2" t="s">
        <v>3499</v>
      </c>
      <c r="C2" s="2" t="s">
        <v>3499</v>
      </c>
      <c r="D2" s="2" t="s">
        <v>3499</v>
      </c>
      <c r="E2" s="2" t="s">
        <v>3499</v>
      </c>
      <c r="F2" s="2" t="s">
        <v>3499</v>
      </c>
    </row>
    <row customFormat="1" r="3" s="2" spans="1:6" x14ac:dyDescent="0.25">
      <c r="A3" s="2" t="s">
        <v>3403</v>
      </c>
    </row>
    <row customFormat="1" r="4" s="2" spans="1:6" x14ac:dyDescent="0.25">
      <c r="A4" s="2" t="s">
        <v>3426</v>
      </c>
      <c r="B4" s="2">
        <f>COUNTIFS($A$12:$A$39,"*$*",B12:B39,"")</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3084</v>
      </c>
      <c r="B10" s="2" t="str">
        <f>'1.CustomerDetail'!B$12</f>
        <v>0002APP20211205214</v>
      </c>
    </row>
    <row customFormat="1" r="11" s="55" spans="1:6" x14ac:dyDescent="0.25">
      <c r="A11" s="52" t="s">
        <v>3103</v>
      </c>
      <c r="B11" s="53"/>
      <c r="C11" s="54"/>
    </row>
    <row customFormat="1" r="12" s="2" spans="1:6" x14ac:dyDescent="0.25">
      <c r="A12" s="32" t="s">
        <v>3447</v>
      </c>
      <c r="B12" s="10" t="str">
        <f>VLOOKUP(B13,Master!$A:$B,2,FALSE)</f>
        <v>01</v>
      </c>
      <c r="C12" s="10" t="str">
        <f>VLOOKUP(C13,Master!$A:$B,2,FALSE)</f>
        <v>01</v>
      </c>
    </row>
    <row customFormat="1" r="13" s="2" spans="1:6" x14ac:dyDescent="0.25">
      <c r="A13" s="30" t="s">
        <v>3448</v>
      </c>
      <c r="B13" s="10" t="s">
        <v>97</v>
      </c>
      <c r="C13" s="10" t="s">
        <v>97</v>
      </c>
    </row>
    <row customFormat="1" r="14" s="2" spans="1:6" x14ac:dyDescent="0.25">
      <c r="A14" s="32" t="s">
        <v>3449</v>
      </c>
      <c r="B14" s="10" t="str">
        <f>VLOOKUP(B15,Master!$D:$E,2,FALSE)</f>
        <v>4</v>
      </c>
      <c r="C14" s="10" t="str">
        <f>VLOOKUP(C15,Master!$D:$E,2,FALSE)</f>
        <v>4</v>
      </c>
    </row>
    <row customFormat="1" r="15" s="2" spans="1:6" x14ac:dyDescent="0.25">
      <c r="A15" s="30" t="s">
        <v>3450</v>
      </c>
      <c r="B15" s="6" t="s">
        <v>161</v>
      </c>
      <c r="C15" s="6" t="s">
        <v>161</v>
      </c>
    </row>
    <row customFormat="1" r="16" s="2" spans="1:6" x14ac:dyDescent="0.25">
      <c r="A16" s="32" t="s">
        <v>3451</v>
      </c>
      <c r="B16" s="10" t="str">
        <f>VLOOKUP(B17,Master!$G:$H,2,FALSE)</f>
        <v>e2955</v>
      </c>
      <c r="C16" s="10" t="str">
        <f>VLOOKUP(C17,Master!$G:$H,2,FALSE)</f>
        <v>e2955</v>
      </c>
    </row>
    <row customFormat="1" ht="75" r="17" s="2" spans="1:3" x14ac:dyDescent="0.25">
      <c r="A17" s="30" t="s">
        <v>3452</v>
      </c>
      <c r="B17" s="6" t="s">
        <v>3390</v>
      </c>
      <c r="C17" s="6" t="s">
        <v>3390</v>
      </c>
    </row>
    <row customFormat="1" r="18" s="2" spans="1:3" x14ac:dyDescent="0.25">
      <c r="A18" s="32" t="s">
        <v>3453</v>
      </c>
      <c r="B18" s="10" t="str">
        <f>VLOOKUP(B19,Master!$J:$K,2,FALSE)</f>
        <v>e3820</v>
      </c>
      <c r="C18" s="10" t="str">
        <f>VLOOKUP(C19,Master!$J:$K,2,FALSE)</f>
        <v>e3820</v>
      </c>
    </row>
    <row customFormat="1" r="19" s="2" spans="1:3" x14ac:dyDescent="0.25">
      <c r="A19" s="30" t="s">
        <v>3454</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3455</v>
      </c>
      <c r="B22" s="10" t="str">
        <f>VLOOKUP(B23,Master!$M:$N,2,FALSE)</f>
        <v>0010</v>
      </c>
      <c r="C22" s="10" t="str">
        <f>VLOOKUP(C23,Master!$M:$N,2,FALSE)</f>
        <v>0010</v>
      </c>
    </row>
    <row customFormat="1" ht="30" r="23" s="2" spans="1:3" x14ac:dyDescent="0.25">
      <c r="A23" s="30" t="s">
        <v>3456</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3457</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3458</v>
      </c>
      <c r="B30" s="10" t="str">
        <f>VLOOKUP(B31,Master!$P:$Q,2,FALSE)</f>
        <v>0110</v>
      </c>
      <c r="C30" s="10" t="str">
        <f>VLOOKUP(C31,Master!$P:$Q,2,FALSE)</f>
        <v>0110</v>
      </c>
    </row>
    <row customFormat="1" ht="30" r="31" s="2" spans="1:3" x14ac:dyDescent="0.25">
      <c r="A31" s="30" t="s">
        <v>3460</v>
      </c>
      <c r="B31" s="6" t="s">
        <v>105</v>
      </c>
      <c r="C31" s="6" t="s">
        <v>105</v>
      </c>
    </row>
    <row customFormat="1" r="32" s="2" spans="1:3" x14ac:dyDescent="0.25">
      <c r="A32" s="30" t="s">
        <v>3461</v>
      </c>
      <c r="B32" s="6" t="s">
        <v>2786</v>
      </c>
      <c r="C32" s="6" t="s">
        <v>2786</v>
      </c>
    </row>
    <row customFormat="1" r="33" s="2" spans="1:3" x14ac:dyDescent="0.25">
      <c r="A33" s="32" t="s">
        <v>3459</v>
      </c>
      <c r="B33" s="10" t="str">
        <f>VLOOKUP(B34,Master!$V:$W,2,FALSE)</f>
        <v>00055</v>
      </c>
      <c r="C33" s="10" t="str">
        <f>VLOOKUP(C34,Master!$V:$W,2,FALSE)</f>
        <v>00055</v>
      </c>
    </row>
    <row customFormat="1" r="34" s="2" spans="1:3" x14ac:dyDescent="0.25">
      <c r="A34" s="30" t="s">
        <v>3462</v>
      </c>
      <c r="B34" s="6" t="s">
        <v>109</v>
      </c>
      <c r="C34" s="6" t="s">
        <v>109</v>
      </c>
    </row>
    <row customFormat="1" ht="30" r="35" s="2" spans="1:3" x14ac:dyDescent="0.25">
      <c r="A35" s="32" t="s">
        <v>3464</v>
      </c>
      <c r="B35" s="10" t="str">
        <f>VLOOKUP(B36,Master!$Y:$Z,2,FALSE)</f>
        <v>PAYMENT_TYPEX_AUTOPAYMENT</v>
      </c>
      <c r="C35" s="10" t="str">
        <f>VLOOKUP(C36,Master!$Y:$Z,2,FALSE)</f>
        <v>PAYMENT_TYPEX_AUTOPAYMENT</v>
      </c>
    </row>
    <row customFormat="1" r="36" s="2" spans="1:3" x14ac:dyDescent="0.25">
      <c r="A36" s="30" t="s">
        <v>3463</v>
      </c>
      <c r="B36" s="6" t="s">
        <v>111</v>
      </c>
      <c r="C36" s="6" t="s">
        <v>111</v>
      </c>
    </row>
    <row customFormat="1" r="37" s="2" spans="1:3" x14ac:dyDescent="0.25">
      <c r="A37" s="32" t="s">
        <v>3466</v>
      </c>
      <c r="B37" s="10" t="str">
        <f>VLOOKUP(B38,Master!$AE:$AF,2,FALSE)</f>
        <v>BISNIS_SENDIRI</v>
      </c>
      <c r="C37" s="10" t="str">
        <f>VLOOKUP(C38,Master!$AE:$AF,2,FALSE)</f>
        <v>BISNIS_SENDIRI</v>
      </c>
    </row>
    <row customFormat="1" r="38" s="2" spans="1:3" x14ac:dyDescent="0.25">
      <c r="A38" s="30" t="s">
        <v>3465</v>
      </c>
      <c r="B38" s="6" t="s">
        <v>115</v>
      </c>
      <c r="C38" s="6" t="s">
        <v>115</v>
      </c>
    </row>
    <row customFormat="1" r="39" s="2" spans="1:3" x14ac:dyDescent="0.25">
      <c r="A39" s="30" t="s">
        <v>3467</v>
      </c>
      <c r="B39" s="38" t="s">
        <v>3398</v>
      </c>
      <c r="C39" s="38" t="s">
        <v>3404</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Jeremy Andreas</cp:lastModifiedBy>
  <cp:lastPrinted>2022-05-18T07:35:58Z</cp:lastPrinted>
  <dcterms:modified xsi:type="dcterms:W3CDTF">2022-12-14T02:42:04Z</dcterms:modified>
</cp:coreProperties>
</file>