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queryTables/queryTable10.xml" ContentType="application/vnd.openxmlformats-officedocument.spreadsheetml.queryTable+xml"/>
  <Override PartName="/xl/tables/table11.xml" ContentType="application/vnd.openxmlformats-officedocument.spreadsheetml.table+xml"/>
  <Override PartName="/xl/queryTables/queryTable11.xml" ContentType="application/vnd.openxmlformats-officedocument.spreadsheetml.queryTable+xml"/>
  <Override PartName="/xl/tables/table12.xml" ContentType="application/vnd.openxmlformats-officedocument.spreadsheetml.table+xml"/>
  <Override PartName="/xl/queryTables/queryTable12.xml" ContentType="application/vnd.openxmlformats-officedocument.spreadsheetml.queryTable+xml"/>
  <Override PartName="/xl/tables/table13.xml" ContentType="application/vnd.openxmlformats-officedocument.spreadsheetml.table+xml"/>
  <Override PartName="/xl/queryTables/queryTable13.xml" ContentType="application/vnd.openxmlformats-officedocument.spreadsheetml.queryTable+xml"/>
  <Override PartName="/xl/tables/table14.xml" ContentType="application/vnd.openxmlformats-officedocument.spreadsheetml.table+xml"/>
  <Override PartName="/xl/queryTables/queryTable14.xml" ContentType="application/vnd.openxmlformats-officedocument.spreadsheetml.queryTable+xml"/>
  <Override PartName="/xl/tables/table15.xml" ContentType="application/vnd.openxmlformats-officedocument.spreadsheetml.table+xml"/>
  <Override PartName="/xl/queryTables/queryTable15.xml" ContentType="application/vnd.openxmlformats-officedocument.spreadsheetml.queryTable+xml"/>
  <Override PartName="/xl/tables/table16.xml" ContentType="application/vnd.openxmlformats-officedocument.spreadsheetml.table+xml"/>
  <Override PartName="/xl/queryTables/queryTable16.xml" ContentType="application/vnd.openxmlformats-officedocument.spreadsheetml.queryTable+xml"/>
  <Override PartName="/xl/tables/table17.xml" ContentType="application/vnd.openxmlformats-officedocument.spreadsheetml.table+xml"/>
  <Override PartName="/xl/queryTables/queryTable17.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fendy.tio\git\NAP-CF4W-UFNEW\Excel\"/>
    </mc:Choice>
  </mc:AlternateContent>
  <bookViews>
    <workbookView xWindow="0" yWindow="0" windowWidth="20490" windowHeight="5850"/>
  </bookViews>
  <sheets>
    <sheet name="1.CustomerDetail" sheetId="1" r:id="rId1"/>
    <sheet name="2.AddressInformation" sheetId="2" r:id="rId2"/>
    <sheet name="3.ContactInformation" sheetId="3" r:id="rId3"/>
    <sheet name="4.FinancialData" sheetId="4" r:id="rId4"/>
    <sheet name="5.CustomerAsset" sheetId="5" r:id="rId5"/>
    <sheet name="6.LegalDocument" sheetId="6" r:id="rId6"/>
    <sheet name="7.OtherAttribute" sheetId="7" r:id="rId7"/>
    <sheet name="Master" sheetId="8" r:id="rId8"/>
  </sheets>
  <externalReferences>
    <externalReference r:id="rId9"/>
  </externalReferences>
  <definedNames>
    <definedName name="ExternalData_1" localSheetId="7" hidden="1">Master!$A$1:$B$315</definedName>
    <definedName name="ExternalData_10" localSheetId="7" hidden="1">Master!$AB$1:$AC$9</definedName>
    <definedName name="ExternalData_11" localSheetId="7" hidden="1">Master!$AE$1:$AF$2</definedName>
    <definedName name="ExternalData_12" localSheetId="7" hidden="1">Master!$AH$1:$AI$8</definedName>
    <definedName name="ExternalData_13" localSheetId="7" hidden="1">Master!$AK$1:$AL$261</definedName>
    <definedName name="ExternalData_14" localSheetId="7" hidden="1">Master!$AN$1:$AO$8</definedName>
    <definedName name="ExternalData_15" localSheetId="7" hidden="1">Master!$AQ$1:$AQ$30</definedName>
    <definedName name="ExternalData_16" localSheetId="7" hidden="1">Master!$AS$1:$AT$147</definedName>
    <definedName name="ExternalData_17" localSheetId="7" hidden="1">Master!$AV$1:$AV$10</definedName>
    <definedName name="ExternalData_2" localSheetId="7" hidden="1">Master!$D$1:$E$6</definedName>
    <definedName name="ExternalData_3" localSheetId="7" hidden="1">Master!$G$1:$H$175</definedName>
    <definedName name="ExternalData_4" localSheetId="7" hidden="1">Master!$J$1:$K$14</definedName>
    <definedName name="ExternalData_5" localSheetId="7" hidden="1">Master!$M$1:$N$193</definedName>
    <definedName name="ExternalData_6" localSheetId="7" hidden="1">Master!$P$1:$Q$16</definedName>
    <definedName name="ExternalData_7" localSheetId="7" hidden="1">Master!$S$1:$T$492</definedName>
    <definedName name="ExternalData_8" localSheetId="7" hidden="1">Master!$V$1:$W$10</definedName>
    <definedName name="ExternalData_9" localSheetId="7" hidden="1">Master!$Y$1:$Z$3</definedName>
    <definedName name="ListAfWiMult">Master!$P$2:INDEX(Master!$P:$P,SUMPRODUCT(--(Master!$P:$P&lt;&gt;"")))</definedName>
    <definedName name="ListAuthorityAML">Master!$AB$2:INDEX(Master!$AB:$AB,SUMPRODUCT(--(Master!$AB:$AB&lt;&gt;"")))</definedName>
    <definedName name="ListBank">Master!$AS$2:INDEX(Master!$AS:$AS,SUMPRODUCT(--(Master!$AS:$AS&lt;&gt;"")))</definedName>
    <definedName name="ListBuilding">Master!$AH$2:INDEX(Master!$AH:$AH,SUMPRODUCT(--(Master!$AH:$AH&lt;&gt;"")))</definedName>
    <definedName name="ListBusinessSource">Master!$AE$2:INDEX(Master!$AE:$AE,SUMPRODUCT(--(Master!$AE:$AE&lt;&gt;"")))</definedName>
    <definedName name="ListCounterpart">Master!$G$2:INDEX(Master!$G:$G,SUMPRODUCT(--(Master!$G:$G&lt;&gt;"")))</definedName>
    <definedName name="ListCSPUSL">Master!$V$2:INDEX(Master!$V:$V,SUMPRODUCT(--(Master!$V:$V&lt;&gt;"")))</definedName>
    <definedName name="ListDebtGroup">Master!$A$2:INDEX(Master!$A:$A,SUMPRODUCT(--(Master!$A:$A&lt;&gt;"")))</definedName>
    <definedName name="ListDebtGroupSLIK">Master!$M$2:INDEX(Master!$M:$M,SUMPRODUCT(--(Master!$M:$M&lt;&gt;"")))</definedName>
    <definedName name="ListDebtorBusinessScale">Master!$D$2:INDEX(Master!$D:$D,SUMPRODUCT(--(Master!$D:$D&lt;&gt;"")))</definedName>
    <definedName name="ListDeptAML">Master!$S$2:INDEX(Master!$S:$S,SUMPRODUCT(--(Master!$S:$S&lt;&gt;"")))</definedName>
    <definedName name="ListIndustryType">Master!$AK$2:INDEX(Master!$AK:$AK,SUMPRODUCT(--(Master!$AK:$AK&lt;&gt;"")))</definedName>
    <definedName name="ListJobPosition">Master!$AQ$2:INDEX(Master!$AQ:$AQ,SUMPRODUCT(--(Master!$AQ:$AQ&lt;&gt;"")))</definedName>
    <definedName name="ListPaymentTypeAML">Master!$Y$2:INDEX(Master!$Y:$Y,SUMPRODUCT(--(Master!$Y:$Y&lt;&gt;"")))</definedName>
    <definedName name="ListRating">Master!$AN$2:INDEX(Master!$AN:$AN,SUMPRODUCT(--(Master!$AN:$AN&lt;&gt;"")))</definedName>
    <definedName name="ListSusFinBus">Master!$J$2:INDEX(Master!$J:$J,SUMPRODUCT(--(Master!$J:$J&lt;&gt;"")))</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B4" i="4" l="1"/>
  <c r="D4" i="4"/>
  <c r="E4" i="4"/>
  <c r="C4" i="4"/>
  <c r="C10" i="4" l="1"/>
  <c r="B10" i="4"/>
  <c r="B4" i="5" l="1"/>
  <c r="C10" i="2" l="1"/>
  <c r="B10" i="2"/>
  <c r="C4" i="2"/>
  <c r="B4" i="2" l="1"/>
  <c r="B4" i="1"/>
  <c r="B4" i="7" l="1"/>
  <c r="B4" i="6"/>
  <c r="B4" i="3"/>
  <c r="C12" i="7" l="1"/>
  <c r="C14" i="7"/>
  <c r="C16" i="7"/>
  <c r="C18" i="7"/>
  <c r="C22" i="7"/>
  <c r="C27" i="7"/>
  <c r="C30" i="7"/>
  <c r="C33" i="7"/>
  <c r="C35" i="7"/>
  <c r="C37" i="7"/>
  <c r="C66" i="4"/>
  <c r="D66" i="4"/>
  <c r="E66" i="4"/>
  <c r="C20" i="1"/>
  <c r="B12" i="1"/>
  <c r="B9" i="4" l="1"/>
  <c r="C9" i="4"/>
  <c r="B9" i="2"/>
  <c r="C9" i="2"/>
  <c r="B66" i="4"/>
  <c r="B12" i="7" l="1"/>
  <c r="B22" i="7"/>
  <c r="B20" i="1" l="1"/>
  <c r="B18" i="7"/>
  <c r="B27" i="7" l="1"/>
  <c r="B35" i="7" l="1"/>
  <c r="B37" i="7"/>
  <c r="B33" i="7"/>
  <c r="B30" i="7"/>
  <c r="B16" i="7"/>
  <c r="B14" i="7"/>
</calcChain>
</file>

<file path=xl/comments1.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23" authorId="0" shapeId="0">
      <text>
        <r>
          <rPr>
            <b/>
            <sz val="9"/>
            <color indexed="81"/>
            <rFont val="Tahoma"/>
            <family val="2"/>
          </rPr>
          <t>Jeremy Andreas:</t>
        </r>
        <r>
          <rPr>
            <sz val="9"/>
            <color indexed="81"/>
            <rFont val="Tahoma"/>
            <family val="2"/>
          </rPr>
          <t xml:space="preserve">
wajib isi jika vip = yes</t>
        </r>
      </text>
    </comment>
  </commentList>
</comments>
</file>

<file path=xl/comments2.xml><?xml version="1.0" encoding="utf-8"?>
<comments xmlns="http://schemas.openxmlformats.org/spreadsheetml/2006/main">
  <authors>
    <author>Jeremy Andreas</author>
  </authors>
  <commentList>
    <comment ref="A13" authorId="0" shapeId="0">
      <text>
        <r>
          <rPr>
            <b/>
            <sz val="9"/>
            <color indexed="81"/>
            <rFont val="Tahoma"/>
            <family val="2"/>
          </rPr>
          <t>Jeremy Andreas:</t>
        </r>
        <r>
          <rPr>
            <sz val="9"/>
            <color indexed="81"/>
            <rFont val="Tahoma"/>
            <family val="2"/>
          </rPr>
          <t xml:space="preserve">
Jika tidak ingin copy address, bisa dikosongkan</t>
        </r>
      </text>
    </comment>
  </commentList>
</comments>
</file>

<file path=xl/comments3.xml><?xml version="1.0" encoding="utf-8"?>
<comments xmlns="http://schemas.openxmlformats.org/spreadsheetml/2006/main">
  <authors>
    <author>Jeremy Andreas</author>
  </authors>
  <commentList>
    <comment ref="A16" authorId="0" shapeId="0">
      <text>
        <r>
          <rPr>
            <b/>
            <sz val="9"/>
            <color indexed="81"/>
            <rFont val="Tahoma"/>
            <family val="2"/>
          </rPr>
          <t>Jeremy Andreas:</t>
        </r>
        <r>
          <rPr>
            <sz val="9"/>
            <color indexed="81"/>
            <rFont val="Tahoma"/>
            <family val="2"/>
          </rPr>
          <t xml:space="preserve">
Format date dalam MM/DD/YYYY</t>
        </r>
      </text>
    </comment>
    <comment ref="A22" authorId="0" shapeId="0">
      <text>
        <r>
          <rPr>
            <b/>
            <sz val="9"/>
            <color indexed="81"/>
            <rFont val="Tahoma"/>
            <family val="2"/>
          </rPr>
          <t>Jeremy Andreas:</t>
        </r>
        <r>
          <rPr>
            <sz val="9"/>
            <color indexed="81"/>
            <rFont val="Tahoma"/>
            <family val="2"/>
          </rPr>
          <t xml:space="preserve">
Format MM/DD/YYYY</t>
        </r>
      </text>
    </comment>
  </commentList>
</comments>
</file>

<file path=xl/comments4.xml><?xml version="1.0" encoding="utf-8"?>
<comments xmlns="http://schemas.openxmlformats.org/spreadsheetml/2006/main">
  <authors>
    <author>Jeremy Andreas</author>
  </authors>
  <commentList>
    <comment ref="A35" authorId="0" shapeId="0">
      <text>
        <r>
          <rPr>
            <b/>
            <sz val="9"/>
            <color indexed="81"/>
            <rFont val="Tahoma"/>
            <family val="2"/>
          </rPr>
          <t>Jeremy Andreas:</t>
        </r>
        <r>
          <rPr>
            <sz val="9"/>
            <color indexed="81"/>
            <rFont val="Tahoma"/>
            <family val="2"/>
          </rPr>
          <t xml:space="preserve">
Format MM/DD/YYYY</t>
        </r>
      </text>
    </comment>
  </commentList>
</comments>
</file>

<file path=xl/comments5.xml><?xml version="1.0" encoding="utf-8"?>
<comments xmlns="http://schemas.openxmlformats.org/spreadsheetml/2006/main">
  <authors>
    <author>Jeremy Andreas</author>
  </authors>
  <commentList>
    <comment ref="A14" authorId="0" shapeId="0">
      <text>
        <r>
          <rPr>
            <b/>
            <sz val="9"/>
            <color indexed="81"/>
            <rFont val="Tahoma"/>
            <family val="2"/>
          </rPr>
          <t>Jeremy Andreas:</t>
        </r>
        <r>
          <rPr>
            <sz val="9"/>
            <color indexed="81"/>
            <rFont val="Tahoma"/>
            <family val="2"/>
          </rPr>
          <t xml:space="preserve">
Format MM/DD/YYYY</t>
        </r>
      </text>
    </comment>
    <comment ref="A15" authorId="0" shapeId="0">
      <text>
        <r>
          <rPr>
            <b/>
            <sz val="9"/>
            <color indexed="81"/>
            <rFont val="Tahoma"/>
            <family val="2"/>
          </rPr>
          <t>Jeremy Andreas:</t>
        </r>
        <r>
          <rPr>
            <sz val="9"/>
            <color indexed="81"/>
            <rFont val="Tahoma"/>
            <family val="2"/>
          </rPr>
          <t xml:space="preserve">
Format MM/DD/YYYY</t>
        </r>
      </text>
    </comment>
  </commentList>
</comments>
</file>

<file path=xl/comments6.xml><?xml version="1.0" encoding="utf-8"?>
<comments xmlns="http://schemas.openxmlformats.org/spreadsheetml/2006/main">
  <authors>
    <author>Jeremy Andreas</author>
  </authors>
  <commentList>
    <comment ref="A29" authorId="0" shapeId="0">
      <text>
        <r>
          <rPr>
            <b/>
            <sz val="9"/>
            <color indexed="81"/>
            <rFont val="Tahoma"/>
            <family val="2"/>
          </rPr>
          <t>Jeremy Andreas:</t>
        </r>
        <r>
          <rPr>
            <sz val="9"/>
            <color indexed="81"/>
            <rFont val="Tahoma"/>
            <family val="2"/>
          </rPr>
          <t xml:space="preserve">
Format MM/DD/YYYY</t>
        </r>
      </text>
    </comment>
    <comment ref="A39" authorId="0" shapeId="0">
      <text>
        <r>
          <rPr>
            <b/>
            <sz val="9"/>
            <color indexed="81"/>
            <rFont val="Tahoma"/>
            <family val="2"/>
          </rPr>
          <t>Jeremy Andreas:</t>
        </r>
        <r>
          <rPr>
            <sz val="9"/>
            <color indexed="81"/>
            <rFont val="Tahoma"/>
            <family val="2"/>
          </rPr>
          <t xml:space="preserve">
Format data MM/DD/YYYY</t>
        </r>
      </text>
    </comment>
  </commentList>
</comments>
</file>

<file path=xl/connections.xml><?xml version="1.0" encoding="utf-8"?>
<connections xmlns="http://schemas.openxmlformats.org/spreadsheetml/2006/main">
  <connection id="1" keepAlive="1" name="Query - Query Bank" description="Connection to the 'Query Bank' query in the workbook." type="5" refreshedVersion="6" background="1" saveData="1">
    <dbPr connection="Provider=Microsoft.Mashup.OleDb.1;Data Source=$Workbook$;Location=&quot;Query Bank&quot;" command="SELECT * FROM [Query Bank]"/>
  </connection>
  <connection id="2" keepAlive="1" name="Query - Query Copy Address From" description="Connection to the 'Query Copy Address From' query in the workbook." type="5" refreshedVersion="6" background="1" saveData="1">
    <dbPr connection="Provider=Microsoft.Mashup.OleDb.1;Data Source=$Workbook$;Location=Query Copy Address From;Extended Properties=&quot;&quot;" command="SELECT * FROM [Query Copy Address From]"/>
  </connection>
  <connection id="3" keepAlive="1" name="Query - Query Rating Institute" description="Connection to the 'Query Rating Institute' query in the workbook." type="5" refreshedVersion="6" background="1" saveData="1">
    <dbPr connection="Provider=Microsoft.Mashup.OleDb.1;Data Source=$Workbook$;Location=&quot;Query Rating Institute&quot;" command="SELECT * FROM [Query Rating Institute]"/>
  </connection>
  <connection id="4" keepAlive="1" name="Query - Query_Affiliate_with_Multifinance" description="Connection to the 'Query_Affiliate_with_Multifinance' query in the workbook." type="5" refreshedVersion="6" background="1" saveData="1">
    <dbPr connection="Provider=Microsoft.Mashup.OleDb.1;Data Source=$Workbook$;Location=Query_Affiliate_with_Multifinance" command="SELECT * FROM [Query_Affiliate_with_Multifinance]"/>
  </connection>
  <connection id="5" keepAlive="1" name="Query - Query_authority_aml" description="Connection to the 'Query_authority_aml' query in the workbook." type="5" refreshedVersion="6" background="1" saveData="1">
    <dbPr connection="Provider=Microsoft.Mashup.OleDb.1;Data Source=$Workbook$;Location=Query_authority_aml" command="SELECT * FROM [Query_authority_aml]"/>
  </connection>
  <connection id="6" keepAlive="1" name="Query - query_building" description="Connection to the 'query_building' query in the workbook." type="5" refreshedVersion="6" background="1" saveData="1">
    <dbPr connection="Provider=Microsoft.Mashup.OleDb.1;Data Source=$Workbook$;Location=query_building" command="SELECT * FROM [query_building]"/>
  </connection>
  <connection id="7" keepAlive="1" name="Query - Query_Business_Source" description="Connection to the 'Query_Business_Source' query in the workbook." type="5" refreshedVersion="6" background="1" saveData="1">
    <dbPr connection="Provider=Microsoft.Mashup.OleDb.1;Data Source=$Workbook$;Location=Query_Business_Source" command="SELECT * FROM [Query_Business_Source]"/>
  </connection>
  <connection id="8" keepAlive="1" name="Query - Query_Counterpart" description="Connection to the 'Query_Counterpart' query in the workbook." type="5" refreshedVersion="6" background="1" saveData="1">
    <dbPr connection="Provider=Microsoft.Mashup.OleDb.1;Data Source=$Workbook$;Location=Query_Counterpart" command="SELECT * FROM [Query_Counterpart]"/>
  </connection>
  <connection id="9" keepAlive="1" name="Query - Query_csp_usl_source_aml" description="Connection to the 'Query_csp_usl_source_aml' query in the workbook." type="5" refreshedVersion="6" background="1" saveData="1">
    <dbPr connection="Provider=Microsoft.Mashup.OleDb.1;Data Source=$Workbook$;Location=Query_csp_usl_source_aml" command="SELECT * FROM [Query_csp_usl_source_aml]"/>
  </connection>
  <connection id="10" keepAlive="1" name="Query - Query_Debtor_Business_Scale" description="Connection to the 'Query_Debtor_Business_Scale' query in the workbook." type="5" refreshedVersion="6" background="1" saveData="1">
    <dbPr connection="Provider=Microsoft.Mashup.OleDb.1;Data Source=$Workbook$;Location=Query_Debtor_Business_Scale" command="SELECT * FROM [Query_Debtor_Business_Scale]"/>
  </connection>
  <connection id="11" keepAlive="1" name="Query - Query_Debtor_Group" description="Connection to the 'Query_Debtor_Group' query in the workbook." type="5" refreshedVersion="6" background="1" saveData="1">
    <dbPr connection="Provider=Microsoft.Mashup.OleDb.1;Data Source=$Workbook$;Location=Query_Debtor_Group" command="SELECT * FROM [Query_Debtor_Group]"/>
  </connection>
  <connection id="12" keepAlive="1" name="Query - Query_debtor_group_slik" description="Connection to the 'Query_debtor_group_slik' query in the workbook." type="5" refreshedVersion="6" background="1" saveData="1">
    <dbPr connection="Provider=Microsoft.Mashup.OleDb.1;Data Source=$Workbook$;Location=Query_debtor_group_slik" command="SELECT * FROM [Query_debtor_group_slik]"/>
  </connection>
  <connection id="13" keepAlive="1" name="Query - Query_Department_AML" description="Connection to the 'Query_Department_AML' query in the workbook." type="5" refreshedVersion="6" background="1" saveData="1">
    <dbPr connection="Provider=Microsoft.Mashup.OleDb.1;Data Source=$Workbook$;Location=Query_Department_AML" command="SELECT * FROM [Query_Department_AML]"/>
  </connection>
  <connection id="14" keepAlive="1" name="Query - Query_Industry_Type" description="Connection to the 'Query_Industry_Type' query in the workbook." type="5" refreshedVersion="6" background="1" saveData="1">
    <dbPr connection="Provider=Microsoft.Mashup.OleDb.1;Data Source=$Workbook$;Location=Query_Industry_Type" command="SELECT * FROM [Query_Industry_Type]"/>
  </connection>
  <connection id="15" keepAlive="1" name="Query - Query_Job_Position" description="Connection to the 'Query_Job_Position' query in the workbook." type="5" refreshedVersion="6" background="1" saveData="1">
    <dbPr connection="Provider=Microsoft.Mashup.OleDb.1;Data Source=$Workbook$;Location=Query_Job_Position" command="SELECT * FROM [Query_Job_Position]"/>
  </connection>
  <connection id="16" keepAlive="1" name="Query - Query_payment_type_aml" description="Connection to the 'Query_payment_type_aml' query in the workbook." type="5" refreshedVersion="6" background="1" saveData="1">
    <dbPr connection="Provider=Microsoft.Mashup.OleDb.1;Data Source=$Workbook$;Location=Query_payment_type_aml" command="SELECT * FROM [Query_payment_type_aml]"/>
  </connection>
  <connection id="17" keepAlive="1" name="Query - Query_Sustainable_Financial" description="Connection to the 'Query_Sustainable_Financial' query in the workbook." type="5" refreshedVersion="6" background="1" saveData="1">
    <dbPr connection="Provider=Microsoft.Mashup.OleDb.1;Data Source=$Workbook$;Location=Query_Sustainable_Financial" command="SELECT * FROM [Query_Sustainable_Financial]"/>
  </connection>
</connections>
</file>

<file path=xl/sharedStrings.xml><?xml version="1.0" encoding="utf-8"?>
<sst xmlns="http://schemas.openxmlformats.org/spreadsheetml/2006/main" count="3742" uniqueCount="3502">
  <si>
    <t>Customer Group</t>
  </si>
  <si>
    <t>Affiliation With Multfinance</t>
  </si>
  <si>
    <t>Corporate</t>
  </si>
  <si>
    <t>Status</t>
  </si>
  <si>
    <t>Customer No</t>
  </si>
  <si>
    <t>Business</t>
  </si>
  <si>
    <t>Copy Address From</t>
  </si>
  <si>
    <t>Address</t>
  </si>
  <si>
    <t>RT</t>
  </si>
  <si>
    <t>RW</t>
  </si>
  <si>
    <t>Kelurahan</t>
  </si>
  <si>
    <t>Kecamatan</t>
  </si>
  <si>
    <t>City</t>
  </si>
  <si>
    <t>Notes</t>
  </si>
  <si>
    <t>Self - Owned</t>
  </si>
  <si>
    <t>Family</t>
  </si>
  <si>
    <t>DIREKTUR</t>
  </si>
  <si>
    <t>Email</t>
  </si>
  <si>
    <t>GOLONGAN 2</t>
  </si>
  <si>
    <t>KETUA ORGANISASI</t>
  </si>
  <si>
    <t>Birth Place</t>
  </si>
  <si>
    <t>Birth Date</t>
  </si>
  <si>
    <t>Contact Relationship</t>
  </si>
  <si>
    <t>Mobile Phone 2</t>
  </si>
  <si>
    <t>Email 2</t>
  </si>
  <si>
    <t>Zipcode</t>
  </si>
  <si>
    <t>Return of investment percentage (%)</t>
  </si>
  <si>
    <t>Return of Equity Percentage</t>
  </si>
  <si>
    <t>Return of asset percentage</t>
  </si>
  <si>
    <t>Profit margin percentage</t>
  </si>
  <si>
    <t>Current Ratio Percentage</t>
  </si>
  <si>
    <t>Debt Equity Ratio Percentage</t>
  </si>
  <si>
    <t>Inventory Turn Over Percentage</t>
  </si>
  <si>
    <t>Account Receiveable Turn Over Percentage</t>
  </si>
  <si>
    <t>Growth Percentage</t>
  </si>
  <si>
    <t>Working Capital Amount</t>
  </si>
  <si>
    <t>Other Monthly Installment Amount</t>
  </si>
  <si>
    <t>Revenue</t>
  </si>
  <si>
    <t>Operational Cost</t>
  </si>
  <si>
    <t>Profit Before Tax</t>
  </si>
  <si>
    <t>Current Asset</t>
  </si>
  <si>
    <t>Nett Fix Asset</t>
  </si>
  <si>
    <t>Total Asset</t>
  </si>
  <si>
    <t>Current Liabilities</t>
  </si>
  <si>
    <t>Long Term Liabilities</t>
  </si>
  <si>
    <t>Shareholder Equity</t>
  </si>
  <si>
    <t>Current Ratio</t>
  </si>
  <si>
    <t>Posisi Laporan Keuangan Tahunan</t>
  </si>
  <si>
    <t>Aset</t>
  </si>
  <si>
    <t>Aset Lancar</t>
  </si>
  <si>
    <t>Kas dan Setara Kas</t>
  </si>
  <si>
    <t>Piutang Usaha/Pembiayaan</t>
  </si>
  <si>
    <t>Investasi/Asset Kuangan Lainnya</t>
  </si>
  <si>
    <t>Asset Lancar Lainnya</t>
  </si>
  <si>
    <t xml:space="preserve">Asset Tidak Lancar </t>
  </si>
  <si>
    <t>Piutang Usaha / Pembiayaan (Asset Tidak Lancar)</t>
  </si>
  <si>
    <t>Investasi asset / keuangan lainya ( Asset Tidak Lancar )</t>
  </si>
  <si>
    <t>Asset Tidak Lancar Lainnya</t>
  </si>
  <si>
    <t>Liabilitas</t>
  </si>
  <si>
    <t>Liabilitas Jangka Pendek</t>
  </si>
  <si>
    <t>Pinjaman Jangka Pendek</t>
  </si>
  <si>
    <t>Utang Usaha Jangka Pendek</t>
  </si>
  <si>
    <t>Liabilitas Jangka pendek</t>
  </si>
  <si>
    <t>Utang Usaha Jangka Panjang</t>
  </si>
  <si>
    <t>Liabilitas Jangka Panjang Lainnya</t>
  </si>
  <si>
    <t>Ekuitas</t>
  </si>
  <si>
    <t>Pendapatan Usaha/Operasional</t>
  </si>
  <si>
    <t>Beban Pokok Pendapatan / Beban Operasional</t>
  </si>
  <si>
    <t>Laba/Rugi Bruto</t>
  </si>
  <si>
    <t>Laba/Rugi Sebelum Pajak</t>
  </si>
  <si>
    <t>Laba/Rugi Tahun Berjalan</t>
  </si>
  <si>
    <t>Bank Code</t>
  </si>
  <si>
    <t>Bank Name</t>
  </si>
  <si>
    <t>Bank Branch</t>
  </si>
  <si>
    <t>Account Name</t>
  </si>
  <si>
    <t>Account No</t>
  </si>
  <si>
    <t>is Default</t>
  </si>
  <si>
    <t>is Active</t>
  </si>
  <si>
    <t>Beginning Balance</t>
  </si>
  <si>
    <t>AssetDescription</t>
  </si>
  <si>
    <t>Expired Date</t>
  </si>
  <si>
    <t>Notary Name</t>
  </si>
  <si>
    <t>Notary Location</t>
  </si>
  <si>
    <t>01</t>
  </si>
  <si>
    <t>02</t>
  </si>
  <si>
    <t>BISNIS_SENDIRI</t>
  </si>
  <si>
    <t>Go Public</t>
  </si>
  <si>
    <t>Violate BMPK</t>
  </si>
  <si>
    <t>EXCEED BMPK</t>
  </si>
  <si>
    <t>Rating Debitor</t>
  </si>
  <si>
    <t>Rating Institute</t>
  </si>
  <si>
    <t>Rating Date</t>
  </si>
  <si>
    <t>Debtor Group Code</t>
  </si>
  <si>
    <t>Sustainable Financial Business</t>
  </si>
  <si>
    <t>AFFILIATE WITH MULTIFINANCE SLIK</t>
  </si>
  <si>
    <t>CSP/USL SOURCE AML</t>
  </si>
  <si>
    <t>BUSINESS SOURCE AML</t>
  </si>
  <si>
    <t>Sudjarwo</t>
  </si>
  <si>
    <t>Usaha Mikro</t>
  </si>
  <si>
    <t>Penduduk/Resident.Sektor Pemerintah.Pemerintah Pusat.Kantor Pelayanan Perbendaharaan Negara (KPPN)</t>
  </si>
  <si>
    <t>e2953</t>
  </si>
  <si>
    <t>Energi Terbarukan</t>
  </si>
  <si>
    <t>e3819</t>
  </si>
  <si>
    <t xml:space="preserve">1. Kantor Perbendaharaan dan Kas Negara (KPKN) </t>
  </si>
  <si>
    <t>0010</t>
  </si>
  <si>
    <t>1. Pengendali dan atau keluarga pengendali LJK</t>
  </si>
  <si>
    <t>0110</t>
  </si>
  <si>
    <t>INSTITUSI ILMU AGAMA</t>
  </si>
  <si>
    <t>00590</t>
  </si>
  <si>
    <t xml:space="preserve">PELUNASAN HUTANG </t>
  </si>
  <si>
    <t>00055</t>
  </si>
  <si>
    <t>AUTO PAYMENT</t>
  </si>
  <si>
    <t>PAYMENT_TYPEX_AUTOPAYMENT</t>
  </si>
  <si>
    <t xml:space="preserve">SEKUTU/COMMANDITER </t>
  </si>
  <si>
    <t>00831</t>
  </si>
  <si>
    <t>BISNIS SENDIRI</t>
  </si>
  <si>
    <t>Contract</t>
  </si>
  <si>
    <t>CONTRACT</t>
  </si>
  <si>
    <t>Tanaman perkebunanKaret</t>
  </si>
  <si>
    <t>ADR</t>
  </si>
  <si>
    <t>Usaha Kecil</t>
  </si>
  <si>
    <t>Penduduk/Resident.Sektor Pemerintah.Pemerintah Pusat.Kementerian Keuangan</t>
  </si>
  <si>
    <t>e2954</t>
  </si>
  <si>
    <t>Efisiensi energi</t>
  </si>
  <si>
    <t>e3820</t>
  </si>
  <si>
    <t>2. Departemen Keuangan</t>
  </si>
  <si>
    <t>0020</t>
  </si>
  <si>
    <t>2. Perusahaan/badan dimana LJK bertindak sebagai pengendali (subsidiary)</t>
  </si>
  <si>
    <t>0120</t>
  </si>
  <si>
    <t>INSTITUSI PENDIDIKAN</t>
  </si>
  <si>
    <t>00591</t>
  </si>
  <si>
    <t>SETORAN MODAL</t>
  </si>
  <si>
    <t>00054</t>
  </si>
  <si>
    <t>VIRTUAL ACCOUNT ONLINE</t>
  </si>
  <si>
    <t>PAYMENT_TYPEX_VA</t>
  </si>
  <si>
    <t>PEMERIKSA</t>
  </si>
  <si>
    <t>00837</t>
  </si>
  <si>
    <t>FAMILY</t>
  </si>
  <si>
    <t>Tanaman PerkebunanKelapa</t>
  </si>
  <si>
    <t>Adetex</t>
  </si>
  <si>
    <t>03</t>
  </si>
  <si>
    <t>Usaha Menengah</t>
  </si>
  <si>
    <t>Penduduk/Resident.Sektor Pemerintah.Pemerintah Pusat.Kementerian Pertahanan</t>
  </si>
  <si>
    <t>e2955</t>
  </si>
  <si>
    <t xml:space="preserve">Pencegahan dan Pengendalian Polusi </t>
  </si>
  <si>
    <t>e3821</t>
  </si>
  <si>
    <t>3. Departemen Pertahanan</t>
  </si>
  <si>
    <t>0030</t>
  </si>
  <si>
    <t>3. Perusahaan/badan dimana LJK bertindak sebagai pengendali (subsidiary)</t>
  </si>
  <si>
    <t>0130</t>
  </si>
  <si>
    <t>LAINNYA</t>
  </si>
  <si>
    <t>00651</t>
  </si>
  <si>
    <t>PINJAMAN NON BANK</t>
  </si>
  <si>
    <t>00053</t>
  </si>
  <si>
    <t>PELAKSANA</t>
  </si>
  <si>
    <t>00836</t>
  </si>
  <si>
    <t>Own</t>
  </si>
  <si>
    <t>OWN</t>
  </si>
  <si>
    <t>Tanaman perkebunanKopi</t>
  </si>
  <si>
    <t>Admiral Lines</t>
  </si>
  <si>
    <t>04</t>
  </si>
  <si>
    <t>Usaha Besar</t>
  </si>
  <si>
    <t>Penduduk/Resident.Sektor Pemerintah.Pemerintah Pusat.Kementerian Kehutanan</t>
  </si>
  <si>
    <t>e2956</t>
  </si>
  <si>
    <t xml:space="preserve">Pengelolaan Sumber Daya Alam Hayati dan Penggunaan Lahan Yang Berkelanjutan </t>
  </si>
  <si>
    <t>e3822</t>
  </si>
  <si>
    <t>4. Departemen Kehutanan</t>
  </si>
  <si>
    <t>0040</t>
  </si>
  <si>
    <t>4. Perusahaan dimana pihak pada angka 1 bertindak sebagai pengendali</t>
  </si>
  <si>
    <t>0140</t>
  </si>
  <si>
    <t>LEMBAGA BANTUAN HUKUM</t>
  </si>
  <si>
    <t>00653</t>
  </si>
  <si>
    <t>PINJAMAN BANK</t>
  </si>
  <si>
    <t>00052</t>
  </si>
  <si>
    <t>PENGAWAS</t>
  </si>
  <si>
    <t>00835</t>
  </si>
  <si>
    <t>Dinas</t>
  </si>
  <si>
    <t>DINAS</t>
  </si>
  <si>
    <t>Tanaman perkebunanTembakau</t>
  </si>
  <si>
    <t>Afro Pacific</t>
  </si>
  <si>
    <t>05</t>
  </si>
  <si>
    <t>Konsumtif / Skala Usaha Lainnya</t>
  </si>
  <si>
    <t>Penduduk/Resident.Sektor Pemerintah.Pemerintah Pusat.Kementerian Pertanian</t>
  </si>
  <si>
    <t>e2957</t>
  </si>
  <si>
    <t xml:space="preserve">Konservasi Keanekaragaman Hayati Darat dan Air </t>
  </si>
  <si>
    <t>e3823</t>
  </si>
  <si>
    <t>5. Departemen Pertanian</t>
  </si>
  <si>
    <t>0050</t>
  </si>
  <si>
    <t>5. Perusahaan dimana pihak pada angka 3 bertindak sebagai pengendali</t>
  </si>
  <si>
    <t>0150</t>
  </si>
  <si>
    <t>LEMBAGA SWADAYA MASYARAKAT</t>
  </si>
  <si>
    <t>00659</t>
  </si>
  <si>
    <t>GAJI</t>
  </si>
  <si>
    <t>00047</t>
  </si>
  <si>
    <t>PERENCANA</t>
  </si>
  <si>
    <t>00834</t>
  </si>
  <si>
    <t>KPR</t>
  </si>
  <si>
    <t>Tanaman perkebunanKelapa sawit</t>
  </si>
  <si>
    <t>Ahabe</t>
  </si>
  <si>
    <t>06</t>
  </si>
  <si>
    <t>Penduduk/Resident.Sektor Pemerintah.Pemerintah Pusat.Kementerian Pertambangan dan Energi</t>
  </si>
  <si>
    <t>e2958</t>
  </si>
  <si>
    <t xml:space="preserve">Transportasi Ramah Lingkungan </t>
  </si>
  <si>
    <t>e3824</t>
  </si>
  <si>
    <t>6. Departemen Pertambangan dan Energi</t>
  </si>
  <si>
    <t>0060</t>
  </si>
  <si>
    <t>6. Pengurus Bank dan atau keluarga pengurus LJK</t>
  </si>
  <si>
    <t>0210</t>
  </si>
  <si>
    <t>SWASTA NASIONAL</t>
  </si>
  <si>
    <t>00816</t>
  </si>
  <si>
    <t>JUAL ASSET</t>
  </si>
  <si>
    <t>00050</t>
  </si>
  <si>
    <t>ANALIS</t>
  </si>
  <si>
    <t>00833</t>
  </si>
  <si>
    <t>OWNED</t>
  </si>
  <si>
    <t>Tanaman perkebunanLada</t>
  </si>
  <si>
    <t>Alas Kusuma</t>
  </si>
  <si>
    <t>07</t>
  </si>
  <si>
    <t>Penduduk/Resident.Sektor Pemerintah.Pemerintah Pusat.Kementerian Agama</t>
  </si>
  <si>
    <t>e2959</t>
  </si>
  <si>
    <t xml:space="preserve">Pengelolaan Air dan Air Limbah yang Berkelanjutan </t>
  </si>
  <si>
    <t>e3825</t>
  </si>
  <si>
    <t>7. Departemen Agama</t>
  </si>
  <si>
    <t>0070</t>
  </si>
  <si>
    <t>7. Pengurus dari perusahaan-perusahaan pada angka 1 s.d. 5</t>
  </si>
  <si>
    <t>0220</t>
  </si>
  <si>
    <t>SWASTA PMA</t>
  </si>
  <si>
    <t>00817</t>
  </si>
  <si>
    <t>INVESTASI</t>
  </si>
  <si>
    <t>00049</t>
  </si>
  <si>
    <t>00838</t>
  </si>
  <si>
    <t>Rented</t>
  </si>
  <si>
    <t>RENTED</t>
  </si>
  <si>
    <t>Tanaman perkebunanTeh</t>
  </si>
  <si>
    <t>Alatif</t>
  </si>
  <si>
    <t>08</t>
  </si>
  <si>
    <t>Penduduk/Resident.Sektor Pemerintah.Pemerintah Pusat.Kementerian Negara BUMN</t>
  </si>
  <si>
    <t>e2960</t>
  </si>
  <si>
    <t>Adaptasi perubahan iklim</t>
  </si>
  <si>
    <t>e3826</t>
  </si>
  <si>
    <t>8. Kementerian Negara BUMN</t>
  </si>
  <si>
    <t>0080</t>
  </si>
  <si>
    <t>8. Perusahaan yang pengurusnya merupakan pengurus LJK</t>
  </si>
  <si>
    <t>0230</t>
  </si>
  <si>
    <t>PT PENGERUKAN INDONESIA (PERSERO)</t>
  </si>
  <si>
    <t>00760</t>
  </si>
  <si>
    <t>TABUNGAN</t>
  </si>
  <si>
    <t>00048</t>
  </si>
  <si>
    <t>PENGAMBIL KEPUTUSAN</t>
  </si>
  <si>
    <t>00832</t>
  </si>
  <si>
    <t>Tanaman perkebunanTebu</t>
  </si>
  <si>
    <t>Alim</t>
  </si>
  <si>
    <t>09</t>
  </si>
  <si>
    <t>Penduduk/Resident.Sektor Pemerintah.Pemerintah Pusat.Kementerian lainnya</t>
  </si>
  <si>
    <t>e2961</t>
  </si>
  <si>
    <t xml:space="preserve">Produk yang Dapat Mengurangi Penggunaan Sumber Daya Dan Menghasilkan Sedikit Polusi (Eco-efficient) </t>
  </si>
  <si>
    <t>e3827</t>
  </si>
  <si>
    <t>9. Kementerian Kebudayaan, Pendidikan Dasar dan Menengah</t>
  </si>
  <si>
    <t>0090</t>
  </si>
  <si>
    <t>9. Perusahaan yang pengurusnya merupakan pengurus dari perusahaan-perusahaan pada angka 1 s.d. 5</t>
  </si>
  <si>
    <t>0240</t>
  </si>
  <si>
    <t>KOMISI KEBENARAN DAN PERSAHABATAN (KKP)</t>
  </si>
  <si>
    <t>00635</t>
  </si>
  <si>
    <t>USAHA</t>
  </si>
  <si>
    <t>00051</t>
  </si>
  <si>
    <t>Tanaman perkebunanKapas</t>
  </si>
  <si>
    <t>Andatu</t>
  </si>
  <si>
    <t>10</t>
  </si>
  <si>
    <t>Penduduk/Resident.Sektor Pemerintah.Pemerintah Daerah.Pemerintah Provinsi</t>
  </si>
  <si>
    <t>e2963</t>
  </si>
  <si>
    <t xml:space="preserve">Bangunan Berwawasan Lingkungan yang Memenuhi Standar atau Sertifikasi yang Diakui secara Nasional, Regional, atau Internasional </t>
  </si>
  <si>
    <t>e3828</t>
  </si>
  <si>
    <t>10. Kementerian Pekerjaan Umum dan perumahan Rakyat</t>
  </si>
  <si>
    <t>0100</t>
  </si>
  <si>
    <t>10. Perusahaan dimana pengurus LJK bertindak sebagai pengendali</t>
  </si>
  <si>
    <t>0250</t>
  </si>
  <si>
    <t>BADAN PERTIMBANGAN PERFILMAN NASIONAL</t>
  </si>
  <si>
    <t>00542</t>
  </si>
  <si>
    <t>Tanaman perkebunanCengkeh</t>
  </si>
  <si>
    <t>Sulindafin</t>
  </si>
  <si>
    <t>100</t>
  </si>
  <si>
    <t>Penduduk/Resident.Sektor Pemerintah.Pemerintah Daerah.Pemerintah Kota</t>
  </si>
  <si>
    <t>e2964</t>
  </si>
  <si>
    <t xml:space="preserve">Kegiatan Usaha dan/atau Kegiatan Lain yang Berwawasan Lingkungan Lainnya </t>
  </si>
  <si>
    <t>e3829</t>
  </si>
  <si>
    <t>11. Kementerian Kesehatan</t>
  </si>
  <si>
    <t>11. Perusahaan dimana pengurus dari perusahaan pada angka 1 s.d. 5 bertindak sebagai pengendali</t>
  </si>
  <si>
    <t>0260</t>
  </si>
  <si>
    <t>BADAN PUSAT STATISTIK (BPS)</t>
  </si>
  <si>
    <t>00543</t>
  </si>
  <si>
    <t>Tanaman perkebunanVanili</t>
  </si>
  <si>
    <t>Sumalindo</t>
  </si>
  <si>
    <t>101</t>
  </si>
  <si>
    <t>Penduduk/Resident.Sektor Pemerintah.Pemerintah Daerah.Pemerintah Kabupaten</t>
  </si>
  <si>
    <t>e2965</t>
  </si>
  <si>
    <t>Kegiatan Usaha Mikro, Kecil, dan Menengah (UMKM)</t>
  </si>
  <si>
    <t>e3830</t>
  </si>
  <si>
    <t>12. Kementerian Perhubungan</t>
  </si>
  <si>
    <t>12. Ketergantungan keuangan (financial interdependence)</t>
  </si>
  <si>
    <t>0310</t>
  </si>
  <si>
    <t>BADAN REINTEGRASI ACEH (BRA)</t>
  </si>
  <si>
    <t>00544</t>
  </si>
  <si>
    <t>Tanaman perkebunanPala</t>
  </si>
  <si>
    <t>Sungai Budi</t>
  </si>
  <si>
    <t>102</t>
  </si>
  <si>
    <t>Penduduk/Resident.Sektor Pemerintah.Badan-badan dan Lembaga-lembaga Pemerintah.Badan Urusan Logistik (BULOG)</t>
  </si>
  <si>
    <t>e2967</t>
  </si>
  <si>
    <t>Tidak Termasuk Kategori Usaha Keuangan Berkelanjutan</t>
  </si>
  <si>
    <t>e3831</t>
  </si>
  <si>
    <t>13. Kementerian Lainnya</t>
  </si>
  <si>
    <t>0999</t>
  </si>
  <si>
    <t>13. KIK pada angka 1 s.d 11 memiliki 10% atau lebih saham</t>
  </si>
  <si>
    <t>0320</t>
  </si>
  <si>
    <t>BADAN TENAGA ATOM NASIONAL</t>
  </si>
  <si>
    <t>00545</t>
  </si>
  <si>
    <t>Tanaman perkebunanKakao (coklat)</t>
  </si>
  <si>
    <t>Surya Pertiwi</t>
  </si>
  <si>
    <t>103</t>
  </si>
  <si>
    <t>Penduduk/Resident.Sektor Pemerintah.Badan-badan dan Lembaga-lembaga Pemerintah.Lembaga Penjamin Simpanan (LPS)</t>
  </si>
  <si>
    <t>e2968</t>
  </si>
  <si>
    <t>14. Badan Layanan Umum Kesehatan</t>
  </si>
  <si>
    <t>0131</t>
  </si>
  <si>
    <t>14. Penjaminan</t>
  </si>
  <si>
    <t>0330</t>
  </si>
  <si>
    <t>BIRO PUSAT STATISTIK</t>
  </si>
  <si>
    <t>00548</t>
  </si>
  <si>
    <t>Tanaman perkebunanLainnya</t>
  </si>
  <si>
    <t>Susanto</t>
  </si>
  <si>
    <t>104</t>
  </si>
  <si>
    <t>Penduduk/Resident.Sektor Pemerintah.Badan-badan dan Lembaga-lembaga Pemerintah.Badan-badan dan Lembaga-lembaga Pemerintah Lainnya</t>
  </si>
  <si>
    <t>e2969</t>
  </si>
  <si>
    <t>15. Badan Layanan Umum Pendidikan</t>
  </si>
  <si>
    <t>0132</t>
  </si>
  <si>
    <t>15. Tidak terkait dengan LJK</t>
  </si>
  <si>
    <t>9900</t>
  </si>
  <si>
    <t>BNP2TKI</t>
  </si>
  <si>
    <t>00549</t>
  </si>
  <si>
    <t>Perikanan lautUdang</t>
  </si>
  <si>
    <t>Tamara</t>
  </si>
  <si>
    <t>105</t>
  </si>
  <si>
    <t>Penduduk/Resident.Sektor Pemerintah.Badan Usaha Milik Negara (BUMN) atau Pemerintah Campuran.Bank BUMN.BUMN Bank Umum Konvensional</t>
  </si>
  <si>
    <t>e3597</t>
  </si>
  <si>
    <t>16. Badan Layanan Umum Lainnya</t>
  </si>
  <si>
    <t>0199</t>
  </si>
  <si>
    <t>DEWAN BUKU NASIONAL</t>
  </si>
  <si>
    <t>00552</t>
  </si>
  <si>
    <t>Perikanan lautLainnya</t>
  </si>
  <si>
    <t>Tanjung Raya</t>
  </si>
  <si>
    <t>106</t>
  </si>
  <si>
    <t>Penduduk/Resident.Sektor Pemerintah.Badan Usaha Milik Negara (BUMN) atau Pemerintah Campuran.Bank BUMN.BUMN Bank Umum Syariah</t>
  </si>
  <si>
    <t>e3598</t>
  </si>
  <si>
    <t>17. Pemerintah Daerah (Provinsi)</t>
  </si>
  <si>
    <t>1010</t>
  </si>
  <si>
    <t>DEWAN EKONOMI NASIONAL (DEN)</t>
  </si>
  <si>
    <t>00553</t>
  </si>
  <si>
    <t>Perikanan daratUdang</t>
  </si>
  <si>
    <t>Teknik Umum</t>
  </si>
  <si>
    <t>107</t>
  </si>
  <si>
    <t>Penduduk/Resident.Sektor Pemerintah.Badan Usaha Milik Negara (BUMN) atau Pemerintah Campuran.Bank BUMN.BUMN Bank Perkreditan Rakyat (BPR) Konvensional</t>
  </si>
  <si>
    <t>e3599</t>
  </si>
  <si>
    <t>18. Pemerintah Daerah (Pemerintah Kota)</t>
  </si>
  <si>
    <t>1020</t>
  </si>
  <si>
    <t>DEWAN KETAHANAN PANGAN</t>
  </si>
  <si>
    <t>00556</t>
  </si>
  <si>
    <t>Perikanan daratLainnya</t>
  </si>
  <si>
    <t>Tensindo</t>
  </si>
  <si>
    <t>108</t>
  </si>
  <si>
    <t>Penduduk/Resident.Sektor Pemerintah.Badan Usaha Milik Negara (BUMN) atau Pemerintah Campuran.Bank BUMN.BUMN Bank Perkreditan Rakyat (BPR) Syariah</t>
  </si>
  <si>
    <t>e3600</t>
  </si>
  <si>
    <t>19. Pemerintah Daerah (Pemerintah Kabupaten)</t>
  </si>
  <si>
    <t>1030</t>
  </si>
  <si>
    <t>DEWAN PERS</t>
  </si>
  <si>
    <t>00557</t>
  </si>
  <si>
    <t>Perikanan payauUdang</t>
  </si>
  <si>
    <t>Texmaco</t>
  </si>
  <si>
    <t>109</t>
  </si>
  <si>
    <t>Penduduk/Resident.Sektor Pemerintah.Badan Usaha Milik Negara (BUMN) atau Pemerintah Campuran.BUMN Lembaga Keuangan Bukan Bank.BUMN Perusahaan Asuransi dan Dana Pensiun.BUMN Perusahaan Asuransi.Jamsostek</t>
  </si>
  <si>
    <t>e2978</t>
  </si>
  <si>
    <t>20. Badan Layanan Umum Daerah (Propinsi)</t>
  </si>
  <si>
    <t>1041</t>
  </si>
  <si>
    <t>DINAS KOPERASI DAN USAHA KECIL MENENGAH</t>
  </si>
  <si>
    <t>00567</t>
  </si>
  <si>
    <t>Perikanan payauLainnya</t>
  </si>
  <si>
    <t>Antara</t>
  </si>
  <si>
    <t>11</t>
  </si>
  <si>
    <t>Penduduk/Resident.Sektor Pemerintah.Badan Usaha Milik Negara (BUMN) atau Pemerintah Campuran.BUMN Lembaga Keuangan Bukan Bank.BUMN Perusahaan Asuransi dan Dana Pensiun.BUMN Perusahaan Asuransi.Taspen</t>
  </si>
  <si>
    <t>e2979</t>
  </si>
  <si>
    <t>21. Badan Layanan Umum Daerah (Kota/Kabupaten)</t>
  </si>
  <si>
    <t>1042</t>
  </si>
  <si>
    <t>DINAS PENDIDIKAN , PEMUDA DAN OLAHRAGA</t>
  </si>
  <si>
    <t>00569</t>
  </si>
  <si>
    <t>Peternakan Unggas</t>
  </si>
  <si>
    <t>Timsco</t>
  </si>
  <si>
    <t>110</t>
  </si>
  <si>
    <t>Penduduk/Resident.Sektor Pemerintah.Badan Usaha Milik Negara (BUMN) atau Pemerintah Campuran.BUMN Lembaga Keuangan Bukan Bank.BUMN Perusahaan Asuransi dan Dana Pensiun.BUMN Perusahaan Asuransi.Jiwasraya</t>
  </si>
  <si>
    <t>e2980</t>
  </si>
  <si>
    <t>22. Badan dan Lembaga Pemerintah</t>
  </si>
  <si>
    <t>2090</t>
  </si>
  <si>
    <t>DINAS PERINDUSTRIAN DAN PERDAGANGAN</t>
  </si>
  <si>
    <t>00571</t>
  </si>
  <si>
    <t>Peternakan Sapi</t>
  </si>
  <si>
    <t>Timur Raya</t>
  </si>
  <si>
    <t>111</t>
  </si>
  <si>
    <t>Penduduk/Resident.Sektor Pemerintah.Badan Usaha Milik Negara (BUMN) atau Pemerintah Campuran.BUMN Lembaga Keuangan Bukan Bank.BUMN Perusahaan Asuransi dan Dana Pensiun.BUMN Perusahaan Asuransi.Jasa Raharja</t>
  </si>
  <si>
    <t>e2981</t>
  </si>
  <si>
    <t>23. Lembaga Penjamin Simpanan</t>
  </si>
  <si>
    <t>2020</t>
  </si>
  <si>
    <t>DINAS PERTANIAN TANAMAN PANGAN</t>
  </si>
  <si>
    <t>00574</t>
  </si>
  <si>
    <t>Peternakan Lainnya</t>
  </si>
  <si>
    <t>Tirtamas Majutama</t>
  </si>
  <si>
    <t>112</t>
  </si>
  <si>
    <t>Penduduk/Resident.Sektor Pemerintah.Badan Usaha Milik Negara (BUMN) atau Pemerintah Campuran.BUMN Lembaga Keuangan Bukan Bank.BUMN Perusahaan Asuransi dan Dana Pensiun.BUMN Perusahaan Asuransi.Jasindo</t>
  </si>
  <si>
    <t>e2982</t>
  </si>
  <si>
    <t>24. Otoritas Jasa Keuangan</t>
  </si>
  <si>
    <t>2030</t>
  </si>
  <si>
    <t>DINAS PETERNAKAN</t>
  </si>
  <si>
    <t>00575</t>
  </si>
  <si>
    <t>Kehutanan dan pemotongan kayu (logging)</t>
  </si>
  <si>
    <t>Trisate</t>
  </si>
  <si>
    <t>113</t>
  </si>
  <si>
    <t>Penduduk/Resident.Sektor Pemerintah.Badan Usaha Milik Negara (BUMN) atau Pemerintah Campuran.BUMN Lembaga Keuangan Bukan Bank.BUMN Perusahaan Asuransi dan Dana Pensiun.BUMN Perusahaan Asuransi.ASABRI</t>
  </si>
  <si>
    <t>e2983</t>
  </si>
  <si>
    <t>25. Bank Indonesia</t>
  </si>
  <si>
    <t>0001</t>
  </si>
  <si>
    <t>DINAS TENAGA KERJA DAN TRANSMIGRASI DAERAH</t>
  </si>
  <si>
    <t>00577</t>
  </si>
  <si>
    <t>Perburuan</t>
  </si>
  <si>
    <t>Trisulatex</t>
  </si>
  <si>
    <t>114</t>
  </si>
  <si>
    <t>Penduduk/Resident.Sektor Pemerintah.Badan Usaha Milik Negara (BUMN) atau Pemerintah Campuran.BUMN Lembaga Keuangan Bukan Bank.BUMN Perusahaan Asuransi dan Dana Pensiun.BUMN Perusahaan Asuransi.BUMN asuransi lainnya</t>
  </si>
  <si>
    <t>e2984</t>
  </si>
  <si>
    <t>26. Badan Penyelenggara Jaminan Sosial Ketenagakerjaan</t>
  </si>
  <si>
    <t>4111</t>
  </si>
  <si>
    <t>DIREKTORAT JENDERAL HAKI</t>
  </si>
  <si>
    <t>00580</t>
  </si>
  <si>
    <t>Saran Pertanian Sarana tanaman pangan dan perkebunanPompanisasi</t>
  </si>
  <si>
    <t>Tunggal</t>
  </si>
  <si>
    <t>115</t>
  </si>
  <si>
    <t>Penduduk/Resident.Sektor Pemerintah.Badan Usaha Milik Negara (BUMN) atau Pemerintah Campuran.BUMN Lembaga Keuangan Bukan Bank.BUMN Perusahaan Dana Pensiun</t>
  </si>
  <si>
    <t>e2985</t>
  </si>
  <si>
    <t>27. Badan Penyelenggara Jaminan Sosial Kesehatan</t>
  </si>
  <si>
    <t>4117</t>
  </si>
  <si>
    <t>DIREKTORAT PERLINDUNGAN HAK ASASI MANUSIA</t>
  </si>
  <si>
    <t>00584</t>
  </si>
  <si>
    <t>Saran Pertanian Sarana tanaman pangan dan perkebunanAlat penggarapan tanah</t>
  </si>
  <si>
    <t>Udinda</t>
  </si>
  <si>
    <t>116</t>
  </si>
  <si>
    <t>Penduduk/Resident.Sektor Pemerintah.Badan Usaha Milik Negara (BUMN) atau Pemerintah Campuran.BUMN Lembaga Keuangan Bukan Bank.BUMN Modal Ventura</t>
  </si>
  <si>
    <t>e2987</t>
  </si>
  <si>
    <t>28. Taspen</t>
  </si>
  <si>
    <t>4112</t>
  </si>
  <si>
    <t>KANTOR PERPUSTAKAAN DAN ARSIP DAERAH</t>
  </si>
  <si>
    <t>00593</t>
  </si>
  <si>
    <t>Saran Pertanian Sarana tanaman pangan dan perkebunanGudang/lantai jemuran</t>
  </si>
  <si>
    <t>Usaha Mulia</t>
  </si>
  <si>
    <t>117</t>
  </si>
  <si>
    <t>Penduduk/Resident.Sektor Pemerintah.Badan Usaha Milik Negara (BUMN) atau Pemerintah Campuran.BUMN Lembaga Keuangan Bukan Bank.BUMN Perusahaan Pembiayaan</t>
  </si>
  <si>
    <t>e2988</t>
  </si>
  <si>
    <t>29. Jiwasraya</t>
  </si>
  <si>
    <t>4113</t>
  </si>
  <si>
    <t>TIM BAKORLAK INPRES 6</t>
  </si>
  <si>
    <t>00818</t>
  </si>
  <si>
    <t>Saran Pertanian Sarana tanaman pangan dan perkebunanPencetakan sawah</t>
  </si>
  <si>
    <t>Ustraindo</t>
  </si>
  <si>
    <t>118</t>
  </si>
  <si>
    <t>Penduduk/Resident.Sektor Pemerintah.Badan Usaha Milik Negara (BUMN) atau Pemerintah Campuran.BUMN Lembaga Keuangan Bukan Bank.BUMN Perusahaan Sekuritas dan Reksa Dana.BUMN Perusahaan Sekuritas yang Tidak Melakukan Kegiatan Usaha Reksa Dana</t>
  </si>
  <si>
    <t>e2990</t>
  </si>
  <si>
    <t>30. Jasa Raharja</t>
  </si>
  <si>
    <t>4114</t>
  </si>
  <si>
    <t>BADAN KESATUAN BANGSA, POLITIK DAN PERLINDUNGAN MASYARAKAT</t>
  </si>
  <si>
    <t>00509</t>
  </si>
  <si>
    <t>Sarana Perikanan</t>
  </si>
  <si>
    <t>Voksel Electric</t>
  </si>
  <si>
    <t>119</t>
  </si>
  <si>
    <t>Penduduk/Resident.Sektor Pemerintah.Badan Usaha Milik Negara (BUMN) atau Pemerintah Campuran.BUMN Lembaga Keuangan Bukan Bank.BUMN Perusahaan Sekuritas dan Reksa Dana.BUMN Perusahaan Sekuritas yang Melakukan Kegiatan Usaha Reksa Dana</t>
  </si>
  <si>
    <t>e2991</t>
  </si>
  <si>
    <t>31. Jasindo</t>
  </si>
  <si>
    <t>4115</t>
  </si>
  <si>
    <t>BADAN KOORDINASI PENANAMAN MODAL (BKPM)</t>
  </si>
  <si>
    <t>00512</t>
  </si>
  <si>
    <t>Sarana peternakan</t>
  </si>
  <si>
    <t>Asaba</t>
  </si>
  <si>
    <t>12</t>
  </si>
  <si>
    <t>Penduduk/Resident.Sektor Pemerintah.Badan Usaha Milik Negara (BUMN) atau Pemerintah Campuran.BUMN Lembaga Keuangan Bukan Bank.BUMN Perusahaan Sekuritas dan Reksa Dana.BUMN Perusahaan Reksa Dana</t>
  </si>
  <si>
    <t>e2992</t>
  </si>
  <si>
    <t>32. ASABRI</t>
  </si>
  <si>
    <t>4116</t>
  </si>
  <si>
    <t>BADAN METEOROLOGI, KLIMATOLOGI DAN GEOFISIKA (BMKG)</t>
  </si>
  <si>
    <t>00514</t>
  </si>
  <si>
    <t>Sarana kehutanan</t>
  </si>
  <si>
    <t>Wigo</t>
  </si>
  <si>
    <t>120</t>
  </si>
  <si>
    <t>Penduduk/Resident.Sektor Pemerintah.Badan Usaha Milik Negara (BUMN) atau Pemerintah Campuran.BUMN Lembaga Keuangan Bukan Bank.BUMN Perusahaan Sekuritas dan Reksa Dana.BUMN Manajer Investasi</t>
  </si>
  <si>
    <t>e2993</t>
  </si>
  <si>
    <t>33. Perusahaan Asuransi Lainnya</t>
  </si>
  <si>
    <t>4119</t>
  </si>
  <si>
    <t>BADAN NASIONAL SERTIFIKASI PROFESI (BNSP)</t>
  </si>
  <si>
    <t>00516</t>
  </si>
  <si>
    <t>Sarana lainnya</t>
  </si>
  <si>
    <t>Wings</t>
  </si>
  <si>
    <t>121</t>
  </si>
  <si>
    <t>Penduduk/Resident.Sektor Pemerintah.Badan Usaha Milik Negara (BUMN) atau Pemerintah Campuran.BUMN Lembaga Keuangan Bukan Bank.BUMN Perusahaan Sekuritas dan Reksa Dana.Danareksa</t>
  </si>
  <si>
    <t>e2994</t>
  </si>
  <si>
    <t>34. Dana Pensiun</t>
  </si>
  <si>
    <t>4120</t>
  </si>
  <si>
    <t>BADAN PELAKSANA APEC</t>
  </si>
  <si>
    <t>00517</t>
  </si>
  <si>
    <t>Pertanian, Perburuan, Sarana Pertanian</t>
  </si>
  <si>
    <t>Wira Mustika Indah</t>
  </si>
  <si>
    <t>122</t>
  </si>
  <si>
    <t>Penduduk/Resident.Sektor Pemerintah.Badan Usaha Milik Negara (BUMN) atau Pemerintah Campuran.BUMN Lembaga Keuangan Bukan Bank.BUMN Perusahaan Sekuritas dan Reksa Dana.BUMN Perusahaan Sekuritas dan Reksa Dana Lainnya</t>
  </si>
  <si>
    <t>e2995</t>
  </si>
  <si>
    <t>35. Modal Ventura</t>
  </si>
  <si>
    <t>4130</t>
  </si>
  <si>
    <t>BADAN PEMBERDAYAAN MASYARAKAT DAN DESA</t>
  </si>
  <si>
    <t>00519</t>
  </si>
  <si>
    <t>Pertambangan minyak dan gas bumi</t>
  </si>
  <si>
    <t>Yasonta</t>
  </si>
  <si>
    <t>123</t>
  </si>
  <si>
    <t>Penduduk/Resident.Sektor Pemerintah.Badan Usaha Milik Negara (BUMN) atau Pemerintah Campuran.BUMN Lembaga Keuangan Bukan Bank.BUMN Lembaga Keuangan Bukan Bank Lainnya.Perum Pegadaian</t>
  </si>
  <si>
    <t>e2997</t>
  </si>
  <si>
    <t>36. Perusahaan Pembiayaan</t>
  </si>
  <si>
    <t>4140</t>
  </si>
  <si>
    <t>BADAN PEMBERDAYAAN PEREMPUAN DAN KELUARGA BERENCANA</t>
  </si>
  <si>
    <t>00520</t>
  </si>
  <si>
    <t>Pertambangan Biji LogamTimah</t>
  </si>
  <si>
    <t>Yunawati</t>
  </si>
  <si>
    <t>124</t>
  </si>
  <si>
    <t>Penduduk/Resident.Sektor Pemerintah.Badan Usaha Milik Negara (BUMN) atau Pemerintah Campuran.BUMN Lembaga Keuangan Bukan Bank.BUMN Lembaga Keuangan Bukan Bank Lainnya.Pos Indonesia</t>
  </si>
  <si>
    <t>e2998</t>
  </si>
  <si>
    <t>37. Perusahaan sekuritas yang tidak melakukan kegiatan usaha Reksadana</t>
  </si>
  <si>
    <t>4151</t>
  </si>
  <si>
    <t>BADAN PEMBINAAN HUKUM NASIONAL</t>
  </si>
  <si>
    <t>00521</t>
  </si>
  <si>
    <t>Pertambangan Biji LogamNikel</t>
  </si>
  <si>
    <t>Datascrip</t>
  </si>
  <si>
    <t>125</t>
  </si>
  <si>
    <t>Penduduk/Resident.Sektor Pemerintah.Badan Usaha Milik Negara (BUMN) atau Pemerintah Campuran.BUMN Lembaga Keuangan Bukan Bank.BUMN Lembaga Keuangan Bukan Bank Lainnya.Lembaga Pembiayaan Ekspor Indonesia</t>
  </si>
  <si>
    <t>e2999</t>
  </si>
  <si>
    <t>38. Perusahaan sekuritas yang melakukan kegiatan usaha Reksadana</t>
  </si>
  <si>
    <t>4152</t>
  </si>
  <si>
    <t>BADAN PENANGGULANGAN LUMPUR SIDOARJO</t>
  </si>
  <si>
    <t>00523</t>
  </si>
  <si>
    <t>Pertambangan Biji LogamBauksit</t>
  </si>
  <si>
    <t>Dipo Motor</t>
  </si>
  <si>
    <t>126</t>
  </si>
  <si>
    <t>Penduduk/Resident.Sektor Pemerintah.Badan Usaha Milik Negara (BUMN) atau Pemerintah Campuran.BUMN Bukan Lembaga Keuangan.Kereta Api Indonesia (KAI)</t>
  </si>
  <si>
    <t>e3005</t>
  </si>
  <si>
    <t>39. Perusahaan Reksadana</t>
  </si>
  <si>
    <t>4153</t>
  </si>
  <si>
    <t>BADAN PENELITIAN DAN PENGEMBANGAN</t>
  </si>
  <si>
    <t>00524</t>
  </si>
  <si>
    <t>Pertambangan Biji LogamTembaga</t>
  </si>
  <si>
    <t>Djajanti</t>
  </si>
  <si>
    <t>127</t>
  </si>
  <si>
    <t>Penduduk/Resident.Sektor Pemerintah.Badan Usaha Milik Negara (BUMN) atau Pemerintah Campuran.BUMN Bukan Lembaga Keuangan.Pelayaran Nasional Indonesia (PELNI)</t>
  </si>
  <si>
    <t>e3006</t>
  </si>
  <si>
    <t>40. Manajer Investasi</t>
  </si>
  <si>
    <t>4154</t>
  </si>
  <si>
    <t>BADAN PENELITIAN DAN PENGEMBANGAN PERTANIAN</t>
  </si>
  <si>
    <t>00525</t>
  </si>
  <si>
    <t>Pertambangan Biji LogamLainnya</t>
  </si>
  <si>
    <t>Duta Dharma Bhakti</t>
  </si>
  <si>
    <t>128</t>
  </si>
  <si>
    <t>Penduduk/Resident.Sektor Pemerintah.Badan Usaha Milik Negara (BUMN) atau Pemerintah Campuran.BUMN Bukan Lembaga Keuangan.Pelabuhan Laut Indonesia (PELINDO)</t>
  </si>
  <si>
    <t>e3007</t>
  </si>
  <si>
    <t>41. PT Danareksa</t>
  </si>
  <si>
    <t>4155</t>
  </si>
  <si>
    <t>BADAN PENGKAJIAN EKONOMI, KEUANGAN DAN KERJASAMA INTERNASIONAL</t>
  </si>
  <si>
    <t>00535</t>
  </si>
  <si>
    <t>Pertambangan Batubara</t>
  </si>
  <si>
    <t>Dwima</t>
  </si>
  <si>
    <t>129</t>
  </si>
  <si>
    <t>Penduduk/Resident.Sektor Pemerintah.Badan Usaha Milik Negara (BUMN) atau Pemerintah Campuran.BUMN Bukan Lembaga Keuangan.Angkutan Sungai, Danau dan Penyeberangan (ASDP)</t>
  </si>
  <si>
    <t>e3008</t>
  </si>
  <si>
    <t>42. Perusahaan Sekuritas dan Reksadana Lainnya</t>
  </si>
  <si>
    <t>4159</t>
  </si>
  <si>
    <t>PT NINDYA KARYA (PERSERO)</t>
  </si>
  <si>
    <t>00749</t>
  </si>
  <si>
    <t>Pertambangan Barang tambang lainnya</t>
  </si>
  <si>
    <t>Astra</t>
  </si>
  <si>
    <t>13</t>
  </si>
  <si>
    <t>Penduduk/Resident.Sektor Pemerintah.Badan Usaha Milik Negara (BUMN) atau Pemerintah Campuran.BUMN Bukan Lembaga Keuangan.Angkasa Pura</t>
  </si>
  <si>
    <t>e3009</t>
  </si>
  <si>
    <t>43. Perum Pegadaian</t>
  </si>
  <si>
    <t>4171</t>
  </si>
  <si>
    <t>PT PAL INDONESIA (PERSERO)</t>
  </si>
  <si>
    <t>00750</t>
  </si>
  <si>
    <t>Listrik Pedesaan</t>
  </si>
  <si>
    <t>Famatex</t>
  </si>
  <si>
    <t>130</t>
  </si>
  <si>
    <t>Penduduk/Resident.Sektor Pemerintah.Badan Usaha Milik Negara (BUMN) atau Pemerintah Campuran.BUMN Bukan Lembaga Keuangan.Perkebunan Nusantara</t>
  </si>
  <si>
    <t>e3010</t>
  </si>
  <si>
    <t>44. Lembaga Pembiayaan Ekspor Indonesia</t>
  </si>
  <si>
    <t>4173</t>
  </si>
  <si>
    <t>PT PANN MULTI FINANCE (PERSERO)</t>
  </si>
  <si>
    <t>00751</t>
  </si>
  <si>
    <t>ListrikLainnya</t>
  </si>
  <si>
    <t>Garuda Mas</t>
  </si>
  <si>
    <t>131</t>
  </si>
  <si>
    <t>Penduduk/Resident.Sektor Pemerintah.Badan Usaha Milik Negara (BUMN) atau Pemerintah Campuran.BUMN Bukan Lembaga Keuangan.Pertamina</t>
  </si>
  <si>
    <t>e3011</t>
  </si>
  <si>
    <t>45. Lembaga Keuangan Non Bank Lainnya</t>
  </si>
  <si>
    <t>4179</t>
  </si>
  <si>
    <t>PT PEGADAIAN(PERSERO)</t>
  </si>
  <si>
    <t>00752</t>
  </si>
  <si>
    <t>Gas</t>
  </si>
  <si>
    <t>Gelael</t>
  </si>
  <si>
    <t>132</t>
  </si>
  <si>
    <t>Penduduk/Resident.Sektor Pemerintah.Badan Usaha Milik Negara (BUMN) atau Pemerintah Campuran.BUMN Bukan Lembaga Keuangan.Perusahaan Listrik Negara (PLN)</t>
  </si>
  <si>
    <t>e3012</t>
  </si>
  <si>
    <t xml:space="preserve">46. PT Kereta Api Indonesia </t>
  </si>
  <si>
    <t>4501</t>
  </si>
  <si>
    <t>PT PELABUHAN INDONESIA I (PERSERO)</t>
  </si>
  <si>
    <t>00753</t>
  </si>
  <si>
    <t>Air</t>
  </si>
  <si>
    <t>Gesuri</t>
  </si>
  <si>
    <t>133</t>
  </si>
  <si>
    <t>Penduduk/Resident.Sektor Pemerintah.Badan Usaha Milik Negara (BUMN) atau Pemerintah Campuran.BUMN Bukan Lembaga Keuangan.Krakatau Steel</t>
  </si>
  <si>
    <t>e3013</t>
  </si>
  <si>
    <t>47. PT Pelayaran Nasional Indonesia (PELNI)</t>
  </si>
  <si>
    <t>4502</t>
  </si>
  <si>
    <t>PT PELABUHAN INDONESIA II (PERSERO)</t>
  </si>
  <si>
    <t>00754</t>
  </si>
  <si>
    <t xml:space="preserve">Pertambangan </t>
  </si>
  <si>
    <t>Golden Truly</t>
  </si>
  <si>
    <t>134</t>
  </si>
  <si>
    <t>Penduduk/Resident.Sektor Pemerintah.Badan Usaha Milik Negara (BUMN) atau Pemerintah Campuran.BUMN Bukan Lembaga Keuangan.Garuda Indonesia</t>
  </si>
  <si>
    <t>e3014</t>
  </si>
  <si>
    <t>48. PT Pelabuhan Laut Indonesia (Pelindo)</t>
  </si>
  <si>
    <t>4503</t>
  </si>
  <si>
    <t>PT PELABUHAN INDONESIA III (PERSERO)</t>
  </si>
  <si>
    <t>00755</t>
  </si>
  <si>
    <t>Listrik, Gas dan Air</t>
  </si>
  <si>
    <t>Growth Sumatra/Growth Pacific</t>
  </si>
  <si>
    <t>135</t>
  </si>
  <si>
    <t>Penduduk/Resident.Sektor Pemerintah.Badan Usaha Milik Negara (BUMN) atau Pemerintah Campuran.BUMN Bukan Lembaga Keuangan.Telkom</t>
  </si>
  <si>
    <t>e3015</t>
  </si>
  <si>
    <t xml:space="preserve">49. PT Dirgantara Indonesia </t>
  </si>
  <si>
    <t>4517</t>
  </si>
  <si>
    <t>PT PELABUHAN INDONESIA IV (PERSERO)</t>
  </si>
  <si>
    <t>00756</t>
  </si>
  <si>
    <t>Konstruksi Rumah SederhanaBank Tabungan Negara</t>
  </si>
  <si>
    <t>Gunung Raya Utama</t>
  </si>
  <si>
    <t>136</t>
  </si>
  <si>
    <t>Penduduk/Resident.Sektor Pemerintah.Badan Usaha Milik Negara (BUMN) atau Pemerintah Campuran.BUMN Bukan Lembaga Keuangan.Indosat</t>
  </si>
  <si>
    <t>e3016</t>
  </si>
  <si>
    <t>50. PT Industri Kapal Indonesia</t>
  </si>
  <si>
    <t>4518</t>
  </si>
  <si>
    <t>PT PELAYARAN NASIONAL INDONESIA (PERSERO)</t>
  </si>
  <si>
    <t>00757</t>
  </si>
  <si>
    <t>Konstruksi Rumah SederhanaPerumnas</t>
  </si>
  <si>
    <t>Harlan Bekti</t>
  </si>
  <si>
    <t>137</t>
  </si>
  <si>
    <t>Penduduk/Resident.Sektor Pemerintah.Badan Usaha Milik Negara (BUMN) atau Pemerintah Campuran.BUMN Bukan Lembaga Keuangan.Jasa Marga</t>
  </si>
  <si>
    <t>e3017</t>
  </si>
  <si>
    <t xml:space="preserve">51. PT PAL Indonesia </t>
  </si>
  <si>
    <t>4519</t>
  </si>
  <si>
    <t>PT PEMBANGUNAN PERUMAHAN (PERSERO)</t>
  </si>
  <si>
    <t>00758</t>
  </si>
  <si>
    <t>Konstruksi Rumah SederhanaLainnya</t>
  </si>
  <si>
    <t>Hutan Raya Indonesia</t>
  </si>
  <si>
    <t>138</t>
  </si>
  <si>
    <t>Penduduk/Resident.Sektor Pemerintah.Badan Usaha Milik Negara (BUMN) atau Pemerintah Campuran.BUMN Bukan Lembaga Keuangan.Timah</t>
  </si>
  <si>
    <t>e3018</t>
  </si>
  <si>
    <t>52. PT Sucofindo</t>
  </si>
  <si>
    <t>4520</t>
  </si>
  <si>
    <t>PT PENGEMBANGAN DAERAH INDUSTRI PULAU BATAM(PERSERO)</t>
  </si>
  <si>
    <t>00759</t>
  </si>
  <si>
    <t>Konstruksi Pasar Inpres</t>
  </si>
  <si>
    <t>Ika Muda</t>
  </si>
  <si>
    <t>139</t>
  </si>
  <si>
    <t>Penduduk/Resident.Sektor Pemerintah.Badan Usaha Milik Negara (BUMN) atau Pemerintah Campuran.BUMN Bukan Lembaga Keuangan.Aneka Tambang</t>
  </si>
  <si>
    <t>e3019</t>
  </si>
  <si>
    <t>53. PT Angkutan Sungai, Danau dan Penyeberangan (ASDP)</t>
  </si>
  <si>
    <t>4504</t>
  </si>
  <si>
    <t>PT PERIKANAN NUSANTARA(PERSERO)</t>
  </si>
  <si>
    <t>00761</t>
  </si>
  <si>
    <t>KonstruksiPenyiapan Tanah Pemukiman Transmigrasi (PTPT)</t>
  </si>
  <si>
    <t>Astra Financial Service</t>
  </si>
  <si>
    <t>14</t>
  </si>
  <si>
    <t>Penduduk/Resident.Sektor Pemerintah.Badan Usaha Milik Negara (BUMN) atau Pemerintah Campuran.BUMN Bukan Lembaga Keuangan.Perusahaan Jasa Konstruksi</t>
  </si>
  <si>
    <t>e3020</t>
  </si>
  <si>
    <t>54. PT Angkasa Pura</t>
  </si>
  <si>
    <t>4505</t>
  </si>
  <si>
    <t>PT PERKEBUNAN NUSANTARA I (PERSERO)</t>
  </si>
  <si>
    <t>00762</t>
  </si>
  <si>
    <t>KonstruksiPencetakan Sawah</t>
  </si>
  <si>
    <t>Indomobil</t>
  </si>
  <si>
    <t>140</t>
  </si>
  <si>
    <t>Penduduk/Resident.Sektor Pemerintah.Badan Usaha Milik Negara (BUMN) atau Pemerintah Campuran.BUMN Bukan Lembaga Keuangan.BUMN Bukan Lembaga Keuangan Lainnya</t>
  </si>
  <si>
    <t>e3021</t>
  </si>
  <si>
    <t>55. PT Perkebunan Nusantara</t>
  </si>
  <si>
    <t>4506</t>
  </si>
  <si>
    <t>PT PERKEBUNAN NUSANTARA II (PERSERO)</t>
  </si>
  <si>
    <t>00763</t>
  </si>
  <si>
    <t>Konstruksi Jalan raya dan jembatan</t>
  </si>
  <si>
    <t>Intercallin</t>
  </si>
  <si>
    <t>141</t>
  </si>
  <si>
    <t>Penduduk/Resident.Sektor Pemerintah.Badan Usaha Milik Daerah (BUMD).BUMD Lembaga Keuangan Bukan Bank.BUMD Perusahaan Asuransi dan Dana Pensiun.BUMD Perusahaan Asuransi</t>
  </si>
  <si>
    <t>e3025</t>
  </si>
  <si>
    <t>56. PT Rajawali Nusantara Indonesia</t>
  </si>
  <si>
    <t>4521</t>
  </si>
  <si>
    <t>PT PERKEBUNAN NUSANTARA IV (PERSERO)</t>
  </si>
  <si>
    <t>00765</t>
  </si>
  <si>
    <t>KonstruksiPelabuhan</t>
  </si>
  <si>
    <t>Jangkar Jati</t>
  </si>
  <si>
    <t>142</t>
  </si>
  <si>
    <t>Penduduk/Resident.Sektor Pemerintah.Badan Usaha Milik Daerah (BUMD).BUMD Lembaga Keuangan Bukan Bank.BUMD Perusahaan Asuransi dan Dana Pensiun.BUMD Perusahaan Dana Pensiun</t>
  </si>
  <si>
    <t>e3026</t>
  </si>
  <si>
    <t>57. PT Pertamina</t>
  </si>
  <si>
    <t>4507</t>
  </si>
  <si>
    <t>PT PERKEBUNAN NUSANTARA V (PERSERO)</t>
  </si>
  <si>
    <t>00767</t>
  </si>
  <si>
    <t>KonstruksiIrigasi</t>
  </si>
  <si>
    <t>Jayapari Steel</t>
  </si>
  <si>
    <t>143</t>
  </si>
  <si>
    <t>Penduduk/Resident.Sektor Pemerintah.Badan Usaha Milik Daerah (BUMD).BUMD Lembaga Keuangan Bukan Bank.BUMD Modal Ventura</t>
  </si>
  <si>
    <t>e3027</t>
  </si>
  <si>
    <t>58. PT Perusahaan Listrik Negara (PLN)</t>
  </si>
  <si>
    <t>4508</t>
  </si>
  <si>
    <t>PT PERKEBUNAN NUSANTARA VI (PERSERO)</t>
  </si>
  <si>
    <t>00768</t>
  </si>
  <si>
    <t>Konstruksi ListrikPedesaan</t>
  </si>
  <si>
    <t>Kedaung</t>
  </si>
  <si>
    <t>144</t>
  </si>
  <si>
    <t>Penduduk/Resident.Sektor Pemerintah.Badan Usaha Milik Daerah (BUMD).BUMD Lembaga Keuangan Bukan Bank.BUMD Perusahaan Pembiayaan</t>
  </si>
  <si>
    <t>e3028</t>
  </si>
  <si>
    <t>59. PT Perusahaan Gas Negara (PGN)</t>
  </si>
  <si>
    <t>4522</t>
  </si>
  <si>
    <t>PT PERKEBUNAN NUSANTARA VII (PERSERO)</t>
  </si>
  <si>
    <t>00769</t>
  </si>
  <si>
    <t>Konstruksi ListrikLainnya</t>
  </si>
  <si>
    <t>Kodel</t>
  </si>
  <si>
    <t>145</t>
  </si>
  <si>
    <t>Penduduk/Resident.Sektor Pemerintah.Badan Usaha Milik Daerah (BUMD).BUMD Lembaga Keuangan Bukan Bank.BUMD Perusahaan Sekuritas dan Reksa Dana.BUMD Perusahaan Sekuritas yang Tidak Melakukan Kegiatan Usaha Reksa Dana</t>
  </si>
  <si>
    <t>e3030</t>
  </si>
  <si>
    <t>60. PT Krakatau Steel</t>
  </si>
  <si>
    <t>4509</t>
  </si>
  <si>
    <t>PT PERKEBUNAN NUSANTARA VIII (PERSERO)</t>
  </si>
  <si>
    <t>00770</t>
  </si>
  <si>
    <t>KonstruksiProyek yang dibiayai dengan pinjaman dari/untuk pembayaran di luar negeri</t>
  </si>
  <si>
    <t>Lautan Luas</t>
  </si>
  <si>
    <t>146</t>
  </si>
  <si>
    <t>Penduduk/Resident.Sektor Pemerintah.Badan Usaha Milik Daerah (BUMD).BUMD Lembaga Keuangan Bukan Bank.BUMD Perusahaan Sekuritas dan Reksa Dana.BUMD Perusahaan Sekuritas yang Melakukan Kegiatan Usaha Reksa Dana</t>
  </si>
  <si>
    <t>e3031</t>
  </si>
  <si>
    <t>61. PT Garuda Indonesia</t>
  </si>
  <si>
    <t>4510</t>
  </si>
  <si>
    <t>PT PERKEBUNAN NUSANTARA X (PERSERO)</t>
  </si>
  <si>
    <t>00771</t>
  </si>
  <si>
    <t>KonstruksiLainnya</t>
  </si>
  <si>
    <t>Mantrust</t>
  </si>
  <si>
    <t>147</t>
  </si>
  <si>
    <t>Penduduk/Resident.Sektor Pemerintah.Badan Usaha Milik Daerah (BUMD).BUMD Lembaga Keuangan Bukan Bank.BUMD Perusahaan Sekuritas dan Reksa Dana.BUMD Perusahaan Reksa Dana</t>
  </si>
  <si>
    <t>e3032</t>
  </si>
  <si>
    <t>62. PT Telkom</t>
  </si>
  <si>
    <t>4511</t>
  </si>
  <si>
    <t>PT PERKEBUNAN NUSANTARA XI (PERSERO)</t>
  </si>
  <si>
    <t>00772</t>
  </si>
  <si>
    <t xml:space="preserve">Konstruksi </t>
  </si>
  <si>
    <t>Marannu</t>
  </si>
  <si>
    <t>148</t>
  </si>
  <si>
    <t>Penduduk/Resident.Sektor Pemerintah.Badan Usaha Milik Daerah (BUMD).BUMD Lembaga Keuangan Bukan Bank.BUMD Perusahaan Sekuritas dan Reksa Dana.BUMD Manajer Investasi</t>
  </si>
  <si>
    <t>e3033</t>
  </si>
  <si>
    <t>63. PT Jasa Marga</t>
  </si>
  <si>
    <t>4513</t>
  </si>
  <si>
    <t>PT PERKEBUNAN NUSANTARA XII (PERSERO)</t>
  </si>
  <si>
    <t>00773</t>
  </si>
  <si>
    <t>Perdagangan Ekspor Bahan bakuBiji kelapa sawit</t>
  </si>
  <si>
    <t>Mayapada</t>
  </si>
  <si>
    <t>149</t>
  </si>
  <si>
    <t>Penduduk/Resident.Sektor Pemerintah.Badan Usaha Milik Daerah (BUMD).BUMD Lembaga Keuangan Bukan Bank.BUMD Perusahaan Sekuritas dan Reksa Dana.BUMD Perusahaan Sekuritas dan Reksa Dana Lainnya</t>
  </si>
  <si>
    <t>e3034</t>
  </si>
  <si>
    <t>64. PT Timah</t>
  </si>
  <si>
    <t>4514</t>
  </si>
  <si>
    <t>PT PERKEBUNAN NUSANTARA XIII (PERSERO)</t>
  </si>
  <si>
    <t>00774</t>
  </si>
  <si>
    <t>Perdagangan Ekspor Bahan bakuKayu</t>
  </si>
  <si>
    <t>Atang Latief</t>
  </si>
  <si>
    <t>15</t>
  </si>
  <si>
    <t>Penduduk/Resident.Sektor Pemerintah.Badan Usaha Milik Daerah (BUMD).BUMD Lembaga Keuangan Bukan Bank.BUMD Lembaga Keuangan Lainnya</t>
  </si>
  <si>
    <t>e3035</t>
  </si>
  <si>
    <t>65. PT Aneka Tambang</t>
  </si>
  <si>
    <t>4515</t>
  </si>
  <si>
    <t>PT PERKEBUNAN NUSANTARA XIV (PERSERO)</t>
  </si>
  <si>
    <t>00775</t>
  </si>
  <si>
    <t>Perdagangan Ekspor Bahan bakuRotan</t>
  </si>
  <si>
    <t>Merdeka</t>
  </si>
  <si>
    <t>150</t>
  </si>
  <si>
    <t>Penduduk/Resident.Sektor Pemerintah.Badan Usaha Milik Daerah (BUMD).BUMD Bukan Lembaga Keuangan.Perusahaan Daerah Air Minum (PDAM)</t>
  </si>
  <si>
    <t>e3037</t>
  </si>
  <si>
    <t>66. PT Bukit Asam Tbk</t>
  </si>
  <si>
    <t>4523</t>
  </si>
  <si>
    <t>PT PERMODALAN NASIONAL MADANI (PERSERO)</t>
  </si>
  <si>
    <t>00776</t>
  </si>
  <si>
    <t>Perdagangan Ekspor Bahan bakuHasil hutan selainkayu dan rotan</t>
  </si>
  <si>
    <t>Metro Garmin</t>
  </si>
  <si>
    <t>151</t>
  </si>
  <si>
    <t>Penduduk/Resident.Sektor Pemerintah.Badan Usaha Milik Daerah (BUMD).BUMD Bukan Lembaga Keuangan.Perusahaan Daerah Pasar (PD Pasar)</t>
  </si>
  <si>
    <t>e3038</t>
  </si>
  <si>
    <t>67. Perusahaan Jasa Konstruksi</t>
  </si>
  <si>
    <t>4516</t>
  </si>
  <si>
    <t>PT PERTAMINA (PERSERO)</t>
  </si>
  <si>
    <t>00777</t>
  </si>
  <si>
    <t>Perdagangan Ekspor Bahan bakuHasil tanaman pangan dan perkebunan</t>
  </si>
  <si>
    <t>Modern</t>
  </si>
  <si>
    <t>152</t>
  </si>
  <si>
    <t>Penduduk/Resident.Sektor Pemerintah.Badan Usaha Milik Daerah (BUMD).BUMD Bukan Lembaga Keuangan.BUMD Bukan Lembaga Keuangan Lainnya</t>
  </si>
  <si>
    <t>e3039</t>
  </si>
  <si>
    <t>68. PT Pos Indonesia</t>
  </si>
  <si>
    <t>4172</t>
  </si>
  <si>
    <t>PT PERUSAHAAN GAS NEGARA (PERSERO)TBK</t>
  </si>
  <si>
    <t>00779</t>
  </si>
  <si>
    <t>Perdagangan Ekspor Bahan bakuHewan hidup dan hasilnya</t>
  </si>
  <si>
    <t>Mujur Timber</t>
  </si>
  <si>
    <t>153</t>
  </si>
  <si>
    <t>Penduduk/Resident.Swasta Nasional.Bank Swasta Nasional.Bank Umum Konvensional Swasta Nasional</t>
  </si>
  <si>
    <t>e3603</t>
  </si>
  <si>
    <t>69. PT Pupuk Sriwijaya</t>
  </si>
  <si>
    <t>4524</t>
  </si>
  <si>
    <t>PT PERUSAHAAN PENGELOLA ASET (PERSERO)</t>
  </si>
  <si>
    <t>00781</t>
  </si>
  <si>
    <t>Perdagangan Ekspor Bahan bakuBijih timah</t>
  </si>
  <si>
    <t>Mustika Ratu</t>
  </si>
  <si>
    <t>154</t>
  </si>
  <si>
    <t>Penduduk/Resident.Swasta Nasional.Bank Swasta Nasional.Bank Umum Syariah Swasta Nasional</t>
  </si>
  <si>
    <t>e3604</t>
  </si>
  <si>
    <t>70. Badan Urusan Logistik</t>
  </si>
  <si>
    <t>2010</t>
  </si>
  <si>
    <t>PT PERUSAHAAN PERDAGANGAN INDONESIA (PERSERO)</t>
  </si>
  <si>
    <t>00782</t>
  </si>
  <si>
    <t>Perdagangan Ekspor Bahan bakuBijih logam selain timah</t>
  </si>
  <si>
    <t>Ometraco</t>
  </si>
  <si>
    <t>155</t>
  </si>
  <si>
    <t>Penduduk/Resident.Swasta Nasional.Bank Swasta Nasional.Bank Perkreditan Rakyat (BPR) Konvensional Swasta Nasional</t>
  </si>
  <si>
    <t>e3605</t>
  </si>
  <si>
    <t>71. Bukan Lembaga Keuangan Lainnya</t>
  </si>
  <si>
    <t>4599</t>
  </si>
  <si>
    <t>PT POS INDONESIA (PERSERO)</t>
  </si>
  <si>
    <t>00784</t>
  </si>
  <si>
    <t>Perdagangan Ekspor Bahan bakuBatubara</t>
  </si>
  <si>
    <t>Pan Nusantara</t>
  </si>
  <si>
    <t>156</t>
  </si>
  <si>
    <t>Penduduk/Resident.Swasta Nasional.Bank Swasta Nasional.Bank Perkreditan Rakyat (BPR) Syariah Swasta Nasional</t>
  </si>
  <si>
    <t>e3606</t>
  </si>
  <si>
    <t>72. Badan Usaha Milik Daerah - Perusahaan Asuransi</t>
  </si>
  <si>
    <t>5110</t>
  </si>
  <si>
    <t>PT PP BERDIKARI (PERSERO)</t>
  </si>
  <si>
    <t>00785</t>
  </si>
  <si>
    <t>Perdagangan Ekspor Bahan bakuLainnya</t>
  </si>
  <si>
    <t>Panin</t>
  </si>
  <si>
    <t>157</t>
  </si>
  <si>
    <t>Penduduk/Resident.Swasta Nasional.Lembaga Keuangan Bukan Bank Milik Swasta Nasional.Perusahaan Asuransi dan Dana Pensiun Swasta Nasional.Perusahaan Asuransi Swasta Nasional</t>
  </si>
  <si>
    <t>e3042</t>
  </si>
  <si>
    <t>73. Badan Usaha Milik Daerah - Dana Pensiun</t>
  </si>
  <si>
    <t>5120</t>
  </si>
  <si>
    <t>PT PRADNYA PARAMITA (PERSERO)</t>
  </si>
  <si>
    <t>00786</t>
  </si>
  <si>
    <t>Perdagangan Ekspor Barang setengah jadiKayu gergajian</t>
  </si>
  <si>
    <t>Parit Padang</t>
  </si>
  <si>
    <t>158</t>
  </si>
  <si>
    <t>Penduduk/Resident.Swasta Nasional.Lembaga Keuangan Bukan Bank Milik Swasta Nasional.Perusahaan Asuransi dan Dana Pensiun Swasta Nasional.Perusahaan Dana Pensiun Swasta Nasional</t>
  </si>
  <si>
    <t>e3043</t>
  </si>
  <si>
    <t>74. Badan Usaha Milik Daerah - Modal Ventura</t>
  </si>
  <si>
    <t>5130</t>
  </si>
  <si>
    <t>PT PUPUK INDONESIA HOLDING COMPANY (PERSERO)</t>
  </si>
  <si>
    <t>00787</t>
  </si>
  <si>
    <t>Perdagangan Ekspor Barang setengah jadiKopi biji</t>
  </si>
  <si>
    <t>Pioneer Trading</t>
  </si>
  <si>
    <t>159</t>
  </si>
  <si>
    <t>Penduduk/Resident.Swasta Nasional.Lembaga Keuangan Bukan Bank Milik Swasta Nasional.Modal Ventura Swasta Nasional</t>
  </si>
  <si>
    <t>e3044</t>
  </si>
  <si>
    <t>75. Badan Usaha Milik Daerah - Perusahaan Pembiayaan</t>
  </si>
  <si>
    <t>5140</t>
  </si>
  <si>
    <t>PT RAJAWALI NUSANTARA INDONESIA (PERSERO)</t>
  </si>
  <si>
    <t>00788</t>
  </si>
  <si>
    <t>Perdagangan Ekspor Barang setengah jadiTembakau</t>
  </si>
  <si>
    <t>BII</t>
  </si>
  <si>
    <t>16</t>
  </si>
  <si>
    <t>Penduduk/Resident.Swasta Nasional.Lembaga Keuangan Bukan Bank Milik Swasta Nasional.Perusahaan Pembiayaan Swasta Nasional</t>
  </si>
  <si>
    <t>e3045</t>
  </si>
  <si>
    <t>76. Badan Usaha Milik Daerah -  Perusahaan Sekuritas yang tidak melakukan kegiatan usaha reksadana</t>
  </si>
  <si>
    <t>5151</t>
  </si>
  <si>
    <t>PT REASURANSI UMUM INDONESIA (PERSERO)</t>
  </si>
  <si>
    <t>00789</t>
  </si>
  <si>
    <t>Perdagangan Ekspor Barang setengah jadiKaret</t>
  </si>
  <si>
    <t>Pos Kota</t>
  </si>
  <si>
    <t>160</t>
  </si>
  <si>
    <t>Penduduk/Resident.Swasta Nasional.Lembaga Keuangan Bukan Bank Milik Swasta Nasional.Perusahaan Sekuritas dan Reksa Dana Swasta Nasional.Perusahaan Sekuritas Swasta Nasional yang Tidak Melakukan Kegiatan Usaha Reksa Dana</t>
  </si>
  <si>
    <t>e3047</t>
  </si>
  <si>
    <t>77. Badan Usaha Milik Daerah - Perusahaan Sekuritas yang melakukan kegiatan usaha reksadana</t>
  </si>
  <si>
    <t>5152</t>
  </si>
  <si>
    <t>PT SARANA KARYA(PERSERO)</t>
  </si>
  <si>
    <t>00791</t>
  </si>
  <si>
    <t>Perdagangan Ekspor Barang setengah jadiLada</t>
  </si>
  <si>
    <t>Prima Express Bank</t>
  </si>
  <si>
    <t>161</t>
  </si>
  <si>
    <t>Penduduk/Resident.Swasta Nasional.Lembaga Keuangan Bukan Bank Milik Swasta Nasional.Perusahaan Sekuritas dan Reksa Dana Swasta Nasional.Perusahaan Sekuritas Swasta Nasional yang Melakukan Kegiatan Usaha Reksa Dana</t>
  </si>
  <si>
    <t>e3048</t>
  </si>
  <si>
    <t>78. Badan Usaha Milik Daerah - Perusahaan Reksadana</t>
  </si>
  <si>
    <t>5153</t>
  </si>
  <si>
    <t>PT SARINAH (PERSERO)</t>
  </si>
  <si>
    <t>00792</t>
  </si>
  <si>
    <t>Perdagangan Ekspor Barang setengah jadiMinyak kelapa sawit mentah</t>
  </si>
  <si>
    <t>Raja Garuda Mas</t>
  </si>
  <si>
    <t>162</t>
  </si>
  <si>
    <t>Penduduk/Resident.Swasta Nasional.Lembaga Keuangan Bukan Bank Milik Swasta Nasional.Perusahaan Sekuritas dan Reksa Dana Swasta Nasional.Perusahaan Reksa Dana Swasta Nasional</t>
  </si>
  <si>
    <t>e3049</t>
  </si>
  <si>
    <t>79. Badan Usaha Milik Daerah - Manajer Investasi</t>
  </si>
  <si>
    <t>5154</t>
  </si>
  <si>
    <t>PT SEMEN BATURAJA (PERSERO)</t>
  </si>
  <si>
    <t>00793</t>
  </si>
  <si>
    <t>Perdagangan Ekspor Barang setengah jadiMinyak biji kelapa sawit</t>
  </si>
  <si>
    <t>Risjadson</t>
  </si>
  <si>
    <t>163</t>
  </si>
  <si>
    <t>Penduduk/Resident.Swasta Nasional.Lembaga Keuangan Bukan Bank Milik Swasta Nasional.Perusahaan Sekuritas dan Reksa Dana Swasta Nasional.Manajer Investasi Swasta Nasional</t>
  </si>
  <si>
    <t>e3050</t>
  </si>
  <si>
    <t>80. Badan Usaha Milik Daerah - Lembaga Keuangan Non Bank Lainnya</t>
  </si>
  <si>
    <t>5159</t>
  </si>
  <si>
    <t>PT SEMEN GRESIK (PERSERO) TBK</t>
  </si>
  <si>
    <t>00794</t>
  </si>
  <si>
    <t>Perdagangan Ekspor Barang setengah jadiBungkil kopra</t>
  </si>
  <si>
    <t>Roda Vivatex</t>
  </si>
  <si>
    <t>164</t>
  </si>
  <si>
    <t>Penduduk/Resident.Swasta Nasional.Lembaga Keuangan Bukan Bank Milik Swasta Nasional.Perusahaan Sekuritas dan Reksa Dana Swasta Nasional.Perusahaan Sekuritas dan Reksa Dana Swasta Nasional Lainnya</t>
  </si>
  <si>
    <t>e3051</t>
  </si>
  <si>
    <t>81. Badan Usaha Milik Daerah Lainnya</t>
  </si>
  <si>
    <t>5199</t>
  </si>
  <si>
    <t>PT SEMEN KUPANG (PERSERO)</t>
  </si>
  <si>
    <t>00795</t>
  </si>
  <si>
    <t>Perdagangan Ekspor Barang setengah jadiHasil tanaman pangan dan perkebunan lainnya</t>
  </si>
  <si>
    <t>Sahid</t>
  </si>
  <si>
    <t>165</t>
  </si>
  <si>
    <t>Penduduk/Resident.Swasta Nasional.Lembaga Keuangan Bukan Bank Milik Swasta Nasional.Lembaga Keuangan Bukan Bank Swasta Nasional Lainnya.Baitul Maal Wa Tamwil (BMT) Swasta Nasional</t>
  </si>
  <si>
    <t>e3053</t>
  </si>
  <si>
    <t>82. Badan Usaha Milik Daerah Bukan Lembaga Keuangan - PDAM</t>
  </si>
  <si>
    <t>5501</t>
  </si>
  <si>
    <t>PT SUCOFINDO (PERSERO)</t>
  </si>
  <si>
    <t>00796</t>
  </si>
  <si>
    <t>Perdagangan Ekspor Barang setengah jadiHewan yang sudah diolah</t>
  </si>
  <si>
    <t>Samator</t>
  </si>
  <si>
    <t>166</t>
  </si>
  <si>
    <t>Penduduk/Resident.Swasta Nasional.Lembaga Keuangan Bukan Bank Milik Swasta Nasional.Lembaga Keuangan Bukan Bank Swasta Nasional Lainnya.Koperasi Simpan Pinjam.Koperasi Simpan Pinjam Primer</t>
  </si>
  <si>
    <t>e3055</t>
  </si>
  <si>
    <t>83. Badan Usaha Milik Daerah Bukan Lembaga Keuangan - PD PASAR</t>
  </si>
  <si>
    <t>5502</t>
  </si>
  <si>
    <t>PT SURVEY UDARA PENAS (PERSERO)</t>
  </si>
  <si>
    <t>00797</t>
  </si>
  <si>
    <t>Perdagangan Ekspor Barang setengah jadiBahan makanan lainnya</t>
  </si>
  <si>
    <t>Sari Warna Asli</t>
  </si>
  <si>
    <t>167</t>
  </si>
  <si>
    <t>Penduduk/Resident.Swasta Nasional.Lembaga Keuangan Bukan Bank Milik Swasta Nasional.Lembaga Keuangan Bukan Bank Swasta Nasional Lainnya.Koperasi Simpan Pinjam.Koperasi Simpan Pinjam Lainnya</t>
  </si>
  <si>
    <t>e3056</t>
  </si>
  <si>
    <t>84. Badan Usaha Milik Daerah - Bukan Lembaga Keuangan Lainnya</t>
  </si>
  <si>
    <t>5599</t>
  </si>
  <si>
    <t>PT SURVEYOR INDONESIA (PERSERO)</t>
  </si>
  <si>
    <t>00798</t>
  </si>
  <si>
    <t>Perdagangan Ekspor Barang setengah jadiHasil tambang setengah jadi</t>
  </si>
  <si>
    <t>Servitia</t>
  </si>
  <si>
    <t>168</t>
  </si>
  <si>
    <t>Penduduk/Resident.Swasta Nasional.Lembaga Keuangan Bukan Bank Milik Swasta Nasional.Lembaga Keuangan Bukan Bank Swasta Nasional Lainnya.LKNB Swasta Nasional Lainnya selain Baitul Maal Wa Tamwil (BMT) dan Koperasi Simpan Pinjam</t>
  </si>
  <si>
    <t>e3057</t>
  </si>
  <si>
    <t>85. Sektor Swasta - Lembaga Keuangan Non Bank Nasional - Perusahaan Asuransi</t>
  </si>
  <si>
    <t>7110</t>
  </si>
  <si>
    <t>PT TASPEN (PERSERO)</t>
  </si>
  <si>
    <t>00799</t>
  </si>
  <si>
    <t>Perdagangan Ekspor Barang setengah jadiLainnya</t>
  </si>
  <si>
    <t>Shinta Indah</t>
  </si>
  <si>
    <t>169</t>
  </si>
  <si>
    <t>Penduduk/Resident.Swasta Nasional.Lembaga Keuangan Bukan Bank Milik Swasta Nasional.Lembaga Keuangan Bukan Bank Milik Campuran.Perusahaan Asuransi dan Dana Pensiun Campuran.Perusahaan Asuransi Campuran</t>
  </si>
  <si>
    <t>e3064</t>
  </si>
  <si>
    <t>86. Sektor Swasta - Lembaga Keuangan Non Bank Nasional - Dana Pensiun</t>
  </si>
  <si>
    <t>7120</t>
  </si>
  <si>
    <t>PT TELEKOMUNIKASI INDONESIA (PERSERO) TBK</t>
  </si>
  <si>
    <t>00800</t>
  </si>
  <si>
    <t>Perdagangan Ekspor Barang jadiKayu lapis dan sejenisnya</t>
  </si>
  <si>
    <t>Bakrie</t>
  </si>
  <si>
    <t>17</t>
  </si>
  <si>
    <t>Penduduk/Resident.Swasta Nasional.Lembaga Keuangan Bukan Bank Milik Swasta Nasional.Lembaga Keuangan Bukan Bank Milik Campuran.Perusahaan Asuransi dan Dana Pensiun Campuran.Perusahaan Dana Pensiun Campuran</t>
  </si>
  <si>
    <t>e3065</t>
  </si>
  <si>
    <t>87. Sektor Swasta Nasional - Lembaga Keuangan Non Bank - Modal Ventura</t>
  </si>
  <si>
    <t>7130</t>
  </si>
  <si>
    <t>PT TIMAH (PERSERO) TBK</t>
  </si>
  <si>
    <t>00801</t>
  </si>
  <si>
    <t>Perdagangan Ekspor Barang jadiTeh</t>
  </si>
  <si>
    <t>Sinar Kasih</t>
  </si>
  <si>
    <t>170</t>
  </si>
  <si>
    <t>Penduduk/Resident.Swasta Nasional.Lembaga Keuangan Bukan Bank Milik Swasta Nasional.Lembaga Keuangan Bukan Bank Milik Campuran.Modal Ventura Campuran</t>
  </si>
  <si>
    <t>e3066</t>
  </si>
  <si>
    <t>88. Sektor Swasta Nasional - Lembaga Keuangan Non Bank - Perusahaan Pembiayaan</t>
  </si>
  <si>
    <t>7140</t>
  </si>
  <si>
    <t>PT TWC BOROBUDUR, PRAMBANAN DAN RATU BOKO (PERSERO)</t>
  </si>
  <si>
    <t>00802</t>
  </si>
  <si>
    <t>Perdagangan Ekspor Barang jadiKopi bubuk</t>
  </si>
  <si>
    <t>Sinar Mas</t>
  </si>
  <si>
    <t>171</t>
  </si>
  <si>
    <t>Penduduk/Resident.Swasta Nasional.Lembaga Keuangan Bukan Bank Milik Swasta Nasional.Lembaga Keuangan Bukan Bank Milik Campuran.Perusahaan Pembiayaan Campuran</t>
  </si>
  <si>
    <t>e3067</t>
  </si>
  <si>
    <t>89. Swasta Nsnl-Keuangan NonBank-Perusahaan sekuritas yang tidak melakukan kegiatan usaha reksadana</t>
  </si>
  <si>
    <t>7151</t>
  </si>
  <si>
    <t>PT VARUNA TIRTA PRAKASYA (PERSERO)</t>
  </si>
  <si>
    <t>00803</t>
  </si>
  <si>
    <t>Perdagangan Ekspor Barang jadiHasil tanaman pangan dan perkebunan lainnya</t>
  </si>
  <si>
    <t>Sinar Sahabat</t>
  </si>
  <si>
    <t>172</t>
  </si>
  <si>
    <t>Penduduk/Resident.Swasta Nasional.Lembaga Keuangan Bukan Bank Milik Swasta Nasional.Lembaga Keuangan Bukan Bank Milik Campuran.Perusahaan Sekuritas dan Reksa Dana Campuran.Perusahaan Sekuritas Campuran yang Tidak Melakukan Kegiatan Usaha Reksa Dana</t>
  </si>
  <si>
    <t>e3069</t>
  </si>
  <si>
    <t>90. Swasta Nasional-Keuangan NonBank-Perusahaan sekuritas yang melakukan kegiatan usaha Reksadana</t>
  </si>
  <si>
    <t>7152</t>
  </si>
  <si>
    <t>PT VIRAMA KARYA (PERSERO)</t>
  </si>
  <si>
    <t>00804</t>
  </si>
  <si>
    <t>Perdagangan Ekspor Barang jadiUdang</t>
  </si>
  <si>
    <t>ABC</t>
  </si>
  <si>
    <t>173</t>
  </si>
  <si>
    <t>Penduduk/Resident.Swasta Nasional.Lembaga Keuangan Bukan Bank Milik Swasta Nasional.Lembaga Keuangan Bukan Bank Milik Campuran.Perusahaan Sekuritas dan Reksa Dana Campuran.Perusahaan Sekuritas Campuran yang Melakukan Kegiatan Usaha Reksa Dana</t>
  </si>
  <si>
    <t>e3070</t>
  </si>
  <si>
    <t>91. Sektor Swasta Nasional - Lembaga Keuangan Non Bank - Perusahaan Reksadana</t>
  </si>
  <si>
    <t>7153</t>
  </si>
  <si>
    <t>PT YODYA KARYA (PERSERO)</t>
  </si>
  <si>
    <t>00806</t>
  </si>
  <si>
    <t>Perdagangan Ekspor Barang jadiHasil hewan selain udang</t>
  </si>
  <si>
    <t>Adi Teknik</t>
  </si>
  <si>
    <t>174</t>
  </si>
  <si>
    <t>Penduduk/Resident.Swasta Nasional.Lembaga Keuangan Bukan Bank Milik Swasta Nasional.Lembaga Keuangan Bukan Bank Milik Campuran.Perusahaan Sekuritas dan Reksa Dana Campuran.Perusahaan Reksa Dana Campuran</t>
  </si>
  <si>
    <t>e3071</t>
  </si>
  <si>
    <t>92. Sektor Swasta Nasional - Lembaga Keuangan Non Bank - Manajer Investasi</t>
  </si>
  <si>
    <t>7154</t>
  </si>
  <si>
    <t>PUSAT PELAPORAN DAN ANALISIS TRANSAKSI KEUANGAN</t>
  </si>
  <si>
    <t>00807</t>
  </si>
  <si>
    <t>Perdagangan Ekspor Barang jadiBarang kerajinan dari kayu dan rotan</t>
  </si>
  <si>
    <t>Aldiron Hero</t>
  </si>
  <si>
    <t>175</t>
  </si>
  <si>
    <t>Penduduk/Resident.Swasta Nasional.Lembaga Keuangan Bukan Bank Milik Swasta Nasional.Lembaga Keuangan Bukan Bank Milik Campuran.Perusahaan Sekuritas dan Reksa Dana Campuran.Manajer Investasi Campuran</t>
  </si>
  <si>
    <t>e3072</t>
  </si>
  <si>
    <t>93. Sektor Swasta Nasional - Lembaga Keuangan Non Bank Lainnya</t>
  </si>
  <si>
    <t>7159</t>
  </si>
  <si>
    <t>PT ASKRINDO (PERSERO)</t>
  </si>
  <si>
    <t>00685</t>
  </si>
  <si>
    <t>Perdagangan Ekspor Barang jadiBarang kerajinan selain dari kayu dan rotan</t>
  </si>
  <si>
    <t>Amerin</t>
  </si>
  <si>
    <t>176</t>
  </si>
  <si>
    <t>Penduduk/Resident.Swasta Nasional.Lembaga Keuangan Bukan Bank Milik Swasta Nasional.Lembaga Keuangan Bukan Bank Milik Campuran.Perusahaan Sekuritas dan Reksa Dana Campuran.Perusahaan Sekuritas dan Reksa Dana Campuran Lainnya</t>
  </si>
  <si>
    <t>e3073</t>
  </si>
  <si>
    <t xml:space="preserve">94. Sektor Swasta Nasional - Baitul Maal Wa Tamwil </t>
  </si>
  <si>
    <t>7172</t>
  </si>
  <si>
    <t>PT ASURANSI EKSPOR INDONESIA (PERSERO)</t>
  </si>
  <si>
    <t>00686</t>
  </si>
  <si>
    <t>Perdagangan Ekspor Barang jadiTekstil</t>
  </si>
  <si>
    <t>Arseto</t>
  </si>
  <si>
    <t>177</t>
  </si>
  <si>
    <t>Penduduk/Resident.Swasta Nasional.Lembaga Keuangan Bukan Bank Milik Swasta Nasional.Lembaga Keuangan Bukan Bank Milik Campuran.Lembaga Keuangan Bukan Bank Campuran Lainnya.Baitul Maal Wa Tamwil (BMT) Campuran</t>
  </si>
  <si>
    <t>e3075</t>
  </si>
  <si>
    <t>95. Sektor Swasta Nasional - Koperasi Simpan Pinjam Primer</t>
  </si>
  <si>
    <t>7173</t>
  </si>
  <si>
    <t>PT ASURANSI JASA INDONESIA (PERSERO)</t>
  </si>
  <si>
    <t>00687</t>
  </si>
  <si>
    <t>Perdagangan Ekspor Barang jadiSandang selain tekstil</t>
  </si>
  <si>
    <t>Asia Permai</t>
  </si>
  <si>
    <t>178</t>
  </si>
  <si>
    <t>Penduduk/Resident.Swasta Nasional.Lembaga Keuangan Bukan Bank Milik Swasta Nasional.Lembaga Keuangan Bukan Bank Milik Asing.Perusahaan Asuransi dan Dana Pensiun Asing.Perusahaan Asuransi di Luar Indonesia</t>
  </si>
  <si>
    <t>e3081</t>
  </si>
  <si>
    <t>96. Sektor Swasta Nasional - Koperasi Simpan Pinjam Lainnya</t>
  </si>
  <si>
    <t>7174</t>
  </si>
  <si>
    <t>PT ASURANSI JASA RAHARDJA (PERSERO)</t>
  </si>
  <si>
    <t>00688</t>
  </si>
  <si>
    <t>Perdagangan Ekspor Barang jadiLainnya</t>
  </si>
  <si>
    <t>Astra Graphia</t>
  </si>
  <si>
    <t>179</t>
  </si>
  <si>
    <t>Penduduk/Resident.Swasta Nasional.Lembaga Keuangan Bukan Bank Milik Swasta Nasional.Lembaga Keuangan Bukan Bank Milik Asing.Perusahaan Asuransi dan Dana Pensiun Asing.Dana Pensiun Asing</t>
  </si>
  <si>
    <t>e3082</t>
  </si>
  <si>
    <t>97. Sektor Swasta Nasional - Lainnya</t>
  </si>
  <si>
    <t>7190</t>
  </si>
  <si>
    <t>PT ASURANSI JIWASRAYA (PERSERO)</t>
  </si>
  <si>
    <t>00689</t>
  </si>
  <si>
    <t>Perdagangan Ekspor jasa-jasaKonstruksi</t>
  </si>
  <si>
    <t>Bank Bali</t>
  </si>
  <si>
    <t>18</t>
  </si>
  <si>
    <t>Penduduk/Resident.Swasta Nasional.Lembaga Keuangan Bukan Bank Milik Swasta Nasional.Lembaga Keuangan Bukan Bank Milik Asing.Modal Ventura Asing</t>
  </si>
  <si>
    <t>e3083</t>
  </si>
  <si>
    <t>98. Sektor Swasta Campuran Perusahaan Asuransi</t>
  </si>
  <si>
    <t>7210</t>
  </si>
  <si>
    <t>PT ASURANSI KESEHATAN INDONESIA (PERSERO)</t>
  </si>
  <si>
    <t>00690</t>
  </si>
  <si>
    <t>Perdagangan Ekspor jasa-jasaLainnya</t>
  </si>
  <si>
    <t>Bangun Tjipta Sarana</t>
  </si>
  <si>
    <t>180</t>
  </si>
  <si>
    <t>Penduduk/Resident.Swasta Nasional.Lembaga Keuangan Bukan Bank Milik Swasta Nasional.Lembaga Keuangan Bukan Bank Milik Asing.Perusahaan Pembiayaan Asing</t>
  </si>
  <si>
    <t>e3084</t>
  </si>
  <si>
    <t>99. Sektor Swasta Campuran Dana Pensiun</t>
  </si>
  <si>
    <t>7220</t>
  </si>
  <si>
    <t>PT BAHANA PUI (PERSERO)</t>
  </si>
  <si>
    <t>00691</t>
  </si>
  <si>
    <t>Perdagangan Impor dlm rangka bantuan LNBiji gandum</t>
  </si>
  <si>
    <t>Bank Duta</t>
  </si>
  <si>
    <t>181</t>
  </si>
  <si>
    <t>Penduduk/Resident.Swasta Nasional.Lembaga Keuangan Bukan Bank Milik Swasta Nasional.Lembaga Keuangan Bukan Bank Milik Asing.Perusahaan Sekuritas dan Reksa Dana Asing.Perusahaan Sekuritas Asing yang Tidak Melakukan Kegiatan Usaha Reksa Dana</t>
  </si>
  <si>
    <t>e3086</t>
  </si>
  <si>
    <t>100. Sektor Swasta Campuran Modal Ventura</t>
  </si>
  <si>
    <t>7230</t>
  </si>
  <si>
    <t>PT BALAI PUSTAKA (PERSERO)</t>
  </si>
  <si>
    <t>00692</t>
  </si>
  <si>
    <t>Perdagangan Impor dlm rangka bantuan LNBeras</t>
  </si>
  <si>
    <t>Barito Pacific</t>
  </si>
  <si>
    <t>182</t>
  </si>
  <si>
    <t>Penduduk/Resident.Swasta Nasional.Lembaga Keuangan Bukan Bank Milik Swasta Nasional.Lembaga Keuangan Bukan Bank Milik Asing.Perusahaan Sekuritas dan Reksa Dana Asing.Perusahaan Sekuritas Asing yang Melakukan Kegiatan Usaha Reksa Dana</t>
  </si>
  <si>
    <t>e3087</t>
  </si>
  <si>
    <t>101. Sektor Swasta Campuran Perusahaan Pembiayaan</t>
  </si>
  <si>
    <t>7240</t>
  </si>
  <si>
    <t>PT BALI TOURISM &amp; DEVELOPMENT CORPORATION (PERSERO)</t>
  </si>
  <si>
    <t>00693</t>
  </si>
  <si>
    <t>Perdagangan Impor dlm rangka bantuan LNKapas</t>
  </si>
  <si>
    <t>Batik Keris</t>
  </si>
  <si>
    <t>183</t>
  </si>
  <si>
    <t>Penduduk/Resident.Swasta Nasional.Lembaga Keuangan Bukan Bank Milik Swasta Nasional.Lembaga Keuangan Bukan Bank Milik Asing.Perusahaan Sekuritas dan Reksa Dana Asing.Perusahaan Reksa Dana Asing</t>
  </si>
  <si>
    <t>e3088</t>
  </si>
  <si>
    <t>102. Sektor Swasta Campuran Perusahaan Sekuritas yang tidak melakukan kegiatan usaha reksadana</t>
  </si>
  <si>
    <t>7251</t>
  </si>
  <si>
    <t>PT BANK MANDIRI (PERSERO) TBK</t>
  </si>
  <si>
    <t>00694</t>
  </si>
  <si>
    <t>Perdagangan Impor dlm rangka bantuan LNBenang tenun</t>
  </si>
  <si>
    <t>Bimantara</t>
  </si>
  <si>
    <t>184</t>
  </si>
  <si>
    <t>Penduduk/Resident.Swasta Nasional.Lembaga Keuangan Bukan Bank Milik Swasta Nasional.Lembaga Keuangan Bukan Bank Milik Asing.Perusahaan Sekuritas dan Reksa Dana Asing.Manajer Investasi Asing</t>
  </si>
  <si>
    <t>e3089</t>
  </si>
  <si>
    <t>103. Sektor Swasta Campuran Perusahaan Sekuritas yang melakukan kegiatan usaha reksadana</t>
  </si>
  <si>
    <t>7252</t>
  </si>
  <si>
    <t>PT BANK NEGARA INDONESIA (PERSERO) TBK</t>
  </si>
  <si>
    <t>00695</t>
  </si>
  <si>
    <t>Perdagangan Impor dlm rangka bantuan LNLainnya</t>
  </si>
  <si>
    <t>Bukit Jaya Abadi</t>
  </si>
  <si>
    <t>185</t>
  </si>
  <si>
    <t>Penduduk/Resident.Swasta Nasional.Lembaga Keuangan Bukan Bank Milik Swasta Nasional.Lembaga Keuangan Bukan Bank Milik Asing.Perusahaan Sekuritas dan Reksa Dana Asing.Perusahaan Sekuritas dan Reksa Dana Asing Lainnya</t>
  </si>
  <si>
    <t>e3090</t>
  </si>
  <si>
    <t>104. Sektor Swasta Campuran Perusahaan Reksadana</t>
  </si>
  <si>
    <t>7253</t>
  </si>
  <si>
    <t>PT BANK RAKYAT INDONESIA (PERSERO) TBK</t>
  </si>
  <si>
    <t>00696</t>
  </si>
  <si>
    <t>Perdagangan Impor bukan dlm rangka bantuan LNPupuk dan obat hama</t>
  </si>
  <si>
    <t>Bumi Raya Utama</t>
  </si>
  <si>
    <t>186</t>
  </si>
  <si>
    <t>Penduduk/Resident.Swasta Nasional.Lembaga Keuangan Bukan Bank Milik Swasta Nasional.Lembaga Keuangan Bukan Bank Milik Asing.Lembaga Keuangan Bukan Bank Milik Asing Lainnya.Baitul Maal Wa Tamwil (BMT) Asing</t>
  </si>
  <si>
    <t>e3092</t>
  </si>
  <si>
    <t>105. Sektor Swasta Campuran Manajer Investasi</t>
  </si>
  <si>
    <t>7254</t>
  </si>
  <si>
    <t>PT BANK TABUNGAN NEGARA (PERSERO) TBK</t>
  </si>
  <si>
    <t>00697</t>
  </si>
  <si>
    <t>Perdagangan Impor bukan dlm rangka bantuan LNBesi beton</t>
  </si>
  <si>
    <t>Caputra</t>
  </si>
  <si>
    <t>187</t>
  </si>
  <si>
    <t>Penduduk/Resident.Swasta Nasional.Lembaga Keuangan Bukan Bank Milik Swasta Nasional.Lembaga Keuangan Bukan Bank Milik Asing.Lembaga Keuangan Bukan Bank Milik Asing Lainnya.Kantor Perwakilan Lembaga Keuangan Bukan Bank Milik Asing di Indonesia Lainnya</t>
  </si>
  <si>
    <t>e3093</t>
  </si>
  <si>
    <t>106. Sektor Swasta Campuran Perusahaan Sekuritas dan reksadana lainnya</t>
  </si>
  <si>
    <t>7259</t>
  </si>
  <si>
    <t>PT BANK PEMBANGUNAN DAERAH</t>
  </si>
  <si>
    <t>00698</t>
  </si>
  <si>
    <t>Perdagangan Impor bukan dlm rangka bantuan LNKertas koran</t>
  </si>
  <si>
    <t>Cisadane Raya</t>
  </si>
  <si>
    <t>188</t>
  </si>
  <si>
    <t>Penduduk/Resident.Swasta Nasional.Badan Usaha Bukan Lembaga Keuangan Penduduk.Badan Usaha Bukan Lembaga Keuangan Milik Swasta Nasional.Perusahaan-perusahaan Swasta Nasional.Perusahaan Otomotif Swasta Nasional</t>
  </si>
  <si>
    <t>e3097</t>
  </si>
  <si>
    <t>107. Sektor Swasta Campuran Baitul Maal Wa Tamwil</t>
  </si>
  <si>
    <t>7272</t>
  </si>
  <si>
    <t>PT BARATA INDONESIA (PERSERO)</t>
  </si>
  <si>
    <t>00699</t>
  </si>
  <si>
    <t>Perdagangan Impor bukan dlm rangka bantuan LNCengkeh</t>
  </si>
  <si>
    <t>Danaswara</t>
  </si>
  <si>
    <t>189</t>
  </si>
  <si>
    <t>Penduduk/Resident.Swasta Nasional.Badan Usaha Bukan Lembaga Keuangan Penduduk.Badan Usaha Bukan Lembaga Keuangan Milik Swasta Nasional.Perusahaan-perusahaan Swasta Nasional.Perusahaan Perminyakan Swasta Nasional</t>
  </si>
  <si>
    <t>e3098</t>
  </si>
  <si>
    <t>108. Sektor Swasta Campuran Kantor Perwakilan Lembaga Milik Asing di Indonesia Lainnya</t>
  </si>
  <si>
    <t>7273</t>
  </si>
  <si>
    <t>PT BATAN TEKNOLOGI (PERSERO)</t>
  </si>
  <si>
    <t>00700</t>
  </si>
  <si>
    <t>Perdagangan Impor bukan dlm rangka bantuan LNBeras</t>
  </si>
  <si>
    <t>Bank Buana</t>
  </si>
  <si>
    <t>19</t>
  </si>
  <si>
    <t>Penduduk/Resident.Swasta Nasional.Badan Usaha Bukan Lembaga Keuangan Penduduk.Badan Usaha Bukan Lembaga Keuangan Milik Swasta Nasional.Perusahaan-perusahaan Swasta Nasional.Perusahaan Tekstil Swasta Nasional</t>
  </si>
  <si>
    <t>e3099</t>
  </si>
  <si>
    <t>109. Sektor Swasta Campuran Lembaga Keuangan Non Bank Lainnya</t>
  </si>
  <si>
    <t>7290</t>
  </si>
  <si>
    <t>PT BHANDA GHARA REKSA (PERSERO)</t>
  </si>
  <si>
    <t>00701</t>
  </si>
  <si>
    <t>Perdagangan Impor bukan dlm rangka bantuan LNGula</t>
  </si>
  <si>
    <t>Daya Sakti</t>
  </si>
  <si>
    <t>190</t>
  </si>
  <si>
    <t>Penduduk/Resident.Swasta Nasional.Badan Usaha Bukan Lembaga Keuangan Penduduk.Badan Usaha Bukan Lembaga Keuangan Milik Swasta Nasional.Perusahaan-perusahaan Swasta Nasional.Perusahaan Perkayuan (HPH) Swasta Nasional</t>
  </si>
  <si>
    <t>e3100</t>
  </si>
  <si>
    <t>110. Sektor Swasta Asing Perusahaan Asuransi</t>
  </si>
  <si>
    <t>7310</t>
  </si>
  <si>
    <t>PT BINA KARYA (PERSERO)</t>
  </si>
  <si>
    <t>00702</t>
  </si>
  <si>
    <t>Perdagangan Impor bukan dlm rangka bantuan LNBiji gandum</t>
  </si>
  <si>
    <t>Dirgahayu</t>
  </si>
  <si>
    <t>191</t>
  </si>
  <si>
    <t>Penduduk/Resident.Swasta Nasional.Badan Usaha Bukan Lembaga Keuangan Penduduk.Badan Usaha Bukan Lembaga Keuangan Milik Swasta Nasional.Perusahaan-perusahaan Swasta Nasional.Perusahaan Jasa Konstruksi Swasta Nasional</t>
  </si>
  <si>
    <t>e3101</t>
  </si>
  <si>
    <t>111. Sektor Swasta Asing Dana Pensiun</t>
  </si>
  <si>
    <t>7320</t>
  </si>
  <si>
    <t>PT BIO FARMA (PERSERO)</t>
  </si>
  <si>
    <t>00703</t>
  </si>
  <si>
    <t>Perdagangan Impor bukan dlm rangka bantuan LNJagung</t>
  </si>
  <si>
    <t>Dwi Satria Utama/DSU</t>
  </si>
  <si>
    <t>192</t>
  </si>
  <si>
    <t>Penduduk/Resident.Swasta Nasional.Badan Usaha Bukan Lembaga Keuangan Penduduk.Badan Usaha Bukan Lembaga Keuangan Milik Swasta Nasional.Perusahaan-perusahaan Swasta Nasional.Perusahaan Industri Rokok Swasta Nasional</t>
  </si>
  <si>
    <t>e3102</t>
  </si>
  <si>
    <t>112. Sektor Swasta Asing Modal Ventura</t>
  </si>
  <si>
    <t>7330</t>
  </si>
  <si>
    <t>PT BIRO KLASIFIKASI INDONESIA (PERSERO)</t>
  </si>
  <si>
    <t>00704</t>
  </si>
  <si>
    <t>Perdagangan Impor bukan dlm rangka bantuan LNKacang kedelai</t>
  </si>
  <si>
    <t>Gesit Maju/Gesit</t>
  </si>
  <si>
    <t>193</t>
  </si>
  <si>
    <t>Penduduk/Resident.Swasta Nasional.Badan Usaha Bukan Lembaga Keuangan Penduduk.Badan Usaha Bukan Lembaga Keuangan Milik Swasta Nasional.Perusahaan-perusahaan Swasta Nasional.Perusahaan Industri Makanan Swasta Nasional</t>
  </si>
  <si>
    <t>e3103</t>
  </si>
  <si>
    <t>113. Sektor Swasta Asing Perusahaan Pembiayaan</t>
  </si>
  <si>
    <t>7340</t>
  </si>
  <si>
    <t>00705</t>
  </si>
  <si>
    <t>Perdagangan Impor bukan dlm rangka bantuan LNFarmasi</t>
  </si>
  <si>
    <t>Gruti</t>
  </si>
  <si>
    <t>194</t>
  </si>
  <si>
    <t>Penduduk/Resident.Swasta Nasional.Badan Usaha Bukan Lembaga Keuangan Penduduk.Badan Usaha Bukan Lembaga Keuangan Milik Swasta Nasional.Perusahaan-perusahaan Swasta Nasional.Perusahaan Agrobisnis Swasta Nasional</t>
  </si>
  <si>
    <t>e3104</t>
  </si>
  <si>
    <t>114. Sektor Swasta Asing Perusahaan Sekuritas yang tidak melakukan kegiatan usaha reksadana</t>
  </si>
  <si>
    <t>7351</t>
  </si>
  <si>
    <t>PT BOMA BISMA INDRA (PERSERO)</t>
  </si>
  <si>
    <t>00706</t>
  </si>
  <si>
    <t>Perdagangan Impor bukan dlm rangka bantuan LNSuku cadang kendaraan bermotor</t>
  </si>
  <si>
    <t>Guna Elektro</t>
  </si>
  <si>
    <t>195</t>
  </si>
  <si>
    <t>Penduduk/Resident.Swasta Nasional.Badan Usaha Bukan Lembaga Keuangan Penduduk.Badan Usaha Bukan Lembaga Keuangan Milik Swasta Nasional.Perusahaan-perusahaan Swasta Nasional.Perusahaan Swasta Nasional Lainnya</t>
  </si>
  <si>
    <t>e3105</t>
  </si>
  <si>
    <t>115. Sektor Swasta Asing Perusahaan Sekuritas yang melakukan kegiatan usaha reksadana</t>
  </si>
  <si>
    <t>7352</t>
  </si>
  <si>
    <t>PT BRANTAS ABIPRAYA (PERSERO)</t>
  </si>
  <si>
    <t>00707</t>
  </si>
  <si>
    <t>Perdagangan Impor bukan dlm rangka bantuan LNSuku cadang industri</t>
  </si>
  <si>
    <t>Hanurata</t>
  </si>
  <si>
    <t>196</t>
  </si>
  <si>
    <t>Penduduk/Resident.Swasta Nasional.Badan Usaha Bukan Lembaga Keuangan Penduduk.Badan Usaha Bukan Lembaga Keuangan Milik Swasta Nasional.Koperasi Bukan Simpan Pinjam.Koperasi Bukan Simpan Pinjam Primer</t>
  </si>
  <si>
    <t>e3107</t>
  </si>
  <si>
    <t>116. Sektor Swasta Asing Perusahaan Reksadana</t>
  </si>
  <si>
    <t>7353</t>
  </si>
  <si>
    <t>PT BUKIT ASAM (PERSERO) TBK</t>
  </si>
  <si>
    <t>00708</t>
  </si>
  <si>
    <t>Perdagangan Impor bukan dlm rangka bantuan LNLainnya</t>
  </si>
  <si>
    <t>Hasil Karsa/Hasil</t>
  </si>
  <si>
    <t>197</t>
  </si>
  <si>
    <t>Penduduk/Resident.Swasta Nasional.Badan Usaha Bukan Lembaga Keuangan Penduduk.Badan Usaha Bukan Lembaga Keuangan Milik Swasta Nasional.Koperasi Bukan Simpan Pinjam.Koperasi Bukan Simpan Pinjam Lainnya</t>
  </si>
  <si>
    <t>e3108</t>
  </si>
  <si>
    <t>117. Sektor Swasta Asing Manajer Investasi</t>
  </si>
  <si>
    <t>7354</t>
  </si>
  <si>
    <t>PT CAMBRICS PRIMISSIMA (PERSERO)</t>
  </si>
  <si>
    <t>00709</t>
  </si>
  <si>
    <t>Perdagangan DNBeras</t>
  </si>
  <si>
    <t>Indhasana</t>
  </si>
  <si>
    <t>198</t>
  </si>
  <si>
    <t>Penduduk/Resident.Swasta Nasional.Badan Usaha Bukan Lembaga Keuangan Penduduk.Badan Usaha Bukan Lembaga Keuangan Milik Swasta Nasional.Yayasan, Badan Sosial dan Organisasi Kemasyarakatan Swasta Nasional.Lembaga Pendidikan Swasta Nasional</t>
  </si>
  <si>
    <t>e3112</t>
  </si>
  <si>
    <t>118. Sektor Swasta Asing Perusahaan Sekuritas dan Reksadana Lainnya</t>
  </si>
  <si>
    <t>7359</t>
  </si>
  <si>
    <t>PT DAHANA (PERSERO)</t>
  </si>
  <si>
    <t>00710</t>
  </si>
  <si>
    <t>Perdagangan DNJagung</t>
  </si>
  <si>
    <t>Jan Darmadi</t>
  </si>
  <si>
    <t>199</t>
  </si>
  <si>
    <t>Penduduk/Resident.Swasta Nasional.Badan Usaha Bukan Lembaga Keuangan Penduduk.Badan Usaha Bukan Lembaga Keuangan Milik Campuran.Perusahaan Otomotif Campuran</t>
  </si>
  <si>
    <t>e3115</t>
  </si>
  <si>
    <t>119. Sektor Swasta Asing Baitul Maal Wa Tamwil (BMT)</t>
  </si>
  <si>
    <t>7372</t>
  </si>
  <si>
    <t>PT DANAREKSA (PERSERO)</t>
  </si>
  <si>
    <t>00711</t>
  </si>
  <si>
    <t>Perdagangan DNGaram</t>
  </si>
  <si>
    <t>Bank Danamon</t>
  </si>
  <si>
    <t>20</t>
  </si>
  <si>
    <t>Penduduk/Resident.Swasta Nasional.Badan Usaha Bukan Lembaga Keuangan Penduduk.Badan Usaha Bukan Lembaga Keuangan Milik Campuran.Perusahaan Perminyakan Campuran</t>
  </si>
  <si>
    <t>e3116</t>
  </si>
  <si>
    <t>120. Sektor Swasta Asing Kantor Perwakilan Lembaga Milik Asing di Indonesia Lainnya</t>
  </si>
  <si>
    <t>7379</t>
  </si>
  <si>
    <t>PT DIRGANTARA INDONESIA (PERSERO)</t>
  </si>
  <si>
    <t>00712</t>
  </si>
  <si>
    <t>Perdagangan DNStock gula</t>
  </si>
  <si>
    <t>Kahatex</t>
  </si>
  <si>
    <t>200</t>
  </si>
  <si>
    <t>Penduduk/Resident.Swasta Nasional.Badan Usaha Bukan Lembaga Keuangan Penduduk.Badan Usaha Bukan Lembaga Keuangan Milik Campuran.Perusahaan Tekstil Campuran</t>
  </si>
  <si>
    <t>e3117</t>
  </si>
  <si>
    <t>121. Sektor Swasta Asing Lembaga Keuangan Non Bank Lainnya</t>
  </si>
  <si>
    <t>7390</t>
  </si>
  <si>
    <t>PT DOK &amp; PERKAPALAN KODJA BAHARI (PERSERO)</t>
  </si>
  <si>
    <t>00714</t>
  </si>
  <si>
    <t>Perdagangan DNKayu</t>
  </si>
  <si>
    <t>Karwell</t>
  </si>
  <si>
    <t>201</t>
  </si>
  <si>
    <t>Penduduk/Resident.Swasta Nasional.Badan Usaha Bukan Lembaga Keuangan Penduduk.Badan Usaha Bukan Lembaga Keuangan Milik Campuran.Perusahaan Perkayuan (HPH) Campuran</t>
  </si>
  <si>
    <t>e3118</t>
  </si>
  <si>
    <t>122. Sektor Swasta Nasional Perusahaan Otomotif</t>
  </si>
  <si>
    <t>8111</t>
  </si>
  <si>
    <t>PT DOK DAN PERKAPALAN SURABAYA (PERSERO)</t>
  </si>
  <si>
    <t>00715</t>
  </si>
  <si>
    <t>Perdagangan DNKaret</t>
  </si>
  <si>
    <t>Kayu Mas</t>
  </si>
  <si>
    <t>202</t>
  </si>
  <si>
    <t>Penduduk/Resident.Swasta Nasional.Badan Usaha Bukan Lembaga Keuangan Penduduk.Badan Usaha Bukan Lembaga Keuangan Milik Campuran.Perusahaan Jasa Konstruksi Campuran</t>
  </si>
  <si>
    <t>e3119</t>
  </si>
  <si>
    <t>123. Sektor Swasta Nasional Perusahaan Perminyakan</t>
  </si>
  <si>
    <t>8112</t>
  </si>
  <si>
    <t>PT ENERGY MANAGEMENT INDONESIA (PERSERO)</t>
  </si>
  <si>
    <t>00716</t>
  </si>
  <si>
    <t>Perdagangan DNKelapa sawit</t>
  </si>
  <si>
    <t>Lima Satrya Nirwana</t>
  </si>
  <si>
    <t>203</t>
  </si>
  <si>
    <t>Penduduk/Resident.Swasta Nasional.Badan Usaha Bukan Lembaga Keuangan Penduduk.Badan Usaha Bukan Lembaga Keuangan Milik Campuran.Perusahaan Industri Rokok Campuran</t>
  </si>
  <si>
    <t>e3120</t>
  </si>
  <si>
    <t>124. Sektor Swasta Nasional Perusahaan Tekstil</t>
  </si>
  <si>
    <t>8113</t>
  </si>
  <si>
    <t>PT GARAM (PERSERO)</t>
  </si>
  <si>
    <t>00717</t>
  </si>
  <si>
    <t>Perdagangan DNKapas</t>
  </si>
  <si>
    <t>Metrocorp</t>
  </si>
  <si>
    <t>204</t>
  </si>
  <si>
    <t>Penduduk/Resident.Swasta Nasional.Badan Usaha Bukan Lembaga Keuangan Penduduk.Badan Usaha Bukan Lembaga Keuangan Milik Campuran.Perusahaan Industri Makanan Campuran</t>
  </si>
  <si>
    <t>e3121</t>
  </si>
  <si>
    <t>125. Sektor Swasta Nasional Perusahaan perkayuan (HPH)</t>
  </si>
  <si>
    <t>8114</t>
  </si>
  <si>
    <t>PT GARUDA INDONESIA (PERSERO) TBK</t>
  </si>
  <si>
    <t>00718</t>
  </si>
  <si>
    <t>Perdagangan DNKopra</t>
  </si>
  <si>
    <t>Murinda</t>
  </si>
  <si>
    <t>205</t>
  </si>
  <si>
    <t>Penduduk/Resident.Swasta Nasional.Badan Usaha Bukan Lembaga Keuangan Penduduk.Badan Usaha Bukan Lembaga Keuangan Milik Campuran.Perusahaan Agrobisnis Campuran</t>
  </si>
  <si>
    <t>e3122</t>
  </si>
  <si>
    <t>126. Sektor Swasta Nasional Perusahaan Properti dan Real Estate</t>
  </si>
  <si>
    <t>8120</t>
  </si>
  <si>
    <t>PT HOTEL INDONESIA NATOUR (PERSERO)</t>
  </si>
  <si>
    <t>00719</t>
  </si>
  <si>
    <t>Perdagangan DNCengkeh</t>
  </si>
  <si>
    <t>New Armada</t>
  </si>
  <si>
    <t>206</t>
  </si>
  <si>
    <t>Penduduk/Resident.Swasta Nasional.Badan Usaha Bukan Lembaga Keuangan Penduduk.Badan Usaha Bukan Lembaga Keuangan Milik Campuran.Perusahaan Campuran Lainnya</t>
  </si>
  <si>
    <t>e3123</t>
  </si>
  <si>
    <t>127. Sektor Swasta Nasional Perusahaan Jasa Konstruksi Lainnya</t>
  </si>
  <si>
    <t>8121</t>
  </si>
  <si>
    <t>PT INDOFARMA (PERSERO) TBK</t>
  </si>
  <si>
    <t>00722</t>
  </si>
  <si>
    <t>Perdagangan DNLada</t>
  </si>
  <si>
    <t>Pakerin</t>
  </si>
  <si>
    <t>207</t>
  </si>
  <si>
    <t>Penduduk/Resident.Swasta Nasional.Badan Usaha Bukan Lembaga Keuangan Penduduk.Badan Usaha Bukan Lembaga Keuangan Milik Campuran.Yayasan, Badan Sosial dan Organisasi Kemasyarakatan Campuran.Badan Amil Zakat Infaq dan Shadaqah (BAZIS) Campuran</t>
  </si>
  <si>
    <t>e3126</t>
  </si>
  <si>
    <t>128. Sektor Swasta Nasional Perusahaan Industri Rokok</t>
  </si>
  <si>
    <t>8116</t>
  </si>
  <si>
    <t>PT INDRA KARYA (PERSERO)</t>
  </si>
  <si>
    <t>00723</t>
  </si>
  <si>
    <t>Perdagangan DNTembakau</t>
  </si>
  <si>
    <t>Panatraco</t>
  </si>
  <si>
    <t>208</t>
  </si>
  <si>
    <t>Penduduk/Resident.Swasta Nasional.Badan Usaha Bukan Lembaga Keuangan Penduduk.Badan Usaha Bukan Lembaga Keuangan Milik Campuran.Yayasan, Badan Sosial dan Organisasi Kemasyarakatan Campuran.Lembaga Pendidikan Campuran</t>
  </si>
  <si>
    <t>e3127</t>
  </si>
  <si>
    <t>129. Sektor Swasta Nasional Perusahaan Industri Makanan</t>
  </si>
  <si>
    <t>8117</t>
  </si>
  <si>
    <t>PT INDUSTRI GELAS (PERSERO)</t>
  </si>
  <si>
    <t>00724</t>
  </si>
  <si>
    <t>Perdagangan DNKopi</t>
  </si>
  <si>
    <t>Petrolog</t>
  </si>
  <si>
    <t>209</t>
  </si>
  <si>
    <t>Penduduk/Resident.Swasta Nasional.Badan Usaha Bukan Lembaga Keuangan Penduduk.Badan Usaha Bukan Lembaga Keuangan Milik Campuran.Kantor Perwakilan Lembaga Milik Asing di Indonesia yang Dimiliki Campuran</t>
  </si>
  <si>
    <t>e3129</t>
  </si>
  <si>
    <t>130. Sektor Swasta Nasional Perusahaan Agrobisnis</t>
  </si>
  <si>
    <t>8118</t>
  </si>
  <si>
    <t>PT INDUSTRI KAPAL INDONESIA (PERSERO)</t>
  </si>
  <si>
    <t>00725</t>
  </si>
  <si>
    <t>Perdagangan DNTeh</t>
  </si>
  <si>
    <t>Bank Dewa Rutji</t>
  </si>
  <si>
    <t>21</t>
  </si>
  <si>
    <t>Penduduk/Resident.Swasta Nasional.Badan Usaha Bukan Lembaga Keuangan Penduduk.Badan Usaha Bukan Lembaga Keuangan Milik Asing.Perusahaan Otomotif Asing</t>
  </si>
  <si>
    <t>e3131</t>
  </si>
  <si>
    <t>131. Sektor Swasta Nasional Perusahaan Telekomonikasi</t>
  </si>
  <si>
    <t>8119</t>
  </si>
  <si>
    <t>PT INDUSTRI KERETA API (PERSERO)</t>
  </si>
  <si>
    <t>00726</t>
  </si>
  <si>
    <t>Perdagangan DNHewan hidup dan hasilnya</t>
  </si>
  <si>
    <t>RWBU</t>
  </si>
  <si>
    <t>210</t>
  </si>
  <si>
    <t>Penduduk/Resident.Swasta Nasional.Badan Usaha Bukan Lembaga Keuangan Penduduk.Badan Usaha Bukan Lembaga Keuangan Milik Asing.Perusahaan Perminyakan Asing</t>
  </si>
  <si>
    <t>e3132</t>
  </si>
  <si>
    <t>132. Sektor Swasta Nasional Perusahaan Jasa Konstruksi Lainnya</t>
  </si>
  <si>
    <t>8139</t>
  </si>
  <si>
    <t>PT INDUSTRI TELEKOMUNIKASI INDONESIA (PERSERO)</t>
  </si>
  <si>
    <t>00728</t>
  </si>
  <si>
    <t>Perdagangan DNLainnya</t>
  </si>
  <si>
    <t>Rajawali Wira Bhakti Utama</t>
  </si>
  <si>
    <t>211</t>
  </si>
  <si>
    <t>Penduduk/Resident.Swasta Nasional.Badan Usaha Bukan Lembaga Keuangan Penduduk.Badan Usaha Bukan Lembaga Keuangan Milik Asing.Perusahaan Tekstil Asing</t>
  </si>
  <si>
    <t>e3133</t>
  </si>
  <si>
    <t>133. Sektor Swasta Nasional Koperasi Primer</t>
  </si>
  <si>
    <t>8141</t>
  </si>
  <si>
    <t>PT KAWASAN INDUSTRI MAKASAR (PERSERO)</t>
  </si>
  <si>
    <t>00738</t>
  </si>
  <si>
    <t>Perdagangan DistribusiSemen</t>
  </si>
  <si>
    <t>Sejahtera Bank Umum</t>
  </si>
  <si>
    <t>212</t>
  </si>
  <si>
    <t>Penduduk/Resident.Swasta Nasional.Badan Usaha Bukan Lembaga Keuangan Penduduk.Badan Usaha Bukan Lembaga Keuangan Milik Asing.Perusahaan Perkayuan (HPH) Asing</t>
  </si>
  <si>
    <t>e3134</t>
  </si>
  <si>
    <t>134. Sektor Swasta Nasional Koperasi Lainnya</t>
  </si>
  <si>
    <t>8149</t>
  </si>
  <si>
    <t>PT KAWASAN INDUSTRI MEDAN (PERSERO)</t>
  </si>
  <si>
    <t>00739</t>
  </si>
  <si>
    <t>Perdagangan DistribusiPupuk dan obat hama</t>
  </si>
  <si>
    <t>Sango</t>
  </si>
  <si>
    <t>213</t>
  </si>
  <si>
    <t>Penduduk/Resident.Swasta Nasional.Badan Usaha Bukan Lembaga Keuangan Penduduk.Badan Usaha Bukan Lembaga Keuangan Milik Asing.Perusahaan Jasa Konstruksi Asing</t>
  </si>
  <si>
    <t>e3135</t>
  </si>
  <si>
    <t xml:space="preserve">135. Sektor Swasta Nasional Badan Amil Zakat Infaq dan Shadaqah </t>
  </si>
  <si>
    <t>8151</t>
  </si>
  <si>
    <t>PT KAWASAN INDUSTRI WIJAYA KUSUMA (PERSERO)</t>
  </si>
  <si>
    <t>00740</t>
  </si>
  <si>
    <t>Perdagangan DistribusiKapas kasar</t>
  </si>
  <si>
    <t>Sinar Sosro</t>
  </si>
  <si>
    <t>214</t>
  </si>
  <si>
    <t>Penduduk/Resident.Swasta Nasional.Badan Usaha Bukan Lembaga Keuangan Penduduk.Badan Usaha Bukan Lembaga Keuangan Milik Asing.Perusahaan Industri Rokok Asing</t>
  </si>
  <si>
    <t>e3136</t>
  </si>
  <si>
    <t>136. Sektor Swasta Nasional Lembaga Pendidikan</t>
  </si>
  <si>
    <t>8152</t>
  </si>
  <si>
    <t>PT KERETA API INDONESIA (PERSERO)</t>
  </si>
  <si>
    <t>00741</t>
  </si>
  <si>
    <t>Perdagangan DistribusiBesi beton</t>
  </si>
  <si>
    <t>Sinar Laut</t>
  </si>
  <si>
    <t>215</t>
  </si>
  <si>
    <t>Penduduk/Resident.Swasta Nasional.Badan Usaha Bukan Lembaga Keuangan Penduduk.Badan Usaha Bukan Lembaga Keuangan Milik Asing.Perusahaan Industri Makanan Asing</t>
  </si>
  <si>
    <t>e3137</t>
  </si>
  <si>
    <t>137. Sektor Swasta Nasional Yayasan, Badan Sosial dan Organisasi Kemasyarakatan Lainnya</t>
  </si>
  <si>
    <t>8159</t>
  </si>
  <si>
    <t>PT KERTAS KRAFT ACEH (PERSERO)</t>
  </si>
  <si>
    <t>00742</t>
  </si>
  <si>
    <t>Perdagangan DistribusiKertan koran</t>
  </si>
  <si>
    <t>Setia Sapta/Sucaco</t>
  </si>
  <si>
    <t>216</t>
  </si>
  <si>
    <t>Penduduk/Resident.Swasta Nasional.Badan Usaha Bukan Lembaga Keuangan Penduduk.Badan Usaha Bukan Lembaga Keuangan Milik Asing.Perusahaan Agrobisnis Asing</t>
  </si>
  <si>
    <t>e3138</t>
  </si>
  <si>
    <t>138. Sektor Swasta Campuran Perusahaan Otomotif</t>
  </si>
  <si>
    <t>8411</t>
  </si>
  <si>
    <t>PT KERTAS LECES (PERSERO)</t>
  </si>
  <si>
    <t>00743</t>
  </si>
  <si>
    <t>Perdagangan DistribusiBeras</t>
  </si>
  <si>
    <t>Teluk Luas/Metro</t>
  </si>
  <si>
    <t>217</t>
  </si>
  <si>
    <t>Penduduk/Resident.Swasta Nasional.Badan Usaha Bukan Lembaga Keuangan Penduduk.Badan Usaha Bukan Lembaga Keuangan Milik Asing.Perusahaan Asing lainnya</t>
  </si>
  <si>
    <t>e3139</t>
  </si>
  <si>
    <t>139. Sektor Swasta Campuran Perusahaan Perminyakan</t>
  </si>
  <si>
    <t>8412</t>
  </si>
  <si>
    <t>PT KIMIA FARMA (PERSERO) TBK</t>
  </si>
  <si>
    <t>00744</t>
  </si>
  <si>
    <t>Perdagangan DistribusiGula</t>
  </si>
  <si>
    <t>Lion Metal/Sudarma</t>
  </si>
  <si>
    <t>218</t>
  </si>
  <si>
    <t>Penduduk/Resident.Swasta Nasional.Badan Usaha Bukan Lembaga Keuangan Penduduk.Badan Usaha Bukan Lembaga Keuangan Milik Asing.Yayasan, Badan Sosial dan Organisasi Kemasyarakatan Asing.Badan Amil Zakat Infaq dan Shadaqah (BAZIS) Asing</t>
  </si>
  <si>
    <t>e3142</t>
  </si>
  <si>
    <t>140. Sektor Swasta Campuran Perusahaan Tekstil</t>
  </si>
  <si>
    <t>8413</t>
  </si>
  <si>
    <t>PT KLIRING BERJANGKA INDONESIA (PERSERO)</t>
  </si>
  <si>
    <t>00745</t>
  </si>
  <si>
    <t>Perdagangan DistribusiTepung terigu</t>
  </si>
  <si>
    <t>Tempo</t>
  </si>
  <si>
    <t>219</t>
  </si>
  <si>
    <t>Penduduk/Resident.Swasta Nasional.Badan Usaha Bukan Lembaga Keuangan Penduduk.Badan Usaha Bukan Lembaga Keuangan Milik Asing.Yayasan, Badan Sosial dan Organisasi Kemasyarakatan Asing.Lembaga Pendidikan Asing</t>
  </si>
  <si>
    <t>e3143</t>
  </si>
  <si>
    <t>141. Sektor Swasta Campuran Perusahaan Perkayuan</t>
  </si>
  <si>
    <t>8414</t>
  </si>
  <si>
    <t>PT KRAKATAU STEEL (PERSERO) TBK</t>
  </si>
  <si>
    <t>00746</t>
  </si>
  <si>
    <t>Perdagangan DistribusiGaram</t>
  </si>
  <si>
    <t>Bank Niaga</t>
  </si>
  <si>
    <t>22</t>
  </si>
  <si>
    <t>Penduduk/Resident.Swasta Nasional.Badan Usaha Bukan Lembaga Keuangan Penduduk.Badan Usaha Bukan Lembaga Keuangan Milik Asing.Yayasan, Badan Sosial dan Organisasi Kemasyarakatan Asing.Yayasan, Badan Sosial dan Organisasi Kemasyarakatan Asing Lainnya</t>
  </si>
  <si>
    <t>e3144</t>
  </si>
  <si>
    <t>142. Sektor Swasta Campuran Perusahaan Properti dan Real Estate</t>
  </si>
  <si>
    <t>8420</t>
  </si>
  <si>
    <t>PT LEN INDUSTRI (PERSERO)</t>
  </si>
  <si>
    <t>00747</t>
  </si>
  <si>
    <t>Perdagangan DistribusiBahan bakar minyak</t>
  </si>
  <si>
    <t>Tiga Mas</t>
  </si>
  <si>
    <t>220</t>
  </si>
  <si>
    <t>Penduduk/Resident.Swasta Nasional.Badan Usaha Bukan Lembaga Keuangan Penduduk.Badan Usaha Bukan Lembaga Keuangan Milik Asing.Kantor Perwakilan Lembaga Milik Asing di Indonesia yang Dimiliki Asing</t>
  </si>
  <si>
    <t>e3145</t>
  </si>
  <si>
    <t>143. Sektor Swasta Campuran Perusahaan Jasa Konstruksi Lainnya</t>
  </si>
  <si>
    <t>8421</t>
  </si>
  <si>
    <t>PT MERPATI NUSANTARA AIRLINES (PERSERO)</t>
  </si>
  <si>
    <t>00748</t>
  </si>
  <si>
    <t>Perdagangan DistribusiLainnya</t>
  </si>
  <si>
    <t>Timur Djaja</t>
  </si>
  <si>
    <t>221</t>
  </si>
  <si>
    <t>Penduduk/Resident.Swasta Nasional.Sektor Swasta Lainnya Penduduk</t>
  </si>
  <si>
    <t>e3610</t>
  </si>
  <si>
    <t>144. Sektor Swasta Campuran Perusahaan Industri Rokok</t>
  </si>
  <si>
    <t>8416</t>
  </si>
  <si>
    <t>KOMISI INDEPENDEN PENGUSUTAN TINDAK KEKERASAN DI ACEH</t>
  </si>
  <si>
    <t>00634</t>
  </si>
  <si>
    <t>Perdagangan eceran</t>
  </si>
  <si>
    <t>Tjokro</t>
  </si>
  <si>
    <t>222</t>
  </si>
  <si>
    <t>Penduduk/Resident.Swasta Nasional.Perseorangan Penduduk</t>
  </si>
  <si>
    <t>e3148</t>
  </si>
  <si>
    <t>145. Sektor Swasta Campuran Perusahaan Industri Makanan</t>
  </si>
  <si>
    <t>8417</t>
  </si>
  <si>
    <t>KOMISI KEPOLISIAN NASIONAL</t>
  </si>
  <si>
    <t>00637</t>
  </si>
  <si>
    <t>PerdaganganRestoran</t>
  </si>
  <si>
    <t>Trakindo Utama</t>
  </si>
  <si>
    <t>223</t>
  </si>
  <si>
    <t>Bukan penduduk/Non Resident.Pemerintah pusat Negara Asing</t>
  </si>
  <si>
    <t>e3151</t>
  </si>
  <si>
    <t>146. Sektor Swasta Campuran Perusahaan Agrobisnis</t>
  </si>
  <si>
    <t>8418</t>
  </si>
  <si>
    <t>KOMISI NASIONAL HAK ASASI MANUSIA (KOMNAS HAM)</t>
  </si>
  <si>
    <t>00638</t>
  </si>
  <si>
    <t>PerdaganganHotel</t>
  </si>
  <si>
    <t>Dua Mutiara/Dumaco</t>
  </si>
  <si>
    <t>224</t>
  </si>
  <si>
    <t>Bukan penduduk/Non Resident.Perwakilan negara-negara asing dan stafnya</t>
  </si>
  <si>
    <t>e3152</t>
  </si>
  <si>
    <t>147. Sektor Swasta Campuran Perusahaan Telekomonikasi</t>
  </si>
  <si>
    <t>8419</t>
  </si>
  <si>
    <t>KOMISI PEMBERANTASAN KORUPSI (KPK)</t>
  </si>
  <si>
    <t>00639</t>
  </si>
  <si>
    <t>Jasa-jasa dunia usaha Perumnas</t>
  </si>
  <si>
    <t>Tunas Alfin</t>
  </si>
  <si>
    <t>225</t>
  </si>
  <si>
    <t>Bukan penduduk/Non Resident.BUMN Asing Bukan Lembaga Keuangan</t>
  </si>
  <si>
    <t>e3153</t>
  </si>
  <si>
    <t>148. Sektor Swasta Campuran Perusahaan -Perusahaan Lainnya</t>
  </si>
  <si>
    <t>8449</t>
  </si>
  <si>
    <t>KOMISI PENANGGULAN AIDS</t>
  </si>
  <si>
    <t>00642</t>
  </si>
  <si>
    <t>Jasa-jasa dunia usaha Selain Perumnas</t>
  </si>
  <si>
    <t>Mutiara Timber/Mega</t>
  </si>
  <si>
    <t>226</t>
  </si>
  <si>
    <t>Bukan penduduk/Non Resident.Bank Nasional yang Beroperasi di Luar Negeri</t>
  </si>
  <si>
    <t>e2485</t>
  </si>
  <si>
    <t>149. Sektor Swasta Campuran Badan Amil Zakat Infaq dan Shadaqah</t>
  </si>
  <si>
    <t>8451</t>
  </si>
  <si>
    <t>KOMISI PENYIARAN INDONESIA (KPI)</t>
  </si>
  <si>
    <t>00645</t>
  </si>
  <si>
    <t>Jasa-jasa dunia usaha Pasar Inpres</t>
  </si>
  <si>
    <t>United Tractors</t>
  </si>
  <si>
    <t>227</t>
  </si>
  <si>
    <t>Bukan penduduk/Non Resident.Bank Luar Negeri</t>
  </si>
  <si>
    <t>e2515</t>
  </si>
  <si>
    <t>150. Sektor Swasta Campuran Lembaga Pendidikan</t>
  </si>
  <si>
    <t>8452</t>
  </si>
  <si>
    <t>KOMISI PERLINDUNGAN ANAK INDONESIA (KPAI)</t>
  </si>
  <si>
    <t>00646</t>
  </si>
  <si>
    <t>Jasa-jasa dunia usaha Lainnya</t>
  </si>
  <si>
    <t>Vastex Prima</t>
  </si>
  <si>
    <t>228</t>
  </si>
  <si>
    <t>Bukan penduduk/Non Resident.Lembaga Keuangan Bukan Bank yang Beroperasi di Luar Indonesia</t>
  </si>
  <si>
    <t>e3154</t>
  </si>
  <si>
    <t>151. Sektor Swasta Campuran yayasan, Badan Sosial dan Organisasi Kemasyarakatan Lainna</t>
  </si>
  <si>
    <t>8469</t>
  </si>
  <si>
    <t>KOMNAS PEREMPUAN</t>
  </si>
  <si>
    <t>00650</t>
  </si>
  <si>
    <t>Jasa-jasa dunia usaha Profesi selain dokter</t>
  </si>
  <si>
    <t>Wijaya Kusuma</t>
  </si>
  <si>
    <t>229</t>
  </si>
  <si>
    <t>Bukan penduduk/Non Resident.Swasta Bukan Penduduk Bukan Lembaga Keuangan.Swasta Patungan Indonesia dan Negara Asing</t>
  </si>
  <si>
    <t>e3243</t>
  </si>
  <si>
    <t>152. Sektor Swasta Campuran Kantor Perwakilan Lembaga Milik Asing di Indonesia Lainnya</t>
  </si>
  <si>
    <t>8480</t>
  </si>
  <si>
    <t>LEMBAGA ADMINISTRASI NEGARA</t>
  </si>
  <si>
    <t>00652</t>
  </si>
  <si>
    <t>Bank Rama</t>
  </si>
  <si>
    <t>23</t>
  </si>
  <si>
    <t>Bukan penduduk/Non Resident.Swasta Bukan Penduduk Bukan Lembaga Keuangan.Swasta Milik Indonesia yang Beroperasi Di Luar Indonesia</t>
  </si>
  <si>
    <t>e3244</t>
  </si>
  <si>
    <t>153. Sektor Swasta Asing Perusahaan Otomotif</t>
  </si>
  <si>
    <t>8611</t>
  </si>
  <si>
    <t>LEMBAGA KEBIJAKAN PENGADAAN BARANG/ JASA PEMERINTAH (LKPP)</t>
  </si>
  <si>
    <t>00655</t>
  </si>
  <si>
    <t>Jasa-jasa sosial/masyarakat Hiburan dan kebudayaan</t>
  </si>
  <si>
    <t>Wirontono</t>
  </si>
  <si>
    <t>230</t>
  </si>
  <si>
    <t>Bukan penduduk/Non Resident.Swasta Bukan Penduduk Bukan Lembaga Keuangan.Sektor Swasta Lainnya Bukan Penduduk</t>
  </si>
  <si>
    <t>e3607</t>
  </si>
  <si>
    <t>154. Sektor Swasta Asing Perusahaan Perminyakan</t>
  </si>
  <si>
    <t>8612</t>
  </si>
  <si>
    <t>LEMBAGA PENJAMIN SIMPANAN (LPS)</t>
  </si>
  <si>
    <t>00657</t>
  </si>
  <si>
    <t>Jasa-jasa sosial/masyarakat KesehatanProfesi</t>
  </si>
  <si>
    <t>Dayak Besar</t>
  </si>
  <si>
    <t>231</t>
  </si>
  <si>
    <t>Bukan penduduk/Non Resident.Lembaga-Lembaga Internasional.Bank Pembangunan Multilateral.Islamic Development Bank (IDB)</t>
  </si>
  <si>
    <t>e3248</t>
  </si>
  <si>
    <t>155. Sektor Swasta Asing Perusahaan Tekstil</t>
  </si>
  <si>
    <t>8613</t>
  </si>
  <si>
    <t>OMBUDSMAN REPUBLIK INDONESIA (ORI)</t>
  </si>
  <si>
    <t>00662</t>
  </si>
  <si>
    <t>Jasa-jasa sosial/masyarakat KesehatanTempat perawatan/pengobatan</t>
  </si>
  <si>
    <t>Duta Anggada</t>
  </si>
  <si>
    <t>232</t>
  </si>
  <si>
    <t>Bukan penduduk/Non Resident.Lembaga-Lembaga Internasional.Bank Pembangunan Multilateral.Asian Development Bank (ADB)</t>
  </si>
  <si>
    <t>e3249</t>
  </si>
  <si>
    <t>156. Sektor Swasta Asing Perusahaan Perkayuan</t>
  </si>
  <si>
    <t>8614</t>
  </si>
  <si>
    <t>PERUM JASA TIRTA I</t>
  </si>
  <si>
    <t>00667</t>
  </si>
  <si>
    <t>Jasa-jasa sosial/masyarakat PendidikanPerguruan tinggi</t>
  </si>
  <si>
    <t>GKBI</t>
  </si>
  <si>
    <t>233</t>
  </si>
  <si>
    <t>Bukan penduduk/Non Resident.Lembaga-Lembaga Internasional.Bank Pembangunan Multilateral.World Bank</t>
  </si>
  <si>
    <t>e3608</t>
  </si>
  <si>
    <t>157. Sektor Swasta Asing Perusahaan Properti dan Real Estate</t>
  </si>
  <si>
    <t>8620</t>
  </si>
  <si>
    <t>PERUM JASA TIRTA II</t>
  </si>
  <si>
    <t>00668</t>
  </si>
  <si>
    <t>Jasa-jasa sosial/masyarakat PendidikanLainnya</t>
  </si>
  <si>
    <t>Golden Key</t>
  </si>
  <si>
    <t>234</t>
  </si>
  <si>
    <t>Bukan penduduk/Non Resident.Lembaga-Lembaga Internasional.Bank Pembangunan Multilateral.Bank Pembangunan Multilateral lainnya</t>
  </si>
  <si>
    <t>e3261</t>
  </si>
  <si>
    <t>158. Sektor Swasta Asing Perusahaan Jasa Konstruksi Lainnya</t>
  </si>
  <si>
    <t>8621</t>
  </si>
  <si>
    <t>PERUM PENGANGKUTAN PENUMPANG DJAKARTA</t>
  </si>
  <si>
    <t>00671</t>
  </si>
  <si>
    <t>Jasa-jasa sosial/masyarakat Lainnya</t>
  </si>
  <si>
    <t>Gunung Agung</t>
  </si>
  <si>
    <t>235</t>
  </si>
  <si>
    <t>Bukan penduduk/Non Resident.Lembaga-Lembaga Internasional.Lembaga Internasional Lainnya</t>
  </si>
  <si>
    <t>e3609</t>
  </si>
  <si>
    <t>159. Sektor Swasta Asing Perusahaan Industri Rokok</t>
  </si>
  <si>
    <t>8616</t>
  </si>
  <si>
    <t>PERUM PRASARANA PERIKANAN SAMUDERA</t>
  </si>
  <si>
    <t>00675</t>
  </si>
  <si>
    <t>Perdagangan/ Restoran/Hotel</t>
  </si>
  <si>
    <t>Hasjim Ning</t>
  </si>
  <si>
    <t>236</t>
  </si>
  <si>
    <t>Bukan penduduk/Non Resident.Perseorangan Bukan Penduduk</t>
  </si>
  <si>
    <t>e3263</t>
  </si>
  <si>
    <t>160. Sektor Swasta Asing Perusahaan Industri Makanan</t>
  </si>
  <si>
    <t>8617</t>
  </si>
  <si>
    <t>PERUM PRODUKSI FILM NEGARA</t>
  </si>
  <si>
    <t>00676</t>
  </si>
  <si>
    <t>Jasa-jasa Dunia Usaha</t>
  </si>
  <si>
    <t>Surya Dumai/SD</t>
  </si>
  <si>
    <t>237</t>
  </si>
  <si>
    <t>Penduduk/Resident.Swasta Nasional.Lembaga Keuangan Bukan Bank Milik Swasta Nasional.Lembaga Keuangan Bukan Bank Milik Campuran.Lembaga Keuangan Bukan Bank Campuran Lainnya.Lembaga Keuangan Bukan Bank Campuran Lainnya selain Baitul Maal Wa Tamwil (BMT) Campuran dan Kantor Perwakilan Lembaga Keuangan Bukan Bank Milik Asing di Indonesia yang Dimiliki Campuran</t>
  </si>
  <si>
    <t>e3077</t>
  </si>
  <si>
    <t>161. Sektor Swasta Asing Perusahaan Agrobisnis</t>
  </si>
  <si>
    <t>8618</t>
  </si>
  <si>
    <t>PERUSAHAAN DAERAH AIR MINUM</t>
  </si>
  <si>
    <t>00677</t>
  </si>
  <si>
    <t>Sosial/Masyarakat</t>
  </si>
  <si>
    <t>Alisjahbana/Femina</t>
  </si>
  <si>
    <t>238</t>
  </si>
  <si>
    <t>Penduduk/Resident.Swasta Nasional.Lembaga Keuangan Bukan Bank Milik Swasta Nasional.Lembaga Keuangan Bukan Bank Milik Campuran.Lembaga Keuangan Bukan Bank Campuran Lainnya.Kantor Perwakilan Lembaga Keuangan Bukan Bank Milik Asing di Indonesia yang Dimiliki Campuran</t>
  </si>
  <si>
    <t>e3076</t>
  </si>
  <si>
    <t>162. Sektor Swasta Asing Perusahaan - Perusahaan Lainnya</t>
  </si>
  <si>
    <t>8619</t>
  </si>
  <si>
    <t>PT AMARTA KARYA(PERSERO)</t>
  </si>
  <si>
    <t>00679</t>
  </si>
  <si>
    <t>Pengangkutan umum Darat</t>
  </si>
  <si>
    <t>Kalimanis</t>
  </si>
  <si>
    <t>239</t>
  </si>
  <si>
    <t>Penduduk/Resident.Sektor Pemerintah.Badan Usaha Milik Negara (BUMN) atau Pemerintah Campuran.BUMN Lembaga Keuangan Bukan Bank.BUMN Lembaga Keuangan Bukan Bank Lainnya.BUMN Lembaga Keuangan Bukan Bank Lainnya Selain Perum Pegadaian, Pos Indonesia, dan LPEI</t>
  </si>
  <si>
    <t>e3000</t>
  </si>
  <si>
    <t>163. Sektor Swasta Asing Badan Amil Zakat Infaq dan Shadaqah</t>
  </si>
  <si>
    <t>8651</t>
  </si>
  <si>
    <t>PT ANEKA TAMBANG (PERSERO) TBK</t>
  </si>
  <si>
    <t>00680</t>
  </si>
  <si>
    <t>Pengangkutan umum Sungai</t>
  </si>
  <si>
    <t>Batara Indra</t>
  </si>
  <si>
    <t>24</t>
  </si>
  <si>
    <t>Penduduk/Resident.Swasta Nasional.Badan Usaha Bukan Lembaga Keuangan Penduduk.Badan Usaha Bukan Lembaga Keuangan Milik Swasta Nasional.Yayasan, Badan Sosial dan Organisasi Kemasyarakatan Swasta Nasional.Badan Amil Zakat Infaq dan Shadaqah (BAZIS) Swasta Nasional</t>
  </si>
  <si>
    <t>e3111</t>
  </si>
  <si>
    <t>164. Sektor Swasta Asing Lembaga Pendidikan</t>
  </si>
  <si>
    <t>8652</t>
  </si>
  <si>
    <t>PT ANGKASA PURA I (PERSERO)</t>
  </si>
  <si>
    <t>00681</t>
  </si>
  <si>
    <t>Pengangkutan umum Laut</t>
  </si>
  <si>
    <t>Krama Yudha</t>
  </si>
  <si>
    <t>240</t>
  </si>
  <si>
    <t>Penduduk/Resident.Swasta Nasional.Lembaga Keuangan Bukan Bank Milik Swasta Nasional.Lembaga Keuangan Bukan Bank Milik Asing.Lembaga Keuangan Bukan Bank Milik Asing Lainnya.Lembaga Keuangan Bukan Bank Asing Lainnya selain Baitul Maal Wa Tamwil (BMT) Asing dan Kantor Perwakilan Lembaga Keuangan Bukan Bank di Indonesia Lainnya</t>
  </si>
  <si>
    <t>e3094</t>
  </si>
  <si>
    <t>165. Sektor Swasta Asing Yayasan, Badan Sosial dan Organisasi Kemasyarakatan Lainnya</t>
  </si>
  <si>
    <t>8659</t>
  </si>
  <si>
    <t>PT ANGKASA PURA II (PERSERO)</t>
  </si>
  <si>
    <t>00682</t>
  </si>
  <si>
    <t>Pengangkutan umum Udara</t>
  </si>
  <si>
    <t>Lucky</t>
  </si>
  <si>
    <t>241</t>
  </si>
  <si>
    <t>Penduduk/Resident.Swasta Nasional.Badan Usaha Bukan Lembaga Keuangan Penduduk.Badan Usaha Bukan Lembaga Keuangan Milik Swasta Nasional.Yayasan, Badan Sosial dan Organisasi Kemasyarakatan Swasta Nasional.Yayasan, Badan Sosial dan Organisasi Kemasyarakatan Swasta Nasional Lainnya</t>
  </si>
  <si>
    <t>e3113</t>
  </si>
  <si>
    <t>166. Sektor Swasta Asing Kantor Perwakilan Lembaga Milik Asing di Indonesia Lainnya</t>
  </si>
  <si>
    <t>8670</t>
  </si>
  <si>
    <t>PT ASABRI (PERSERO)</t>
  </si>
  <si>
    <t>00683</t>
  </si>
  <si>
    <t>Biro perjalanan</t>
  </si>
  <si>
    <t>Mayora</t>
  </si>
  <si>
    <t>242</t>
  </si>
  <si>
    <t>Penduduk/Resident.Swasta Nasional.Badan Usaha Bukan Lembaga Keuangan Penduduk.Badan Usaha Bukan Lembaga Keuangan Milik Campuran.Yayasan, Badan Sosial dan Organisasi Kemasyarakatan Campuran.Yayasan, Badan Sosial dan Organisasi Kemasyarakatan Campuran Lainnya</t>
  </si>
  <si>
    <t>e3128</t>
  </si>
  <si>
    <t>167. Sektor Swasta Lainnya (perusahaan/Bank Dilikuidasi)</t>
  </si>
  <si>
    <t>8900</t>
  </si>
  <si>
    <t>PT ASDP INDONESIA FERRY (PERSERO)</t>
  </si>
  <si>
    <t>00684</t>
  </si>
  <si>
    <t>Pengangkutan, Pergudangan dan Komunikasi</t>
  </si>
  <si>
    <t>Metrodata</t>
  </si>
  <si>
    <t>243</t>
  </si>
  <si>
    <t>168. Perseorangan</t>
  </si>
  <si>
    <t>9000</t>
  </si>
  <si>
    <t>KEMENTERIAN KEBUDAYAAN DAN PARIWISATA</t>
  </si>
  <si>
    <t>00604</t>
  </si>
  <si>
    <t>Pergudangan</t>
  </si>
  <si>
    <t>Nawa Panduta/Napan</t>
  </si>
  <si>
    <t>244</t>
  </si>
  <si>
    <t>169. Pemerintah Pusat</t>
  </si>
  <si>
    <t>9100</t>
  </si>
  <si>
    <t>KEMENTERIAN KOORDINATOR BIDANG KESEJAHTERAAN RAKYAT</t>
  </si>
  <si>
    <t>00610</t>
  </si>
  <si>
    <t>Lain-lain Perumahan</t>
  </si>
  <si>
    <t>Pacific Paint</t>
  </si>
  <si>
    <t>245</t>
  </si>
  <si>
    <t>170. Pemerintah Daerah</t>
  </si>
  <si>
    <t>9110</t>
  </si>
  <si>
    <t>KEMENTERIAN KOORDINATOR BIDANG PEREKONOMIAN</t>
  </si>
  <si>
    <t>00611</t>
  </si>
  <si>
    <t>Lain-lain Kendaraan</t>
  </si>
  <si>
    <t>Indospring/Indoprima</t>
  </si>
  <si>
    <t>246</t>
  </si>
  <si>
    <t>171. Perwakilan Negara-Negara Asing dan Stafnya</t>
  </si>
  <si>
    <t>9200</t>
  </si>
  <si>
    <t>KEMENTERIAN NEGARA KOPERASI DAN USAHA KECIL MENENGAH</t>
  </si>
  <si>
    <t>00614</t>
  </si>
  <si>
    <t>Lain-lain Alat-alat rumah tangga</t>
  </si>
  <si>
    <t>Pradja Farma/Prafa</t>
  </si>
  <si>
    <t>247</t>
  </si>
  <si>
    <t>172. BUMN Milik negara Asing</t>
  </si>
  <si>
    <t>9300</t>
  </si>
  <si>
    <t>KEMENTERIAN NEGARA PEMBANGUNAN DAERAH TERTINGGAL</t>
  </si>
  <si>
    <t>00616</t>
  </si>
  <si>
    <t>Lain-lain Lainnya</t>
  </si>
  <si>
    <t>Panca Adi/Panadia</t>
  </si>
  <si>
    <t>248</t>
  </si>
  <si>
    <t>173. Lembaga-lembaga keuangan bukan bank yang beroperasi di luar Indonesia</t>
  </si>
  <si>
    <t>9400</t>
  </si>
  <si>
    <t>KEMENTERIAN NEGARA PEMBERDAYAAN PEREMPUAN</t>
  </si>
  <si>
    <t>00617</t>
  </si>
  <si>
    <t>Komunikasi</t>
  </si>
  <si>
    <t>Samudera Indonesia</t>
  </si>
  <si>
    <t>249</t>
  </si>
  <si>
    <t>174. Lembaga-lembaga keuangan bukan bank milik negara asing</t>
  </si>
  <si>
    <t>9410</t>
  </si>
  <si>
    <t>KEMENTERIAN NEGARA PERENCANAAN PEMBANGUNAN NASIONAL / BAPP</t>
  </si>
  <si>
    <t>00619</t>
  </si>
  <si>
    <t>TES INDUSTRY</t>
  </si>
  <si>
    <t>TES1</t>
  </si>
  <si>
    <t>Batasan</t>
  </si>
  <si>
    <t>25</t>
  </si>
  <si>
    <t>175. Swasta Patuangan Indonesia dan Negara Asing</t>
  </si>
  <si>
    <t>9501</t>
  </si>
  <si>
    <t>KEMENTERIAN NEGARA PERUMAHAN RAKYAT</t>
  </si>
  <si>
    <t>00620</t>
  </si>
  <si>
    <t>Jasa-jasa dunia usaha Leasing</t>
  </si>
  <si>
    <t>Pendawa Sempurna</t>
  </si>
  <si>
    <t>250</t>
  </si>
  <si>
    <t>176. Swasta Milik Indonesia</t>
  </si>
  <si>
    <t>9502</t>
  </si>
  <si>
    <t>BADAN PERTIMBANGAN JABATAN NASIONAL (BAPERJANAS)</t>
  </si>
  <si>
    <t>00540</t>
  </si>
  <si>
    <t>Perindustrian Industri makanan, minumanIndustri terigu</t>
  </si>
  <si>
    <t>Imora Motor</t>
  </si>
  <si>
    <t>251</t>
  </si>
  <si>
    <t>177. Swasta Lainnya - Lainnya</t>
  </si>
  <si>
    <t>9519</t>
  </si>
  <si>
    <t>BADAN PERTIMBANGAN KEPEGAWAIAN (BAPEK)</t>
  </si>
  <si>
    <t>00541</t>
  </si>
  <si>
    <t>Perindustrian Industri makanan, minumanIndustri gula</t>
  </si>
  <si>
    <t>Argo Manunggal</t>
  </si>
  <si>
    <t>252</t>
  </si>
  <si>
    <t>178. Islamic Development Bank (IDB)</t>
  </si>
  <si>
    <t>9611</t>
  </si>
  <si>
    <t>BANK INDONESIA</t>
  </si>
  <si>
    <t>00547</t>
  </si>
  <si>
    <t>Perindustrian Industri makanan, minumanPenggilingan padi (huller)</t>
  </si>
  <si>
    <t>Arya Upaya/Ongko</t>
  </si>
  <si>
    <t>253</t>
  </si>
  <si>
    <t>179. Asian Development Bank (ADB)</t>
  </si>
  <si>
    <t>9612</t>
  </si>
  <si>
    <t>DEWAN GULA INDONESIA</t>
  </si>
  <si>
    <t>00554</t>
  </si>
  <si>
    <t>Perindustrian Industri makanan, minuman Industri minyak tumbuh-tumbuhanMinyak kelapa sawit mentah</t>
  </si>
  <si>
    <t>Bank Central Asia</t>
  </si>
  <si>
    <t>254</t>
  </si>
  <si>
    <t>180. World Bank Group</t>
  </si>
  <si>
    <t>9613</t>
  </si>
  <si>
    <t>DEWAN KELAUTAN INDONESIA</t>
  </si>
  <si>
    <t>00555</t>
  </si>
  <si>
    <t>Perindustrian Industri makanan, minuman Industri minyak tumbuh-tumbuhanMinyak biji kelapa sawit</t>
  </si>
  <si>
    <t>Haji Kalla</t>
  </si>
  <si>
    <t>255</t>
  </si>
  <si>
    <t>181. African Development Bank Group</t>
  </si>
  <si>
    <t>9614</t>
  </si>
  <si>
    <t>DEWAN PERTIMBANGAN OTONOMI DAERAH (DPOD)</t>
  </si>
  <si>
    <t>00558</t>
  </si>
  <si>
    <t>Perindustrian Industri makanan, minuman Industri minya tumbuh-tumbuhanLainnya</t>
  </si>
  <si>
    <t>Biru dan Sons/Biru</t>
  </si>
  <si>
    <t>256</t>
  </si>
  <si>
    <t>182. European Bank for Reconstruction and Development</t>
  </si>
  <si>
    <t>9615</t>
  </si>
  <si>
    <t>DEWAN PERTIMBANGAN PRESIDEN (WANTIMPRES)</t>
  </si>
  <si>
    <t>00559</t>
  </si>
  <si>
    <t>Perindustrian Industri makanan, minumanIndustri garam</t>
  </si>
  <si>
    <t>Citra Sari Makmur</t>
  </si>
  <si>
    <t>257</t>
  </si>
  <si>
    <t>183. Inter - American Development Bank Group</t>
  </si>
  <si>
    <t>9616</t>
  </si>
  <si>
    <t>DEWAN TIK NASIONAL (DETIKNAS)</t>
  </si>
  <si>
    <t>00560</t>
  </si>
  <si>
    <t>Perindustrian Industri makanan, minumanIndustri minuman</t>
  </si>
  <si>
    <t>Daya Tata Matra</t>
  </si>
  <si>
    <t>258</t>
  </si>
  <si>
    <t>184. European Investment Bank</t>
  </si>
  <si>
    <t>9617</t>
  </si>
  <si>
    <t>DINAS KEBUDAYAAN DAN PARIWISATA</t>
  </si>
  <si>
    <t>00562</t>
  </si>
  <si>
    <t>Perindustrian Industri makanan, minumanIndustri tembakau</t>
  </si>
  <si>
    <t>Djasa Ubersakti</t>
  </si>
  <si>
    <t>259</t>
  </si>
  <si>
    <t>185. European Investment Fund</t>
  </si>
  <si>
    <t>9618</t>
  </si>
  <si>
    <t>DINAS KELAUTAN DAN PERIKANAN</t>
  </si>
  <si>
    <t>00564</t>
  </si>
  <si>
    <t>Perindustrian Industri makanan, minumanIndustri rokok</t>
  </si>
  <si>
    <t>Bentoel</t>
  </si>
  <si>
    <t>26</t>
  </si>
  <si>
    <t>186. Nordic Investmen Bank</t>
  </si>
  <si>
    <t>9619</t>
  </si>
  <si>
    <t>DINAS KEPENDUDUKAN DAN CATATAN SIPIL</t>
  </si>
  <si>
    <t>00565</t>
  </si>
  <si>
    <t>Perindustrian Industri makanan, minumanIndustri makanan lainnya</t>
  </si>
  <si>
    <t>Sumber Mas Timber</t>
  </si>
  <si>
    <t>260</t>
  </si>
  <si>
    <t>187. Caribbean Development Bank</t>
  </si>
  <si>
    <t>9620</t>
  </si>
  <si>
    <t>DINAS KESEHATAN DAERAH</t>
  </si>
  <si>
    <t>00566</t>
  </si>
  <si>
    <t>Perindustrian Industri makanan ternak dan ikan</t>
  </si>
  <si>
    <t>Indo Suntex/Sun</t>
  </si>
  <si>
    <t>261</t>
  </si>
  <si>
    <t>188. Council of Europe Development Bank</t>
  </si>
  <si>
    <t>9621</t>
  </si>
  <si>
    <t>DINAS PERHUBUNGAN,KOMUNIKASI DAN INFORMATIKA</t>
  </si>
  <si>
    <t>00570</t>
  </si>
  <si>
    <t>Perindustrian Industri tekstil</t>
  </si>
  <si>
    <t>Sumber Selatan</t>
  </si>
  <si>
    <t>262</t>
  </si>
  <si>
    <t>189. Bank Pembangunan Multiteral Lainnya</t>
  </si>
  <si>
    <t>9629</t>
  </si>
  <si>
    <t>DINAS PERKEBUNAN</t>
  </si>
  <si>
    <t>00572</t>
  </si>
  <si>
    <t>Perindustrian Industri sandang</t>
  </si>
  <si>
    <t>Tunas Ridean/Tuna</t>
  </si>
  <si>
    <t>263</t>
  </si>
  <si>
    <t>190. Lembaga Internasional Lainnya</t>
  </si>
  <si>
    <t>9690</t>
  </si>
  <si>
    <t>DINAS SOSIAL DAERAH</t>
  </si>
  <si>
    <t>00576</t>
  </si>
  <si>
    <t>Perindustrian Industri kulit</t>
  </si>
  <si>
    <t>Tiga Raksa/Tira</t>
  </si>
  <si>
    <t>264</t>
  </si>
  <si>
    <t>191. Bukan Penduduk - Perseorangan</t>
  </si>
  <si>
    <t>9700</t>
  </si>
  <si>
    <t>DIREKTORAT JENDERAL LISTRIK</t>
  </si>
  <si>
    <t>00582</t>
  </si>
  <si>
    <t>Perindustrian Industri bahan kayu</t>
  </si>
  <si>
    <t>Aneka</t>
  </si>
  <si>
    <t>265</t>
  </si>
  <si>
    <t>192. Perbankan</t>
  </si>
  <si>
    <t>0002</t>
  </si>
  <si>
    <t>DITJEN GEOLOGI DAN SUMBER DAYA MINERAL</t>
  </si>
  <si>
    <t>00585</t>
  </si>
  <si>
    <t>Perindustrian Industri perabot</t>
  </si>
  <si>
    <t>Bank Central Dagang</t>
  </si>
  <si>
    <t>266</t>
  </si>
  <si>
    <t>KANTOR  PENANAMAN MODAL DAERAH</t>
  </si>
  <si>
    <t>00592</t>
  </si>
  <si>
    <t>Perindustrian Industri kayu lainnya</t>
  </si>
  <si>
    <t>Batamtex/Lakop</t>
  </si>
  <si>
    <t>267</t>
  </si>
  <si>
    <t>KECAMATAN</t>
  </si>
  <si>
    <t>00594</t>
  </si>
  <si>
    <t>Perindustrian Industri kertas dan hasil-hasil kertas</t>
  </si>
  <si>
    <t>Bumi Putera 1912</t>
  </si>
  <si>
    <t>268</t>
  </si>
  <si>
    <t>KELURAHAN</t>
  </si>
  <si>
    <t>00598</t>
  </si>
  <si>
    <t>Perindustrian Industri percetakan dan penerbitan</t>
  </si>
  <si>
    <t>Dharmala</t>
  </si>
  <si>
    <t>269</t>
  </si>
  <si>
    <t>KEMENKO POLHUKAM</t>
  </si>
  <si>
    <t>00599</t>
  </si>
  <si>
    <t>Perindustrian Industri pupuk/obat hama</t>
  </si>
  <si>
    <t>Benua Indah</t>
  </si>
  <si>
    <t>27</t>
  </si>
  <si>
    <t>KEMENTERIAN ENERGI DAN SUMBERDAYA MINERAL</t>
  </si>
  <si>
    <t>00602</t>
  </si>
  <si>
    <t>Perindustrian Industri farmasi</t>
  </si>
  <si>
    <t>Gajah Tunggal</t>
  </si>
  <si>
    <t>270</t>
  </si>
  <si>
    <t>UNIT KERJA PRESIDEN UNTUK PENGAWASAN DAN PENGENDALIAN PEMBANGUNAN (UKP4)</t>
  </si>
  <si>
    <t>00823</t>
  </si>
  <si>
    <t>Perindustrian Industri plastik</t>
  </si>
  <si>
    <t>Harapan Motor/Harapan</t>
  </si>
  <si>
    <t>271</t>
  </si>
  <si>
    <t>BADAN  KETAHANAN PANGAN DAN  PELAKSANA PENYULUHAN PERTANIAN</t>
  </si>
  <si>
    <t>00502</t>
  </si>
  <si>
    <t>Perindustrian Industri hasil kimia lainnya dan pengolahan bahan kimia untuk industri</t>
  </si>
  <si>
    <t>Konimex</t>
  </si>
  <si>
    <t>272</t>
  </si>
  <si>
    <t>BADAN ARBITRASE NASIONAL INDONESIA (BANI)</t>
  </si>
  <si>
    <t>00503</t>
  </si>
  <si>
    <t>Perindustrian Remilling dan rumah asap</t>
  </si>
  <si>
    <t>Mayer</t>
  </si>
  <si>
    <t>273</t>
  </si>
  <si>
    <t>BADAN ARBITRASE PASAR MODAL INDONESIA (BAPMI)</t>
  </si>
  <si>
    <t>00504</t>
  </si>
  <si>
    <t>Perindustrian Industri crumb rubber</t>
  </si>
  <si>
    <t>Mugi</t>
  </si>
  <si>
    <t>274</t>
  </si>
  <si>
    <t>BADAN PEMERIKSA KEUANGAN</t>
  </si>
  <si>
    <t>00522</t>
  </si>
  <si>
    <t>Perindustrian Industri hasil karet lainnya</t>
  </si>
  <si>
    <t>Pan Brothers</t>
  </si>
  <si>
    <t>275</t>
  </si>
  <si>
    <t>BADAN PENGAWAS KEUANGAN DAN PEMBANGUNAN (BPKP)</t>
  </si>
  <si>
    <t>00527</t>
  </si>
  <si>
    <t>Perindustrian Industri minyak atsiri</t>
  </si>
  <si>
    <t>Puteraco</t>
  </si>
  <si>
    <t>276</t>
  </si>
  <si>
    <t>BADAN PENGEMBANGAN &amp; PENGKAJIAN TEKNOLOGI</t>
  </si>
  <si>
    <t>00532</t>
  </si>
  <si>
    <t>Perindustrian Lainnya</t>
  </si>
  <si>
    <t>Sadang Mas</t>
  </si>
  <si>
    <t>277</t>
  </si>
  <si>
    <t>BADAN PENGEMBANGAN EKSPOR NASIONAL</t>
  </si>
  <si>
    <t>00533</t>
  </si>
  <si>
    <t>Perindustrian Semen</t>
  </si>
  <si>
    <t>Soedarpo</t>
  </si>
  <si>
    <t>278</t>
  </si>
  <si>
    <t>BADAN PENGKAJIAN DAN PENERAPAN</t>
  </si>
  <si>
    <t>00534</t>
  </si>
  <si>
    <t>Perindustrian Batu bata/genteng</t>
  </si>
  <si>
    <t>Tri Usaha Bhakti</t>
  </si>
  <si>
    <t>279</t>
  </si>
  <si>
    <t>BADAN PERENCANAAN PEMBANGUNAN DAERAH</t>
  </si>
  <si>
    <t>00536</t>
  </si>
  <si>
    <t>Perindustrian Keramik</t>
  </si>
  <si>
    <t>Bersama Mulia</t>
  </si>
  <si>
    <t>28</t>
  </si>
  <si>
    <t>BADAN PERENCANAAN PEMBANGUNAN NASIONAL</t>
  </si>
  <si>
    <t>00537</t>
  </si>
  <si>
    <t>Industri logam dasarBesi baja</t>
  </si>
  <si>
    <t>Tobby Mezza/Faritex</t>
  </si>
  <si>
    <t>280</t>
  </si>
  <si>
    <t>BADAN PERTAHANAN NASIONAL</t>
  </si>
  <si>
    <t>00538</t>
  </si>
  <si>
    <t>Industri logam dasarLainnya</t>
  </si>
  <si>
    <t>Indomachine</t>
  </si>
  <si>
    <t>281</t>
  </si>
  <si>
    <t>PT PERKEBUNAN NUSANTARA III (PERSERO)</t>
  </si>
  <si>
    <t>00764</t>
  </si>
  <si>
    <t>Peralatan dengan komponen buatan luar negeriIndustri maritim</t>
  </si>
  <si>
    <t>Maspion</t>
  </si>
  <si>
    <t>282</t>
  </si>
  <si>
    <t>PT PERKEBUNAN NUSANTARA IX (PERSERO)</t>
  </si>
  <si>
    <t>00766</t>
  </si>
  <si>
    <t>Peralatan dengan komponen buatan luar negeriIndustri otomotif</t>
  </si>
  <si>
    <t>Nugra Santana</t>
  </si>
  <si>
    <t>283</t>
  </si>
  <si>
    <t>PT PERTANI (PERSERO)</t>
  </si>
  <si>
    <t>00778</t>
  </si>
  <si>
    <t>Peralatan dengan komponen buatan luar negeriIndustri elektronika</t>
  </si>
  <si>
    <t>Sumatra Tobacco/STTC</t>
  </si>
  <si>
    <t>284</t>
  </si>
  <si>
    <t>PT PERUSAHAAN LISTRIK NEGARA (PERSERO)</t>
  </si>
  <si>
    <t>00780</t>
  </si>
  <si>
    <t>Peralatan dengan komponen buatan luar negeriIndustri alat-alat pertanian</t>
  </si>
  <si>
    <t>Udatimex/Udatinda</t>
  </si>
  <si>
    <t>285</t>
  </si>
  <si>
    <t>PT PINDAD (PERSERO)</t>
  </si>
  <si>
    <t>00783</t>
  </si>
  <si>
    <t>Peralatan dengan komponen buatan luar negeriLainnya</t>
  </si>
  <si>
    <t>Lautan Berlian</t>
  </si>
  <si>
    <t>286</t>
  </si>
  <si>
    <t>PT WIJAYA KARYA (PERSERO) TBK</t>
  </si>
  <si>
    <t>00805</t>
  </si>
  <si>
    <t>Perakitan dengan komponen buatan dalam negerIndustri maritim</t>
  </si>
  <si>
    <t>Menjangan Sakti</t>
  </si>
  <si>
    <t>287</t>
  </si>
  <si>
    <t>RUMAH SAKIT UMUM DAERAH</t>
  </si>
  <si>
    <t>00808</t>
  </si>
  <si>
    <t>Perakitan dengan komponen buatan dalam negerIndustri otomotif</t>
  </si>
  <si>
    <t>Lainnya Harus Diisi</t>
  </si>
  <si>
    <t>288</t>
  </si>
  <si>
    <t>SATUAN POLISI PAMONG PRAJA</t>
  </si>
  <si>
    <t>00809</t>
  </si>
  <si>
    <t>Perakitan dengan komponen buatan dalam negerIndustri elektronika</t>
  </si>
  <si>
    <t>Naga Tara/Tara</t>
  </si>
  <si>
    <t>289</t>
  </si>
  <si>
    <t>PT HUTAMA KARYA (PERSERO)</t>
  </si>
  <si>
    <t>00720</t>
  </si>
  <si>
    <t>Perakitan dengan komponen buatan dalam negerIndustri alat-alat pertanian</t>
  </si>
  <si>
    <t>Bintang Agung</t>
  </si>
  <si>
    <t>29</t>
  </si>
  <si>
    <t>PT INDAH KARYA (PERSERO)</t>
  </si>
  <si>
    <t>00721</t>
  </si>
  <si>
    <t>Perakitan dengan komponen buatan dalam negeriLainnya</t>
  </si>
  <si>
    <t>Margosuko/Nidesco</t>
  </si>
  <si>
    <t>290</t>
  </si>
  <si>
    <t>PT INDUSTRI SANDANG NUSANTARA (PERSERO)</t>
  </si>
  <si>
    <t>00727</t>
  </si>
  <si>
    <t>Pembuatan komponen Industri maritim</t>
  </si>
  <si>
    <t>Putra Surya Perkasa</t>
  </si>
  <si>
    <t>291</t>
  </si>
  <si>
    <t>PT INHUTANI I(PERSERO)</t>
  </si>
  <si>
    <t>00729</t>
  </si>
  <si>
    <t>Pembuatan komponen Industri otomotif</t>
  </si>
  <si>
    <t>Bob Hasan/Pasopati</t>
  </si>
  <si>
    <t>292</t>
  </si>
  <si>
    <t>PT INHUTANI II (PERSERO)</t>
  </si>
  <si>
    <t>00730</t>
  </si>
  <si>
    <t>Pembuatan komponen Industri elektronika</t>
  </si>
  <si>
    <t>Pesik International</t>
  </si>
  <si>
    <t>293</t>
  </si>
  <si>
    <t>PT INHUTANI III (PERSERO)</t>
  </si>
  <si>
    <t>00731</t>
  </si>
  <si>
    <t>Pembuatan komponen Industri alat-alat pertanian</t>
  </si>
  <si>
    <t>Poliplas/Poli</t>
  </si>
  <si>
    <t>294</t>
  </si>
  <si>
    <t>PT INHUTANI IV (PERSERO)</t>
  </si>
  <si>
    <t>00732</t>
  </si>
  <si>
    <t>Pembuatan komponen Lainnya</t>
  </si>
  <si>
    <t>Aneka Kimia Raya</t>
  </si>
  <si>
    <t>295</t>
  </si>
  <si>
    <t>PT INHUTANI V (PERSERO)</t>
  </si>
  <si>
    <t>00733</t>
  </si>
  <si>
    <t>Industri Lainnya</t>
  </si>
  <si>
    <t>Jabatex/Alfindo</t>
  </si>
  <si>
    <t>296</t>
  </si>
  <si>
    <t>PT ISTAKA KARYA(PERSERO)</t>
  </si>
  <si>
    <t>00734</t>
  </si>
  <si>
    <t>Perindustrian</t>
  </si>
  <si>
    <t>Golden Mississippi</t>
  </si>
  <si>
    <t>297</t>
  </si>
  <si>
    <t>PT JAMSOSTEK</t>
  </si>
  <si>
    <t>00735</t>
  </si>
  <si>
    <t>Bahan Kertas (Pulp)</t>
  </si>
  <si>
    <t>Danitama/Arifin</t>
  </si>
  <si>
    <t>298</t>
  </si>
  <si>
    <t>PT JASA MARGA (PERSERO) TBK</t>
  </si>
  <si>
    <t>00736</t>
  </si>
  <si>
    <t xml:space="preserve">Pengolahan Tamb. Bukan Logam </t>
  </si>
  <si>
    <t>Berca/CCM</t>
  </si>
  <si>
    <t>299</t>
  </si>
  <si>
    <t>PT KAWASAN BERIKAT NUSANTARA (PERSERO)</t>
  </si>
  <si>
    <t>00737</t>
  </si>
  <si>
    <t>asdasdasd</t>
  </si>
  <si>
    <t>Bogasari</t>
  </si>
  <si>
    <t>30</t>
  </si>
  <si>
    <t>KEMENTERIAN PERTANIAN</t>
  </si>
  <si>
    <t>00628</t>
  </si>
  <si>
    <t>TESTING</t>
  </si>
  <si>
    <t>TESTING123</t>
  </si>
  <si>
    <t>Citra Agramasinti</t>
  </si>
  <si>
    <t>300</t>
  </si>
  <si>
    <t>KOMISI HUKUM NASIONAL (KHN)</t>
  </si>
  <si>
    <t>00633</t>
  </si>
  <si>
    <t>Citra Lamtoro Gung</t>
  </si>
  <si>
    <t>301</t>
  </si>
  <si>
    <t>KOMISI KEJAKSAAN REPUBLIK INDONESIA</t>
  </si>
  <si>
    <t>00636</t>
  </si>
  <si>
    <t>Wanandi/Gemala</t>
  </si>
  <si>
    <t>302</t>
  </si>
  <si>
    <t>KOMISI PEMILIHAN UMUM</t>
  </si>
  <si>
    <t>00640</t>
  </si>
  <si>
    <t>SIT INDUSTRY 01 Edit</t>
  </si>
  <si>
    <t>SIT_INDUSTRY_01</t>
  </si>
  <si>
    <t>Tripatra/Imeco</t>
  </si>
  <si>
    <t>303</t>
  </si>
  <si>
    <t>KOMISI YUDISIAL (KY)</t>
  </si>
  <si>
    <t>00647</t>
  </si>
  <si>
    <t>SIT INDUSTRY 02</t>
  </si>
  <si>
    <t>SIT_INDUSTRY_02</t>
  </si>
  <si>
    <t>Indomarco/Pebapan</t>
  </si>
  <si>
    <t>304</t>
  </si>
  <si>
    <t>KOMITE NASIONAL KESELAMATAN TRANSPORTASI (KNKT)</t>
  </si>
  <si>
    <t>00648</t>
  </si>
  <si>
    <t>txst</t>
  </si>
  <si>
    <t>Indrapura/Tahija</t>
  </si>
  <si>
    <t>305</t>
  </si>
  <si>
    <t>LEMBAGA PEMBIAYAAN EKSPOR INDONESIA (LPEI)</t>
  </si>
  <si>
    <t>00656</t>
  </si>
  <si>
    <t>Industri Regresi SIT 001</t>
  </si>
  <si>
    <t>REGI01</t>
  </si>
  <si>
    <t>Kuala Intan/Intan</t>
  </si>
  <si>
    <t>306</t>
  </si>
  <si>
    <t>LEMBAGA SENSOR FILM (LSF)</t>
  </si>
  <si>
    <t>00658</t>
  </si>
  <si>
    <t>Sample Industry fa</t>
  </si>
  <si>
    <t>SMPLIND</t>
  </si>
  <si>
    <t>Kayu Lapis Asli Murni</t>
  </si>
  <si>
    <t>307</t>
  </si>
  <si>
    <t>MAHKAMAH KONSTITUSI RI</t>
  </si>
  <si>
    <t>00660</t>
  </si>
  <si>
    <t>asd</t>
  </si>
  <si>
    <t>Ratu Plaza</t>
  </si>
  <si>
    <t>308</t>
  </si>
  <si>
    <t>PERUM DAMRI</t>
  </si>
  <si>
    <t>00665</t>
  </si>
  <si>
    <t>Pangan</t>
  </si>
  <si>
    <t>Lim Sioe Liong/Salim</t>
  </si>
  <si>
    <t>309</t>
  </si>
  <si>
    <t>PERUM JAMKRINDO</t>
  </si>
  <si>
    <t>00666</t>
  </si>
  <si>
    <t>Test</t>
  </si>
  <si>
    <t>Bonecom</t>
  </si>
  <si>
    <t>31</t>
  </si>
  <si>
    <t>PERUM PEMBANGUNAN PERUMAHAN NASIONAL</t>
  </si>
  <si>
    <t>00670</t>
  </si>
  <si>
    <t>I001</t>
  </si>
  <si>
    <t>Satya Djaya Raya/SDR</t>
  </si>
  <si>
    <t>310</t>
  </si>
  <si>
    <t>PERUM PERCETAKAN NEGARA INDONESIA</t>
  </si>
  <si>
    <t>00672</t>
  </si>
  <si>
    <t>Baju</t>
  </si>
  <si>
    <t>TEST1234</t>
  </si>
  <si>
    <t>Meta Epsi/Medco</t>
  </si>
  <si>
    <t>311</t>
  </si>
  <si>
    <t>PERUM PERCETAKAN UANG REPUBLIK INDONESIA</t>
  </si>
  <si>
    <t>00673</t>
  </si>
  <si>
    <t>Ini Calvin punya</t>
  </si>
  <si>
    <t>TEST CALV 1</t>
  </si>
  <si>
    <t>Uni Seraya</t>
  </si>
  <si>
    <t>312</t>
  </si>
  <si>
    <t>PT ADHI KARYA (PERSERO) TBK</t>
  </si>
  <si>
    <t>00678</t>
  </si>
  <si>
    <t xml:space="preserve">Perencanaan Pembangunan </t>
  </si>
  <si>
    <t>Grup Lainnya</t>
  </si>
  <si>
    <t>313</t>
  </si>
  <si>
    <t>KEMENTERIAN AGAMA</t>
  </si>
  <si>
    <t>00600</t>
  </si>
  <si>
    <t>INDUSTRY BERAS</t>
  </si>
  <si>
    <t>0002IT20210901603</t>
  </si>
  <si>
    <t>Tidak Digunakan</t>
  </si>
  <si>
    <t>314</t>
  </si>
  <si>
    <t>BADAN LINGKUNGAN HIDUP</t>
  </si>
  <si>
    <t>00513</t>
  </si>
  <si>
    <t>INDUSTRY TEST 333</t>
  </si>
  <si>
    <t>0002IT20211002603</t>
  </si>
  <si>
    <t>Bumi Asih Jaya</t>
  </si>
  <si>
    <t>32</t>
  </si>
  <si>
    <t>KEMENTERIAN KEHUTANAN</t>
  </si>
  <si>
    <t>00605</t>
  </si>
  <si>
    <t>Pengolahan Rumput Laut</t>
  </si>
  <si>
    <t>Capitol Mutual Corp. /CMC</t>
  </si>
  <si>
    <t>33</t>
  </si>
  <si>
    <t>KEMENTERIAN KELAUTAN DAN PERIKANAN</t>
  </si>
  <si>
    <t>00606</t>
  </si>
  <si>
    <t>Peternakan Sapi dan Susu</t>
  </si>
  <si>
    <t>01-B11-B1101</t>
  </si>
  <si>
    <t>Catur Yasa</t>
  </si>
  <si>
    <t>34</t>
  </si>
  <si>
    <t>KEMENTERIAN KESEHATAN</t>
  </si>
  <si>
    <t>00607</t>
  </si>
  <si>
    <t>Pertanian Kokoa, Kopi, Teh, Tobako</t>
  </si>
  <si>
    <t>01-B10-B1002</t>
  </si>
  <si>
    <t>Ciputra</t>
  </si>
  <si>
    <t>35</t>
  </si>
  <si>
    <t>KEMENTERIAN KEUANGAN</t>
  </si>
  <si>
    <t>00608</t>
  </si>
  <si>
    <t>Pertanian Buah, Sayuran</t>
  </si>
  <si>
    <t>01-B10-B1003</t>
  </si>
  <si>
    <t>Continental</t>
  </si>
  <si>
    <t>36</t>
  </si>
  <si>
    <t>KEMENTERIAN KOMUNIKASI DAN INFORMATIKA</t>
  </si>
  <si>
    <t>00609</t>
  </si>
  <si>
    <t>Kesehatan Farmasi, Obat</t>
  </si>
  <si>
    <t>01-B20-B2002</t>
  </si>
  <si>
    <t>Cypress</t>
  </si>
  <si>
    <t>37</t>
  </si>
  <si>
    <t>KEMENTERIAN LUAR NEGERI</t>
  </si>
  <si>
    <t>00612</t>
  </si>
  <si>
    <t>TEST IND AGNES</t>
  </si>
  <si>
    <t>INDTYPE</t>
  </si>
  <si>
    <t>Dasatex</t>
  </si>
  <si>
    <t>38</t>
  </si>
  <si>
    <t>KEMENTERIAN NEGARA BUMN</t>
  </si>
  <si>
    <t>00613</t>
  </si>
  <si>
    <t>Djarum</t>
  </si>
  <si>
    <t>39</t>
  </si>
  <si>
    <t>KEMENTERIAN NEGARA LINGKUNGAN HIDUP</t>
  </si>
  <si>
    <t>00615</t>
  </si>
  <si>
    <t>Djitoe</t>
  </si>
  <si>
    <t>40</t>
  </si>
  <si>
    <t>KEMENTERIAN NEGARA PENDAYAGUNAAN APARATUR NEGARA</t>
  </si>
  <si>
    <t>00618</t>
  </si>
  <si>
    <t>Duta Dynasti</t>
  </si>
  <si>
    <t>41</t>
  </si>
  <si>
    <t>BADAN URUSAN LOGISTIK</t>
  </si>
  <si>
    <t>00546</t>
  </si>
  <si>
    <t>Eurindo</t>
  </si>
  <si>
    <t>42</t>
  </si>
  <si>
    <t>BUPATI/KABUPATEN</t>
  </si>
  <si>
    <t>00550</t>
  </si>
  <si>
    <t>Fujitex</t>
  </si>
  <si>
    <t>43</t>
  </si>
  <si>
    <t>DEPARTEMEN PEKERJAAN UMUM</t>
  </si>
  <si>
    <t>00551</t>
  </si>
  <si>
    <t>Geha</t>
  </si>
  <si>
    <t>44</t>
  </si>
  <si>
    <t>DINAS  PENDAPATAN DAERAH</t>
  </si>
  <si>
    <t>00561</t>
  </si>
  <si>
    <t>Gema</t>
  </si>
  <si>
    <t>45</t>
  </si>
  <si>
    <t>DINAS KEHUTANAN</t>
  </si>
  <si>
    <t>00563</t>
  </si>
  <si>
    <t>Gobel</t>
  </si>
  <si>
    <t>46</t>
  </si>
  <si>
    <t>DINAS PEKERJAAN UMUM</t>
  </si>
  <si>
    <t>00568</t>
  </si>
  <si>
    <t>Grafiti Pers</t>
  </si>
  <si>
    <t>47</t>
  </si>
  <si>
    <t>DINAS PERTAMBANGAN DAN ENERGI</t>
  </si>
  <si>
    <t>00573</t>
  </si>
  <si>
    <t>Gramedia</t>
  </si>
  <si>
    <t>48</t>
  </si>
  <si>
    <t>DIREKTORAL JENDERAL POSTEL</t>
  </si>
  <si>
    <t>00578</t>
  </si>
  <si>
    <t>Gudang Garam</t>
  </si>
  <si>
    <t>49</t>
  </si>
  <si>
    <t>DIREKTORAT JENDERAL BEA DAN CUKAI</t>
  </si>
  <si>
    <t>00579</t>
  </si>
  <si>
    <t>Gunung Gahapi</t>
  </si>
  <si>
    <t>50</t>
  </si>
  <si>
    <t>DIREKTORAT JENDERAL IMIGRASI</t>
  </si>
  <si>
    <t>00581</t>
  </si>
  <si>
    <t>Hadtex</t>
  </si>
  <si>
    <t>51</t>
  </si>
  <si>
    <t>DIREKTORAT JENDERAL PAJAK</t>
  </si>
  <si>
    <t>00583</t>
  </si>
  <si>
    <t>Hero</t>
  </si>
  <si>
    <t>52</t>
  </si>
  <si>
    <t>DITJEN PERMASYARAKATAN</t>
  </si>
  <si>
    <t>00586</t>
  </si>
  <si>
    <t>Humpuss</t>
  </si>
  <si>
    <t>53</t>
  </si>
  <si>
    <t>DPR</t>
  </si>
  <si>
    <t>00587</t>
  </si>
  <si>
    <t>Hutrindo</t>
  </si>
  <si>
    <t>54</t>
  </si>
  <si>
    <t>DPRD</t>
  </si>
  <si>
    <t>00588</t>
  </si>
  <si>
    <t>IBEC</t>
  </si>
  <si>
    <t>55</t>
  </si>
  <si>
    <t>GUBERNUR/PEMPROV</t>
  </si>
  <si>
    <t>00589</t>
  </si>
  <si>
    <t>Indocement</t>
  </si>
  <si>
    <t>56</t>
  </si>
  <si>
    <t>KEJAKSAAN NEGERI</t>
  </si>
  <si>
    <t>00595</t>
  </si>
  <si>
    <t>Indofood</t>
  </si>
  <si>
    <t>57</t>
  </si>
  <si>
    <t>KEJAKSAAN TINGGI</t>
  </si>
  <si>
    <t>00596</t>
  </si>
  <si>
    <t>Interworld</t>
  </si>
  <si>
    <t>58</t>
  </si>
  <si>
    <t>KEJAKSAN AGUNG</t>
  </si>
  <si>
    <t>00597</t>
  </si>
  <si>
    <t>Jati Maluku</t>
  </si>
  <si>
    <t>59</t>
  </si>
  <si>
    <t>KEMENTERIAN DALAM NEGERI (IPDN)</t>
  </si>
  <si>
    <t>00601</t>
  </si>
  <si>
    <t>Jayakarta</t>
  </si>
  <si>
    <t>60</t>
  </si>
  <si>
    <t>KEMENTERIAN HUKUM DAN HAM</t>
  </si>
  <si>
    <t>00603</t>
  </si>
  <si>
    <t>Kalbe Farma</t>
  </si>
  <si>
    <t>61</t>
  </si>
  <si>
    <t>SETJEN BPK</t>
  </si>
  <si>
    <t>00813</t>
  </si>
  <si>
    <t>Kaltimex</t>
  </si>
  <si>
    <t>62</t>
  </si>
  <si>
    <t>SJDI HUKUM DEPARTEMEN KEUANGAN</t>
  </si>
  <si>
    <t>00814</t>
  </si>
  <si>
    <t>Kayu Lapis Indonesia</t>
  </si>
  <si>
    <t>63</t>
  </si>
  <si>
    <t>STAF AHLI</t>
  </si>
  <si>
    <t>00815</t>
  </si>
  <si>
    <t>Khong Guan</t>
  </si>
  <si>
    <t>64</t>
  </si>
  <si>
    <t>TIM PENGEMBANGAN INDUSTRI HANKAM</t>
  </si>
  <si>
    <t>00819</t>
  </si>
  <si>
    <t>Linsea</t>
  </si>
  <si>
    <t>65</t>
  </si>
  <si>
    <t>TNI ANGKATAN DARAT</t>
  </si>
  <si>
    <t>00820</t>
  </si>
  <si>
    <t>Lippo</t>
  </si>
  <si>
    <t>66</t>
  </si>
  <si>
    <t>TNI ANGKATAN LAUT</t>
  </si>
  <si>
    <t>00821</t>
  </si>
  <si>
    <t>Manggala</t>
  </si>
  <si>
    <t>67</t>
  </si>
  <si>
    <t>TNI ANGKATAN UDARA</t>
  </si>
  <si>
    <t>00822</t>
  </si>
  <si>
    <t>Manunggal Sempurna</t>
  </si>
  <si>
    <t>68</t>
  </si>
  <si>
    <t>WALIKOTA/KOTAMADYA</t>
  </si>
  <si>
    <t>00824</t>
  </si>
  <si>
    <t>Matahari</t>
  </si>
  <si>
    <t>69</t>
  </si>
  <si>
    <t>BADAN INSPEKTORAT</t>
  </si>
  <si>
    <t>00505</t>
  </si>
  <si>
    <t>Mercu Buana</t>
  </si>
  <si>
    <t>70</t>
  </si>
  <si>
    <t>BADAN INTELEJEN NEGARA</t>
  </si>
  <si>
    <t>00506</t>
  </si>
  <si>
    <t>Metro Ekspres</t>
  </si>
  <si>
    <t>71</t>
  </si>
  <si>
    <t>BADAN KEPEGAWAIAN DAERAH</t>
  </si>
  <si>
    <t>00507</t>
  </si>
  <si>
    <t>Metropolitan</t>
  </si>
  <si>
    <t>72</t>
  </si>
  <si>
    <t>BADAN KEPEGAWAIAN NEGARA</t>
  </si>
  <si>
    <t>00508</t>
  </si>
  <si>
    <t>Mulia</t>
  </si>
  <si>
    <t>73</t>
  </si>
  <si>
    <t>BADAN KOORDINASI KELUARGA BERENCANA NASIONAL</t>
  </si>
  <si>
    <t>00510</t>
  </si>
  <si>
    <t>Nusamba</t>
  </si>
  <si>
    <t>74</t>
  </si>
  <si>
    <t>BADAN KOORDINASI PENANAMAN MODAL</t>
  </si>
  <si>
    <t>00511</t>
  </si>
  <si>
    <t>Otani</t>
  </si>
  <si>
    <t>75</t>
  </si>
  <si>
    <t>BADAN NARKOTIKA NASIONAL (BNN)</t>
  </si>
  <si>
    <t>00515</t>
  </si>
  <si>
    <t>Panggung</t>
  </si>
  <si>
    <t>76</t>
  </si>
  <si>
    <t>BADAN PELAKSANA KEGIATAN USAHA HULU MINYAK DAN GAS BUMI (BP MIGAS)</t>
  </si>
  <si>
    <t>00518</t>
  </si>
  <si>
    <t>Pardedetex</t>
  </si>
  <si>
    <t>77</t>
  </si>
  <si>
    <t>BADAN PENGATUR HILIR MINYAK DAN GAS BUMI (BPH MIGAS)</t>
  </si>
  <si>
    <t>00526</t>
  </si>
  <si>
    <t>Pioneer Plastic</t>
  </si>
  <si>
    <t>78</t>
  </si>
  <si>
    <t>BADAN PENGAWAS PASAR MODAL</t>
  </si>
  <si>
    <t>00528</t>
  </si>
  <si>
    <t>Poleko</t>
  </si>
  <si>
    <t>79</t>
  </si>
  <si>
    <t>BADAN PENGAWAS TENAGA NUKLIR</t>
  </si>
  <si>
    <t>00529</t>
  </si>
  <si>
    <t>Pondok Indah</t>
  </si>
  <si>
    <t>80</t>
  </si>
  <si>
    <t>BADAN PENGAWASAN KEUANGAN &amp; PEMBANGUNAN</t>
  </si>
  <si>
    <t>00530</t>
  </si>
  <si>
    <t>Prasida</t>
  </si>
  <si>
    <t>81</t>
  </si>
  <si>
    <t>BADAN PENGAWASAN OBAT DAN MAKANAN (BPOM)</t>
  </si>
  <si>
    <t>00531</t>
  </si>
  <si>
    <t>Pulau Sambu</t>
  </si>
  <si>
    <t>82</t>
  </si>
  <si>
    <t>BADAN PERTANAHAN NEGARA (BPN)</t>
  </si>
  <si>
    <t>00539</t>
  </si>
  <si>
    <t>Radjin Steel</t>
  </si>
  <si>
    <t>83</t>
  </si>
  <si>
    <t>PT SANG HYANG SERI (PERSERO)</t>
  </si>
  <si>
    <t>00790</t>
  </si>
  <si>
    <t>Rimba</t>
  </si>
  <si>
    <t>84</t>
  </si>
  <si>
    <t>SEKRETARIAT DAERAH</t>
  </si>
  <si>
    <t>00810</t>
  </si>
  <si>
    <t>Roda Mas</t>
  </si>
  <si>
    <t>85</t>
  </si>
  <si>
    <t>SEKRETARIAT DPR/DPRD/DPD</t>
  </si>
  <si>
    <t>00811</t>
  </si>
  <si>
    <t>SMIP</t>
  </si>
  <si>
    <t>86</t>
  </si>
  <si>
    <t>SEKRETARIAT MAHKAMAH AGUNG</t>
  </si>
  <si>
    <t>00812</t>
  </si>
  <si>
    <t>Sampoerna</t>
  </si>
  <si>
    <t>87</t>
  </si>
  <si>
    <t>PT DJAKARTA LLOYD (PERSERO)</t>
  </si>
  <si>
    <t>00713</t>
  </si>
  <si>
    <t>Sandratex</t>
  </si>
  <si>
    <t>88</t>
  </si>
  <si>
    <t>KEMENTERIAN NEGARA RISET DAN TEKNOLOGI</t>
  </si>
  <si>
    <t>00621</t>
  </si>
  <si>
    <t>Sarinah Jaya</t>
  </si>
  <si>
    <t>89</t>
  </si>
  <si>
    <t>KEMENTERIAN PEKERJAAN UMUM</t>
  </si>
  <si>
    <t>00622</t>
  </si>
  <si>
    <t>Satmarindo</t>
  </si>
  <si>
    <t>90</t>
  </si>
  <si>
    <t>KEMENTERIAN PENDIDIKAN NASIONAL</t>
  </si>
  <si>
    <t>00623</t>
  </si>
  <si>
    <t>Sekar</t>
  </si>
  <si>
    <t>91</t>
  </si>
  <si>
    <t>KEMENTERIAN PERDAGANGAN</t>
  </si>
  <si>
    <t>00624</t>
  </si>
  <si>
    <t>Siddik</t>
  </si>
  <si>
    <t>92</t>
  </si>
  <si>
    <t>KEMENTERIAN PERHUBUNGAN</t>
  </si>
  <si>
    <t>00625</t>
  </si>
  <si>
    <t>Silkar</t>
  </si>
  <si>
    <t>93</t>
  </si>
  <si>
    <t>KEMENTERIAN PERINDUSTRIAN</t>
  </si>
  <si>
    <t>00626</t>
  </si>
  <si>
    <t>Sinar Mas Inti Perkasa</t>
  </si>
  <si>
    <t>94</t>
  </si>
  <si>
    <t>KEMENTERIAN PERTAHANAN</t>
  </si>
  <si>
    <t>00627</t>
  </si>
  <si>
    <t>Sri Rejeki Isman</t>
  </si>
  <si>
    <t>95</t>
  </si>
  <si>
    <t>KEMENTERIAN SEKRETARIS NEGARA</t>
  </si>
  <si>
    <t>00629</t>
  </si>
  <si>
    <t>Sri Yuwono</t>
  </si>
  <si>
    <t>96</t>
  </si>
  <si>
    <t>KEMENTERIAN SOSIAL</t>
  </si>
  <si>
    <t>00630</t>
  </si>
  <si>
    <t>Suara Merdeka</t>
  </si>
  <si>
    <t>97</t>
  </si>
  <si>
    <t>KEMENTERIAN TENAGA KERJA DAN TRANSMIGRASI</t>
  </si>
  <si>
    <t>00631</t>
  </si>
  <si>
    <t>Subentra</t>
  </si>
  <si>
    <t>98</t>
  </si>
  <si>
    <t>KEPOLISIAN REPUBLIK INDONESIA</t>
  </si>
  <si>
    <t>00632</t>
  </si>
  <si>
    <t>Sukabumi</t>
  </si>
  <si>
    <t>99</t>
  </si>
  <si>
    <t>KOMISI PEMILIHAN UMUM (KPU)</t>
  </si>
  <si>
    <t>00641</t>
  </si>
  <si>
    <t>KOMISI PENGAWAS PERSAINGAN USAHA</t>
  </si>
  <si>
    <t>00643</t>
  </si>
  <si>
    <t>KOMISI PENGAWAS PERSAINGAN USAHA (KPPU)</t>
  </si>
  <si>
    <t>00644</t>
  </si>
  <si>
    <t>KOMITE OLAHRAGA NASIONAL INDONESIA (KONI)</t>
  </si>
  <si>
    <t>00649</t>
  </si>
  <si>
    <t>LEMBAGA KANTOR BERITA ANTARA</t>
  </si>
  <si>
    <t>00654</t>
  </si>
  <si>
    <t>MPR</t>
  </si>
  <si>
    <t>00661</t>
  </si>
  <si>
    <t>PENGADILAN</t>
  </si>
  <si>
    <t>00663</t>
  </si>
  <si>
    <t>PERUM BULOG</t>
  </si>
  <si>
    <t>00664</t>
  </si>
  <si>
    <t>PERUM LKBN ANTARA</t>
  </si>
  <si>
    <t>00669</t>
  </si>
  <si>
    <t>PERUM PERHUTANI(PERSERO)</t>
  </si>
  <si>
    <t>00674</t>
  </si>
  <si>
    <t>Kementerian Koordinator Bidang Kemaritiman dan Investasi</t>
  </si>
  <si>
    <t>00825</t>
  </si>
  <si>
    <t>Kementerian Agraria dan Tata Ruang/Badan Pertanahan Nasional</t>
  </si>
  <si>
    <t>00826</t>
  </si>
  <si>
    <t>Kementerian Investasi</t>
  </si>
  <si>
    <t>00827</t>
  </si>
  <si>
    <t>Kementerian Pemuda dan Olahraga</t>
  </si>
  <si>
    <t>00828</t>
  </si>
  <si>
    <t>Mahkamah Agung</t>
  </si>
  <si>
    <t>00829</t>
  </si>
  <si>
    <t>Lembaga Arsip Nasional RepublikIndonesia</t>
  </si>
  <si>
    <t>00830</t>
  </si>
  <si>
    <t>Badan Informasi Geospasial</t>
  </si>
  <si>
    <t>Badan Nasional Penanggulangan Bencana</t>
  </si>
  <si>
    <t>Badan Nasional Penanggulangan Terorisme</t>
  </si>
  <si>
    <t>Badan Nasional Penempatan dan Perlindungan Tenaga Kerja Indonesia</t>
  </si>
  <si>
    <t>Badan Nasional Pencarian dan Pertolongan</t>
  </si>
  <si>
    <t>Badan Standarisasi Nasional</t>
  </si>
  <si>
    <t>Lembaga Ilmu Pengetahuan Indonesia</t>
  </si>
  <si>
    <t>Lembaga Ketahanan Nasional</t>
  </si>
  <si>
    <t>Lembaga Penerbangan dan Antariksa Nasional</t>
  </si>
  <si>
    <t>00839</t>
  </si>
  <si>
    <t>Badan Siber dan Sandi Negara</t>
  </si>
  <si>
    <t>00840</t>
  </si>
  <si>
    <t>Perpustakaan Nasional Republik Indonesia</t>
  </si>
  <si>
    <t>00841</t>
  </si>
  <si>
    <t>Badan Ekonomi Kreatif</t>
  </si>
  <si>
    <t>00842</t>
  </si>
  <si>
    <t>Badan Keamanan Laut Republik Indonesia (BAKAMLA)</t>
  </si>
  <si>
    <t>00843</t>
  </si>
  <si>
    <t>Badan Pelindungan Pekerja Migran Indonesia</t>
  </si>
  <si>
    <t>00844</t>
  </si>
  <si>
    <t>Badan Riset dan Inovasi Nasional</t>
  </si>
  <si>
    <t>00845</t>
  </si>
  <si>
    <t>Televisi Republik Indonesia</t>
  </si>
  <si>
    <t>00846</t>
  </si>
  <si>
    <t>Radio Republik Indonesia</t>
  </si>
  <si>
    <t>00847</t>
  </si>
  <si>
    <t>Sekretariat Jenderal Badan Pengawas Pemilu</t>
  </si>
  <si>
    <t>00848</t>
  </si>
  <si>
    <t>Sekretariat Jenderal Lembaga Perlindungan Saksi dan Korban</t>
  </si>
  <si>
    <t>00849</t>
  </si>
  <si>
    <t>Sekretariat Jenderal Dewan Ketahanan Nasional</t>
  </si>
  <si>
    <t>00850</t>
  </si>
  <si>
    <t>Sekretariat Jenderal Badan Nasional Pengelola Perbatasan(BNPP)</t>
  </si>
  <si>
    <t>00851</t>
  </si>
  <si>
    <t>Sekretariat Jenderal Dewan Energi Nasional</t>
  </si>
  <si>
    <t>00852</t>
  </si>
  <si>
    <t>Sekretariat Dewan Pertimbangan Presiden</t>
  </si>
  <si>
    <t>00853</t>
  </si>
  <si>
    <t>Sekretariat Konsil Kedokteran Indonesia</t>
  </si>
  <si>
    <t>00854</t>
  </si>
  <si>
    <t>Sekretariat Konsil Tenaga Kesehatan Indonesia</t>
  </si>
  <si>
    <t>00855</t>
  </si>
  <si>
    <t>Sekretariat Komisi Aparatur Sipil Negara</t>
  </si>
  <si>
    <t>00856</t>
  </si>
  <si>
    <t>Sekretariat Dewan Jaminan Sosial Nasional</t>
  </si>
  <si>
    <t>00857</t>
  </si>
  <si>
    <t>Sekretariat Komisi Informasi Pusat</t>
  </si>
  <si>
    <t>00858</t>
  </si>
  <si>
    <t>Sekretariat Kantor Staf Presiden</t>
  </si>
  <si>
    <t>00859</t>
  </si>
  <si>
    <t>Sekretariat Dewan Sumber Daya Air Nasional</t>
  </si>
  <si>
    <t>00860</t>
  </si>
  <si>
    <t>Sekretariat Dewan Kehormatan Penyelenggara Pemilu</t>
  </si>
  <si>
    <t>00861</t>
  </si>
  <si>
    <t>Sekretariat Badan Amil Zakat Nasional</t>
  </si>
  <si>
    <t>00862</t>
  </si>
  <si>
    <t>Sekretariat Kabinet</t>
  </si>
  <si>
    <t>00863</t>
  </si>
  <si>
    <t>Badan Pembinaan Ideologi Pancasila</t>
  </si>
  <si>
    <t>00864</t>
  </si>
  <si>
    <t>Akademi Ilmu Pengetahuan Indonesia</t>
  </si>
  <si>
    <t>00865</t>
  </si>
  <si>
    <t>Badan Amil Zakat Nasional</t>
  </si>
  <si>
    <t>00866</t>
  </si>
  <si>
    <t>Badan Koordinasi Pemberantasan Rupiah Palsu</t>
  </si>
  <si>
    <t>00867</t>
  </si>
  <si>
    <t>Badan Nasional Pengelola Perbatasan</t>
  </si>
  <si>
    <t>00868</t>
  </si>
  <si>
    <t>Badan Pengawas Pemilihan Umum</t>
  </si>
  <si>
    <t>00869</t>
  </si>
  <si>
    <t>Badan Pengawas Rumah Sakit Indonesia</t>
  </si>
  <si>
    <t>00870</t>
  </si>
  <si>
    <t>Badan Otorita Pengelola Kawasan Pariwisata Danau Toba</t>
  </si>
  <si>
    <t>00871</t>
  </si>
  <si>
    <t>Badan Otorita Pengelola Kawasan Pariwisata Borobudur</t>
  </si>
  <si>
    <t>00872</t>
  </si>
  <si>
    <t>Badan Otorita Pengelola Kawasan Pariwisata Labuan Bajo Flores</t>
  </si>
  <si>
    <t>00873</t>
  </si>
  <si>
    <t>Badan Pengusahaan Kawasan Perdagangan Bebas dan Pelabuhan Bebas Batam</t>
  </si>
  <si>
    <t>00874</t>
  </si>
  <si>
    <t>Badan Pengusahaan Kawasan Perdagangan Bebas dan Pelabuhan Bebas Bintan</t>
  </si>
  <si>
    <t>00875</t>
  </si>
  <si>
    <t>Badan Pengusahaan Kawasan Perdagangan Bebas dan Pelabuhan Bebas Karimun</t>
  </si>
  <si>
    <t>00876</t>
  </si>
  <si>
    <t>Badan Pengusahaan Kawasan Perdagangan Bebas dan Pelabuhan Bebas Sabang</t>
  </si>
  <si>
    <t>00877</t>
  </si>
  <si>
    <t>Badan Perlindungan Konsumen Nasional</t>
  </si>
  <si>
    <t>00878</t>
  </si>
  <si>
    <t>Badan Pertimbangan Kesehatan Nasional</t>
  </si>
  <si>
    <t>00879</t>
  </si>
  <si>
    <t>Badan Restorasi Gambut dan Mangrove</t>
  </si>
  <si>
    <t>00880</t>
  </si>
  <si>
    <t>Dewan Energi Nasional</t>
  </si>
  <si>
    <t>00881</t>
  </si>
  <si>
    <t>Dewan Gelar, Tanda Jasa, dan Tanda Kehormatan</t>
  </si>
  <si>
    <t>00882</t>
  </si>
  <si>
    <t>Dewan Jaminan Sosial Nasional</t>
  </si>
  <si>
    <t>00883</t>
  </si>
  <si>
    <t>Dewan Kawasan Perdagangan Bebas dan Pelabuhan Bebas Batam</t>
  </si>
  <si>
    <t>00884</t>
  </si>
  <si>
    <t>Dewan Kawasan Perdagangan Bebas dan Pelabuhan Bebas Bintan</t>
  </si>
  <si>
    <t>00885</t>
  </si>
  <si>
    <t>Dewan Kawasan Perdagangan Bebas dan Pelabuhan Bebas Karimun</t>
  </si>
  <si>
    <t>00886</t>
  </si>
  <si>
    <t>Dewan Kawasan Perdagangan Bebas dan Pelabuhan Bebas Sabang</t>
  </si>
  <si>
    <t>00887</t>
  </si>
  <si>
    <t>Dewan Kehormatan Penyelenggara Pemilu</t>
  </si>
  <si>
    <t>00888</t>
  </si>
  <si>
    <t>Dewan Ketahanan Nasional</t>
  </si>
  <si>
    <t>00889</t>
  </si>
  <si>
    <t>Dewan Nasional Kawasan Ekonomi Khusus</t>
  </si>
  <si>
    <t>00890</t>
  </si>
  <si>
    <t>Dewan Nasional Keuangan Inklusif</t>
  </si>
  <si>
    <t>00891</t>
  </si>
  <si>
    <t>Dewan Pengupahan Nasional</t>
  </si>
  <si>
    <t>00892</t>
  </si>
  <si>
    <t>Dewan Sumber Daya Air Nasional</t>
  </si>
  <si>
    <t>00893</t>
  </si>
  <si>
    <t>Dewan Teknologi Informasi dan Komunikasi Nasional</t>
  </si>
  <si>
    <t>00894</t>
  </si>
  <si>
    <t>Kantor Staf Presiden</t>
  </si>
  <si>
    <t>00895</t>
  </si>
  <si>
    <t>Komisi Aparatur Sipil Negara</t>
  </si>
  <si>
    <t>00896</t>
  </si>
  <si>
    <t>Komisi Banding Merek</t>
  </si>
  <si>
    <t>00897</t>
  </si>
  <si>
    <t>Komisi Banding Paten</t>
  </si>
  <si>
    <t>00898</t>
  </si>
  <si>
    <t>Komisi Informasi Pusat</t>
  </si>
  <si>
    <t>00899</t>
  </si>
  <si>
    <t>Komisi Keamanan Hayati Produk Rekayasa Genetik</t>
  </si>
  <si>
    <t>00900</t>
  </si>
  <si>
    <t>Komisi Nasional Disabilitas</t>
  </si>
  <si>
    <t>00901</t>
  </si>
  <si>
    <t>Komisi Nasional Anti Kekerasan terhadap Perempuan</t>
  </si>
  <si>
    <t>00902</t>
  </si>
  <si>
    <t>Komisi Penilai Analisis Mengenai Dampak Lingkungan Hidup</t>
  </si>
  <si>
    <t>00903</t>
  </si>
  <si>
    <t>Komisi Penyuluhan Nasional</t>
  </si>
  <si>
    <t>00904</t>
  </si>
  <si>
    <t>Komite Akreditasi Nasional</t>
  </si>
  <si>
    <t>00905</t>
  </si>
  <si>
    <t>Komite Antidumping Indonesia</t>
  </si>
  <si>
    <t>00906</t>
  </si>
  <si>
    <t>Komite Kebijakan Industri Pertahanan</t>
  </si>
  <si>
    <t>00907</t>
  </si>
  <si>
    <t>Komite Kebijakan Percepatan Penyediaan Infrastruktur Prioritas</t>
  </si>
  <si>
    <t>00908</t>
  </si>
  <si>
    <t>Komite Nasional Ekonomi dan Keuangan Syariah</t>
  </si>
  <si>
    <t>00909</t>
  </si>
  <si>
    <t>Komite Nasional Keamanan Penerbangan</t>
  </si>
  <si>
    <t>00910</t>
  </si>
  <si>
    <t>Komite Pengamanan Perdagangan Indonesia</t>
  </si>
  <si>
    <t>00911</t>
  </si>
  <si>
    <t>Komite Privatisasi Perusahaan Perseroan</t>
  </si>
  <si>
    <t>00912</t>
  </si>
  <si>
    <t>Komite Profesi Akuntan Publik</t>
  </si>
  <si>
    <t>00913</t>
  </si>
  <si>
    <t>Konsil Kedokteran Indonesia</t>
  </si>
  <si>
    <t>00914</t>
  </si>
  <si>
    <t>Konsil Tenaga Kesehatan Indonesia</t>
  </si>
  <si>
    <t>00915</t>
  </si>
  <si>
    <t>Konsil Keperawatan</t>
  </si>
  <si>
    <t>00916</t>
  </si>
  <si>
    <t>Lembaga Kerja Sama Tripartit</t>
  </si>
  <si>
    <t>00917</t>
  </si>
  <si>
    <t>Lembaga Perlindungan Saksi dan Korban</t>
  </si>
  <si>
    <t>00918</t>
  </si>
  <si>
    <t>Lembaga Produktivitas Nasional</t>
  </si>
  <si>
    <t>00919</t>
  </si>
  <si>
    <t>Lembaga Sertifikasi Industri Hijau</t>
  </si>
  <si>
    <t>00920</t>
  </si>
  <si>
    <t>Majelis Disiplin Tenaga Kesehatan</t>
  </si>
  <si>
    <t>00921</t>
  </si>
  <si>
    <t>Majelis Pertimbangan Tenaga Nuklir</t>
  </si>
  <si>
    <t>00922</t>
  </si>
  <si>
    <t>Badan Pertimbangan Aparatur Sipil Negara</t>
  </si>
  <si>
    <t>00923</t>
  </si>
  <si>
    <t>Komite Industri Nasional</t>
  </si>
  <si>
    <t>00924</t>
  </si>
  <si>
    <t>Lembaga Pencegahan dan Pemberantasan Perusakan Hutan</t>
  </si>
  <si>
    <t>00925</t>
  </si>
  <si>
    <t>Dewan Insinyur Indonesia</t>
  </si>
  <si>
    <t>00926</t>
  </si>
  <si>
    <t>Dewan Pertahanan Nasional</t>
  </si>
  <si>
    <t>00927</t>
  </si>
  <si>
    <t>Komite Perdagangan Indonesia</t>
  </si>
  <si>
    <t>00928</t>
  </si>
  <si>
    <t>Badan Pengelola Keuangan dan Aset Daerah</t>
  </si>
  <si>
    <t>00929</t>
  </si>
  <si>
    <t>Badan Pengembangan Sumber Daya Manusia</t>
  </si>
  <si>
    <t>00930</t>
  </si>
  <si>
    <t>Badan Penanggulangan Bencana Daerah</t>
  </si>
  <si>
    <t>00931</t>
  </si>
  <si>
    <t>Badan Pelayanan Pengadaan Barang/Jasa</t>
  </si>
  <si>
    <t>00932</t>
  </si>
  <si>
    <t>Dinas Pemda Bina Marga</t>
  </si>
  <si>
    <t>00933</t>
  </si>
  <si>
    <t>Dinas Pemda Sumber Daya Air</t>
  </si>
  <si>
    <t>00934</t>
  </si>
  <si>
    <t>Dinas Pemda Penanggulangan Kebakaran dan Penyelamatan</t>
  </si>
  <si>
    <t>00935</t>
  </si>
  <si>
    <t>Dinas Pemda Penanaman Modal dan Pelayanan Terpadu Satu Pintu</t>
  </si>
  <si>
    <t>00936</t>
  </si>
  <si>
    <t>Dinas Pemda Pemuda dan Olahraga</t>
  </si>
  <si>
    <t>00937</t>
  </si>
  <si>
    <t>Dinas Pemda Ketahanan Pangan dan Pertanian</t>
  </si>
  <si>
    <t>00938</t>
  </si>
  <si>
    <t>Dinas Pemda Komunikasi Informatika dan Statistik</t>
  </si>
  <si>
    <t>00939</t>
  </si>
  <si>
    <t>Badan Pemda Pembinaan Badan Usaha Milik Daerah</t>
  </si>
  <si>
    <t>00940</t>
  </si>
  <si>
    <t>Dinas Pemda Cipta Karya, Tata Ruang dan Pertanahan</t>
  </si>
  <si>
    <t>00941</t>
  </si>
  <si>
    <t>Dinas Pemda Perumahan Rakyat dan Kawasan Permukiman</t>
  </si>
  <si>
    <t>00942</t>
  </si>
  <si>
    <t>Dinas Pemda Pemberdayaan, Perlindungan Anak dan Pengendalian Penduduk</t>
  </si>
  <si>
    <t>00943</t>
  </si>
  <si>
    <t>Dinas Pemda Pertamanan dan Hutan Kota</t>
  </si>
  <si>
    <t>00944</t>
  </si>
  <si>
    <t>Badan Pemda Pengelola Pajak dan Retribusi Daerah</t>
  </si>
  <si>
    <t>00945</t>
  </si>
  <si>
    <t>Dinas Pemda Tanaman Pangan dan Hortikultura</t>
  </si>
  <si>
    <t>00946</t>
  </si>
  <si>
    <t>Dinas Pemda Peternakan dan Kesehatan Hewan</t>
  </si>
  <si>
    <t>00947</t>
  </si>
  <si>
    <t>Badan Pemda Penghubung Daerah</t>
  </si>
  <si>
    <t>00948</t>
  </si>
  <si>
    <t>Badan Pemda Pendidikan dan Pelatihan</t>
  </si>
  <si>
    <t>00949</t>
  </si>
  <si>
    <t>Badan Pemda koordinasi Wilayah Pemerintahan dan Pembangunan</t>
  </si>
  <si>
    <t>00950</t>
  </si>
  <si>
    <t>Dinas Pemda Pemajuan Masyarakat Adat</t>
  </si>
  <si>
    <t>00951</t>
  </si>
  <si>
    <t>Wakil Gubernur</t>
  </si>
  <si>
    <t>00952</t>
  </si>
  <si>
    <t>Biro Kepala Daerah Setda</t>
  </si>
  <si>
    <t>00953</t>
  </si>
  <si>
    <t>Biro Kerja Sama Setda</t>
  </si>
  <si>
    <t>00954</t>
  </si>
  <si>
    <t>Biro Perekonomian dan Keuangan Setda</t>
  </si>
  <si>
    <t>00955</t>
  </si>
  <si>
    <t>Biro Umum dan Administrasi Setda</t>
  </si>
  <si>
    <t>00956</t>
  </si>
  <si>
    <t>Biro Pemerintahan Setda</t>
  </si>
  <si>
    <t>00957</t>
  </si>
  <si>
    <t>Biro Pembangunan dan Lingkungan Hidup</t>
  </si>
  <si>
    <t>00958</t>
  </si>
  <si>
    <t>Biro Hukum Setda</t>
  </si>
  <si>
    <t>00959</t>
  </si>
  <si>
    <t>Biro Organisasi Dan Reformasi Birokrasi</t>
  </si>
  <si>
    <t>00960</t>
  </si>
  <si>
    <t>Biro Pendidikan Dan Mental Spiritual</t>
  </si>
  <si>
    <t>00961</t>
  </si>
  <si>
    <t>Biro Kesejahteraan Sosial Setda</t>
  </si>
  <si>
    <t>00962</t>
  </si>
  <si>
    <t>Dinas Pemajuan Masyarakat Adat</t>
  </si>
  <si>
    <t>00963</t>
  </si>
  <si>
    <t>Badan Riset dan Inovasi</t>
  </si>
  <si>
    <t>00964</t>
  </si>
  <si>
    <t>Biro Pemerintahan dan Kesejahteraan Rakyat</t>
  </si>
  <si>
    <t>00965</t>
  </si>
  <si>
    <t>Biro Pemerintahan dan Otonomi Daerah</t>
  </si>
  <si>
    <t>00966</t>
  </si>
  <si>
    <t>Biro Kesejahteraan Rakyat</t>
  </si>
  <si>
    <t>00967</t>
  </si>
  <si>
    <t>Biro Administrasi Pembangunan</t>
  </si>
  <si>
    <t>00968</t>
  </si>
  <si>
    <t>Biro Administrasi Pimpinan</t>
  </si>
  <si>
    <t>00969</t>
  </si>
  <si>
    <t>PT Indonesia Asahan Aluminium (Persero)</t>
  </si>
  <si>
    <t>00970</t>
  </si>
  <si>
    <t>PT Reasuransi Indonesia Utama (Persero)</t>
  </si>
  <si>
    <t>00971</t>
  </si>
  <si>
    <t>PT Surabaya Industrial Estate Rungkut</t>
  </si>
  <si>
    <t>00972</t>
  </si>
  <si>
    <t>PT Bank Bukopin Tbk</t>
  </si>
  <si>
    <t>00973</t>
  </si>
  <si>
    <t>PT Jakarta Industrial Estate Pulogadung</t>
  </si>
  <si>
    <t>00974</t>
  </si>
  <si>
    <t>PT Socfin Indonesia</t>
  </si>
  <si>
    <t>00975</t>
  </si>
  <si>
    <t>PT Indosat Tbk</t>
  </si>
  <si>
    <t>00976</t>
  </si>
  <si>
    <t>PT Prasadha Pamunah Limbah Industri</t>
  </si>
  <si>
    <t>00977</t>
  </si>
  <si>
    <t>PT Kawasan Industri Lampung</t>
  </si>
  <si>
    <t>00978</t>
  </si>
  <si>
    <t>PT Waskita Karya (Persero) Tbk</t>
  </si>
  <si>
    <t>00979</t>
  </si>
  <si>
    <t>PT Semen Indonesia (Persero) Tbk</t>
  </si>
  <si>
    <t>00980</t>
  </si>
  <si>
    <t>Perusahaan Umum Lembaga Penyelenggara Pelayanan Navigasi Penerbangan Indonesia (LPPNPI)</t>
  </si>
  <si>
    <t>00981</t>
  </si>
  <si>
    <t>PT Industri Nuklir Indonesia (Persero)</t>
  </si>
  <si>
    <t>00982</t>
  </si>
  <si>
    <t>Otoritas Jasa Keuangan</t>
  </si>
  <si>
    <t>00983</t>
  </si>
  <si>
    <t>Badan Pengawas Perdagangan Berjangka Komoditi</t>
  </si>
  <si>
    <t>00984</t>
  </si>
  <si>
    <t>Badan Pengatur Jalan Tol</t>
  </si>
  <si>
    <t>00985</t>
  </si>
  <si>
    <t>Badan Regulasi Telekomunikasi Indonesia</t>
  </si>
  <si>
    <t>00986</t>
  </si>
  <si>
    <t>International Parliament Union (IPU)</t>
  </si>
  <si>
    <t>00987</t>
  </si>
  <si>
    <t>Asian Parliamentary Assembly (APA)</t>
  </si>
  <si>
    <t>00988</t>
  </si>
  <si>
    <t>ASEAN Inter-Parliamentary Assembly (AIPA)</t>
  </si>
  <si>
    <t>00989</t>
  </si>
  <si>
    <t>Asian Pacific Parliamentry Forum</t>
  </si>
  <si>
    <t>00990</t>
  </si>
  <si>
    <t>Global Centre for ICT in Parliament</t>
  </si>
  <si>
    <t>00991</t>
  </si>
  <si>
    <t>Global Legal Information Network (GLIN)</t>
  </si>
  <si>
    <t>00992</t>
  </si>
  <si>
    <t>NO</t>
  </si>
  <si>
    <t>1. MOODY'S</t>
  </si>
  <si>
    <t>2. STANDARD AND POOR'S</t>
  </si>
  <si>
    <t>3. FITCH RATING</t>
  </si>
  <si>
    <t>4. PEFINDO</t>
  </si>
  <si>
    <t>5. ICRA INDONESIA</t>
  </si>
  <si>
    <t>6. FITCH INDONESIA</t>
  </si>
  <si>
    <t>7. LAINNYA</t>
  </si>
  <si>
    <t>Unexecuted</t>
  </si>
  <si>
    <t>Note</t>
  </si>
  <si>
    <t>Legal Doc Type terdiri dari SIUP, NIP, TDP (Sesuai setting master type legal doc di FOU)
cara pengisian menggunakan ';' sebagai delimiter
CONTOH: SIUP;NIP;TDP</t>
  </si>
  <si>
    <t>DEBTOR GROUP NAME</t>
  </si>
  <si>
    <t>DEBTOR GROUP CODE</t>
  </si>
  <si>
    <t>...</t>
  </si>
  <si>
    <t>Debtor Business Scale Description</t>
  </si>
  <si>
    <t>Counterpart Category</t>
  </si>
  <si>
    <t>LBPP CODE</t>
  </si>
  <si>
    <t>LBPP Code</t>
  </si>
  <si>
    <t>DEBTOR GROUP SLIK</t>
  </si>
  <si>
    <t>DEBTOR GROUP SLIK CODE</t>
  </si>
  <si>
    <t>CODE</t>
  </si>
  <si>
    <t>DEPARTMENT AML</t>
  </si>
  <si>
    <t>DEPARTMENT AML CODE</t>
  </si>
  <si>
    <t>CSP/USL SOURCE AML CODE</t>
  </si>
  <si>
    <t>PAYMENT TYPE AML</t>
  </si>
  <si>
    <t>AUTHORITY AML</t>
  </si>
  <si>
    <t>AUTHORITY AML2</t>
  </si>
  <si>
    <t>BUILDING</t>
  </si>
  <si>
    <t>BUILDING CODE</t>
  </si>
  <si>
    <t>INDUSTRY TYPE NAME</t>
  </si>
  <si>
    <t>INDUSTRY TYPE CODE</t>
  </si>
  <si>
    <t>Pertanian Padi 2</t>
  </si>
  <si>
    <t>1111</t>
  </si>
  <si>
    <t>Pertanian Kacang-kacangan</t>
  </si>
  <si>
    <t>1115</t>
  </si>
  <si>
    <t>Pertanian Umbi-umbian</t>
  </si>
  <si>
    <t>1116</t>
  </si>
  <si>
    <t>Pertanian Jagung</t>
  </si>
  <si>
    <t>1117</t>
  </si>
  <si>
    <t>Pertanian Lainnya</t>
  </si>
  <si>
    <t>1119</t>
  </si>
  <si>
    <t>Pertanian Hortikultura</t>
  </si>
  <si>
    <t>1130</t>
  </si>
  <si>
    <t>1141</t>
  </si>
  <si>
    <t>1142</t>
  </si>
  <si>
    <t>1143</t>
  </si>
  <si>
    <t>1144</t>
  </si>
  <si>
    <t>1145</t>
  </si>
  <si>
    <t>1146</t>
  </si>
  <si>
    <t>1147</t>
  </si>
  <si>
    <t>1148</t>
  </si>
  <si>
    <t>1149</t>
  </si>
  <si>
    <t>1150</t>
  </si>
  <si>
    <t>1151</t>
  </si>
  <si>
    <t>1152</t>
  </si>
  <si>
    <t>1153</t>
  </si>
  <si>
    <t>1159</t>
  </si>
  <si>
    <t>1161</t>
  </si>
  <si>
    <t>1163</t>
  </si>
  <si>
    <t>1164</t>
  </si>
  <si>
    <t>1166</t>
  </si>
  <si>
    <t>1167</t>
  </si>
  <si>
    <t>1169</t>
  </si>
  <si>
    <t>1171</t>
  </si>
  <si>
    <t>1172</t>
  </si>
  <si>
    <t>1179</t>
  </si>
  <si>
    <t>1180</t>
  </si>
  <si>
    <t>1200</t>
  </si>
  <si>
    <t>1311</t>
  </si>
  <si>
    <t>1312</t>
  </si>
  <si>
    <t>1313</t>
  </si>
  <si>
    <t>1314</t>
  </si>
  <si>
    <t>1360</t>
  </si>
  <si>
    <t>1370</t>
  </si>
  <si>
    <t>1380</t>
  </si>
  <si>
    <t>1390</t>
  </si>
  <si>
    <t>1000</t>
  </si>
  <si>
    <t>2100</t>
  </si>
  <si>
    <t>2210</t>
  </si>
  <si>
    <t>2220</t>
  </si>
  <si>
    <t>2230</t>
  </si>
  <si>
    <t>2240</t>
  </si>
  <si>
    <t>2290</t>
  </si>
  <si>
    <t>2300</t>
  </si>
  <si>
    <t>2900</t>
  </si>
  <si>
    <t>4110</t>
  </si>
  <si>
    <t>4190</t>
  </si>
  <si>
    <t>4200</t>
  </si>
  <si>
    <t>4300</t>
  </si>
  <si>
    <t>2000</t>
  </si>
  <si>
    <t>4000</t>
  </si>
  <si>
    <t>5190</t>
  </si>
  <si>
    <t>5200</t>
  </si>
  <si>
    <t>5300</t>
  </si>
  <si>
    <t>5400</t>
  </si>
  <si>
    <t>5500</t>
  </si>
  <si>
    <t>5600</t>
  </si>
  <si>
    <t>5700</t>
  </si>
  <si>
    <t>5810</t>
  </si>
  <si>
    <t>5890</t>
  </si>
  <si>
    <t>5900</t>
  </si>
  <si>
    <t>5990</t>
  </si>
  <si>
    <t>5000</t>
  </si>
  <si>
    <t>6111</t>
  </si>
  <si>
    <t>6112</t>
  </si>
  <si>
    <t>6113</t>
  </si>
  <si>
    <t>6114</t>
  </si>
  <si>
    <t>6115</t>
  </si>
  <si>
    <t>6116</t>
  </si>
  <si>
    <t>6117</t>
  </si>
  <si>
    <t>6118</t>
  </si>
  <si>
    <t>6119</t>
  </si>
  <si>
    <t>6129</t>
  </si>
  <si>
    <t>6131</t>
  </si>
  <si>
    <t>6132</t>
  </si>
  <si>
    <t>6133</t>
  </si>
  <si>
    <t>6134</t>
  </si>
  <si>
    <t>6135</t>
  </si>
  <si>
    <t>6136</t>
  </si>
  <si>
    <t>6137</t>
  </si>
  <si>
    <t>6138</t>
  </si>
  <si>
    <t>6139</t>
  </si>
  <si>
    <t>6140</t>
  </si>
  <si>
    <t>6141</t>
  </si>
  <si>
    <t>6142</t>
  </si>
  <si>
    <t>6159</t>
  </si>
  <si>
    <t>6161</t>
  </si>
  <si>
    <t>6162</t>
  </si>
  <si>
    <t>6163</t>
  </si>
  <si>
    <t>6164</t>
  </si>
  <si>
    <t>6165</t>
  </si>
  <si>
    <t>6166</t>
  </si>
  <si>
    <t>6167</t>
  </si>
  <si>
    <t>6168</t>
  </si>
  <si>
    <t>6169</t>
  </si>
  <si>
    <t>6170</t>
  </si>
  <si>
    <t>6179</t>
  </si>
  <si>
    <t>6180</t>
  </si>
  <si>
    <t>6190</t>
  </si>
  <si>
    <t>6211</t>
  </si>
  <si>
    <t>6212</t>
  </si>
  <si>
    <t>6213</t>
  </si>
  <si>
    <t>6214</t>
  </si>
  <si>
    <t>6219</t>
  </si>
  <si>
    <t>6221</t>
  </si>
  <si>
    <t>6222</t>
  </si>
  <si>
    <t>6223</t>
  </si>
  <si>
    <t>6224</t>
  </si>
  <si>
    <t>6225</t>
  </si>
  <si>
    <t>6226</t>
  </si>
  <si>
    <t>6227</t>
  </si>
  <si>
    <t>6228</t>
  </si>
  <si>
    <t>6229</t>
  </si>
  <si>
    <t>6230</t>
  </si>
  <si>
    <t>6231</t>
  </si>
  <si>
    <t>6232</t>
  </si>
  <si>
    <t>6239</t>
  </si>
  <si>
    <t>6311</t>
  </si>
  <si>
    <t>6312</t>
  </si>
  <si>
    <t>6313</t>
  </si>
  <si>
    <t>6314</t>
  </si>
  <si>
    <t>6315</t>
  </si>
  <si>
    <t>6316</t>
  </si>
  <si>
    <t>6317</t>
  </si>
  <si>
    <t>6318</t>
  </si>
  <si>
    <t>6319</t>
  </si>
  <si>
    <t>6320</t>
  </si>
  <si>
    <t>6321</t>
  </si>
  <si>
    <t>6322</t>
  </si>
  <si>
    <t>6323</t>
  </si>
  <si>
    <t>6324</t>
  </si>
  <si>
    <t>6325</t>
  </si>
  <si>
    <t>6390</t>
  </si>
  <si>
    <t>6411</t>
  </si>
  <si>
    <t>6412</t>
  </si>
  <si>
    <t>6413</t>
  </si>
  <si>
    <t>6414</t>
  </si>
  <si>
    <t>6415</t>
  </si>
  <si>
    <t>6416</t>
  </si>
  <si>
    <t>6417</t>
  </si>
  <si>
    <t>6418</t>
  </si>
  <si>
    <t>6419</t>
  </si>
  <si>
    <t>6420</t>
  </si>
  <si>
    <t>6490</t>
  </si>
  <si>
    <t>6500</t>
  </si>
  <si>
    <t>6610</t>
  </si>
  <si>
    <t>6620</t>
  </si>
  <si>
    <t>8190</t>
  </si>
  <si>
    <t>8200</t>
  </si>
  <si>
    <t>9210</t>
  </si>
  <si>
    <t>9220</t>
  </si>
  <si>
    <t>9310</t>
  </si>
  <si>
    <t>9390</t>
  </si>
  <si>
    <t>6000</t>
  </si>
  <si>
    <t>8000</t>
  </si>
  <si>
    <t>7200</t>
  </si>
  <si>
    <t>7000</t>
  </si>
  <si>
    <t>7300</t>
  </si>
  <si>
    <t>9950</t>
  </si>
  <si>
    <t>9960</t>
  </si>
  <si>
    <t>9970</t>
  </si>
  <si>
    <t>9990</t>
  </si>
  <si>
    <t>7400</t>
  </si>
  <si>
    <t>8300</t>
  </si>
  <si>
    <t>3110</t>
  </si>
  <si>
    <t>3120</t>
  </si>
  <si>
    <t>3130</t>
  </si>
  <si>
    <t>3141</t>
  </si>
  <si>
    <t>3142</t>
  </si>
  <si>
    <t>3149</t>
  </si>
  <si>
    <t>3150</t>
  </si>
  <si>
    <t>3160</t>
  </si>
  <si>
    <t>3170</t>
  </si>
  <si>
    <t>3180</t>
  </si>
  <si>
    <t>3190</t>
  </si>
  <si>
    <t>3200</t>
  </si>
  <si>
    <t>3310</t>
  </si>
  <si>
    <t>3320</t>
  </si>
  <si>
    <t>3330</t>
  </si>
  <si>
    <t>3410</t>
  </si>
  <si>
    <t>3420</t>
  </si>
  <si>
    <t>3490</t>
  </si>
  <si>
    <t>3510</t>
  </si>
  <si>
    <t>3520</t>
  </si>
  <si>
    <t>3610</t>
  </si>
  <si>
    <t>3620</t>
  </si>
  <si>
    <t>3630</t>
  </si>
  <si>
    <t>3640</t>
  </si>
  <si>
    <t>3650</t>
  </si>
  <si>
    <t>3660</t>
  </si>
  <si>
    <t>3670</t>
  </si>
  <si>
    <t>3680</t>
  </si>
  <si>
    <t>3690</t>
  </si>
  <si>
    <t>3710</t>
  </si>
  <si>
    <t>3720</t>
  </si>
  <si>
    <t>3730</t>
  </si>
  <si>
    <t>3810</t>
  </si>
  <si>
    <t>3890</t>
  </si>
  <si>
    <t>3911</t>
  </si>
  <si>
    <t>3912</t>
  </si>
  <si>
    <t>3913</t>
  </si>
  <si>
    <t>3914</t>
  </si>
  <si>
    <t>3919</t>
  </si>
  <si>
    <t>3921</t>
  </si>
  <si>
    <t>3922</t>
  </si>
  <si>
    <t>3923</t>
  </si>
  <si>
    <t>3924</t>
  </si>
  <si>
    <t>3929</t>
  </si>
  <si>
    <t>3931</t>
  </si>
  <si>
    <t>3932</t>
  </si>
  <si>
    <t>3933</t>
  </si>
  <si>
    <t>3934</t>
  </si>
  <si>
    <t>3939</t>
  </si>
  <si>
    <t>3990</t>
  </si>
  <si>
    <t>3000</t>
  </si>
  <si>
    <t>3530</t>
  </si>
  <si>
    <t>3790</t>
  </si>
  <si>
    <t>11111</t>
  </si>
  <si>
    <t>12345</t>
  </si>
  <si>
    <t>1</t>
  </si>
  <si>
    <t>2</t>
  </si>
  <si>
    <t>4398</t>
  </si>
  <si>
    <t>23904</t>
  </si>
  <si>
    <t>9920</t>
  </si>
  <si>
    <t>3791</t>
  </si>
  <si>
    <t>ADA</t>
  </si>
  <si>
    <t>0002IT20211203604</t>
  </si>
  <si>
    <t>RATING INSTITUTE</t>
  </si>
  <si>
    <t>3</t>
  </si>
  <si>
    <t>4</t>
  </si>
  <si>
    <t>5</t>
  </si>
  <si>
    <t>JOB POSITION NAME</t>
  </si>
  <si>
    <t>Director</t>
  </si>
  <si>
    <t>Manager</t>
  </si>
  <si>
    <t>Owner</t>
  </si>
  <si>
    <t>Staff</t>
  </si>
  <si>
    <t>OTHER</t>
  </si>
  <si>
    <t>BENDAHARA ORGANISASI</t>
  </si>
  <si>
    <t>KOMISARIS</t>
  </si>
  <si>
    <t>KOMISARIS UTAMA</t>
  </si>
  <si>
    <t>GOLONGAN 1</t>
  </si>
  <si>
    <t>GOLONGAN 3</t>
  </si>
  <si>
    <t>GOLONGAN 4</t>
  </si>
  <si>
    <t>MANAGER / DEPT. HEAD</t>
  </si>
  <si>
    <t>OWNER (PEMILIK USAHA)</t>
  </si>
  <si>
    <t>PRESIDEN DIREKTUR</t>
  </si>
  <si>
    <t>PERWIRA TINGGI</t>
  </si>
  <si>
    <t>PERWIRA MENENGAH</t>
  </si>
  <si>
    <t>PERWIRA PERTAMA</t>
  </si>
  <si>
    <t>BINTARA TINGGI</t>
  </si>
  <si>
    <t>BINTARA</t>
  </si>
  <si>
    <t>TAMTAMA</t>
  </si>
  <si>
    <t>STAFF</t>
  </si>
  <si>
    <t>SEKRETARIS ORGANISASI</t>
  </si>
  <si>
    <t>SUPERVISOR / SECTION HEAD</t>
  </si>
  <si>
    <t>WAKIL PRESIDEN DIREKTUR</t>
  </si>
  <si>
    <t>WAKIL KETUA ORGANISASI</t>
  </si>
  <si>
    <t>GENERAL MANAGER / DIV. HEAD</t>
  </si>
  <si>
    <t>AppNo</t>
  </si>
  <si>
    <t>Guarantor Company Name</t>
  </si>
  <si>
    <t>Contact Main Information</t>
  </si>
  <si>
    <t>Address Information</t>
  </si>
  <si>
    <t>Phone 1 Area</t>
  </si>
  <si>
    <t>Phone 1 Number</t>
  </si>
  <si>
    <t>Phone 1 Ext</t>
  </si>
  <si>
    <t>Phone 2 Area</t>
  </si>
  <si>
    <t>Phone 2 Number</t>
  </si>
  <si>
    <t>Phone 2 Ext</t>
  </si>
  <si>
    <t>phone 3 Area</t>
  </si>
  <si>
    <t>phone 3 Number</t>
  </si>
  <si>
    <t>Phone 3 Ext</t>
  </si>
  <si>
    <t>Fax Area</t>
  </si>
  <si>
    <t>Fax Number</t>
  </si>
  <si>
    <t>Monthly Expense</t>
  </si>
  <si>
    <t>Financial Data (Add)</t>
  </si>
  <si>
    <t>Financial Attribute Information</t>
  </si>
  <si>
    <t>Customer Bank Account</t>
  </si>
  <si>
    <t>Other Information</t>
  </si>
  <si>
    <t>Attribute List</t>
  </si>
  <si>
    <t>a</t>
  </si>
  <si>
    <t>BANK NAME</t>
  </si>
  <si>
    <t>BANK CODE</t>
  </si>
  <si>
    <t>BANK DUMMY ADINS</t>
  </si>
  <si>
    <t>BD-0001</t>
  </si>
  <si>
    <t>BANK PERANTARA KAS</t>
  </si>
  <si>
    <t>BANK KAS</t>
  </si>
  <si>
    <t>CONTROL ACCOUNT</t>
  </si>
  <si>
    <t>000</t>
  </si>
  <si>
    <t>PERANTARA BANK</t>
  </si>
  <si>
    <t>001</t>
  </si>
  <si>
    <t>BRI BANK</t>
  </si>
  <si>
    <t>002</t>
  </si>
  <si>
    <t>MANDIRI BANK</t>
  </si>
  <si>
    <t>008</t>
  </si>
  <si>
    <t>BNI BANK</t>
  </si>
  <si>
    <t>009</t>
  </si>
  <si>
    <t>DANAMON INDONESIA BANK</t>
  </si>
  <si>
    <t>011</t>
  </si>
  <si>
    <t>BCA BANK</t>
  </si>
  <si>
    <t>014</t>
  </si>
  <si>
    <t>BII BANK</t>
  </si>
  <si>
    <t>016</t>
  </si>
  <si>
    <t>PANIN BANK</t>
  </si>
  <si>
    <t>019</t>
  </si>
  <si>
    <t>NIAGA BANK</t>
  </si>
  <si>
    <t>022</t>
  </si>
  <si>
    <t>BUANA INDONESIA BANK</t>
  </si>
  <si>
    <t>023</t>
  </si>
  <si>
    <t>LIPPO BANK</t>
  </si>
  <si>
    <t>026</t>
  </si>
  <si>
    <t>PRIMA EXPRESS BANK</t>
  </si>
  <si>
    <t>027</t>
  </si>
  <si>
    <t>NISP BANK</t>
  </si>
  <si>
    <t>028</t>
  </si>
  <si>
    <t>AMERICAN EXPRESS BANK</t>
  </si>
  <si>
    <t>030</t>
  </si>
  <si>
    <t>CITIBANK</t>
  </si>
  <si>
    <t>031</t>
  </si>
  <si>
    <t>THE CHASE MANHATTAN BANK</t>
  </si>
  <si>
    <t>032</t>
  </si>
  <si>
    <t>ING INDONESIA BANK</t>
  </si>
  <si>
    <t>034</t>
  </si>
  <si>
    <t>BANK SOCIETE GENERALE INDO</t>
  </si>
  <si>
    <t>035</t>
  </si>
  <si>
    <t>MULTICOR BANK</t>
  </si>
  <si>
    <t>036</t>
  </si>
  <si>
    <t>INDOSUEZ INDONESIA BANK</t>
  </si>
  <si>
    <t>039</t>
  </si>
  <si>
    <t>BANGKOK BANK</t>
  </si>
  <si>
    <t>040</t>
  </si>
  <si>
    <t>HSBC</t>
  </si>
  <si>
    <t>041</t>
  </si>
  <si>
    <t>BANK OF TOKYO</t>
  </si>
  <si>
    <t>042</t>
  </si>
  <si>
    <t>IBJ INDONESIA BANK</t>
  </si>
  <si>
    <t>044</t>
  </si>
  <si>
    <t>SUMITOMO MITSUI INDONESIA BANK</t>
  </si>
  <si>
    <t>045</t>
  </si>
  <si>
    <t>DBS INDONESIA BANK</t>
  </si>
  <si>
    <t>046</t>
  </si>
  <si>
    <t>FUJI INTERNATIONAL INDO BANK</t>
  </si>
  <si>
    <t>048</t>
  </si>
  <si>
    <t>SANWA INDONESIA BANK</t>
  </si>
  <si>
    <t>049</t>
  </si>
  <si>
    <t>STANDARD CHARTERED BANK</t>
  </si>
  <si>
    <t>050</t>
  </si>
  <si>
    <t>ABN AMRO</t>
  </si>
  <si>
    <t>052</t>
  </si>
  <si>
    <t>KEPPEL TATLEE BUANA BANK</t>
  </si>
  <si>
    <t>053</t>
  </si>
  <si>
    <t>CREDIT LYONNAIS INDONESIA BANK</t>
  </si>
  <si>
    <t>054</t>
  </si>
  <si>
    <t>TOKAI LIPPO BANK</t>
  </si>
  <si>
    <t>056</t>
  </si>
  <si>
    <t>BNP PARIBAS INDONESIA BANK</t>
  </si>
  <si>
    <t>057</t>
  </si>
  <si>
    <t>UOB INDONESIA BANK</t>
  </si>
  <si>
    <t>058</t>
  </si>
  <si>
    <t>RABOBANK INT'L INDO BANK</t>
  </si>
  <si>
    <t>060</t>
  </si>
  <si>
    <t>ANZ PANIN BANK</t>
  </si>
  <si>
    <t>061</t>
  </si>
  <si>
    <t>DAI-ICHI KANGYO INDONESIA BANK</t>
  </si>
  <si>
    <t>062</t>
  </si>
  <si>
    <t>DEUTSCHE BANK AG.</t>
  </si>
  <si>
    <t>067</t>
  </si>
  <si>
    <t>HANVIT INDONESIA BANK</t>
  </si>
  <si>
    <t>068</t>
  </si>
  <si>
    <t>PERMATA BANK</t>
  </si>
  <si>
    <t>073</t>
  </si>
  <si>
    <t>UNITED CITY BANK</t>
  </si>
  <si>
    <t>075</t>
  </si>
  <si>
    <t>BUMI ARTA BANK</t>
  </si>
  <si>
    <t>076</t>
  </si>
  <si>
    <t>ARTHA GRAHA BANK</t>
  </si>
  <si>
    <t>085</t>
  </si>
  <si>
    <t>EKONOMI RAHARJA BANK</t>
  </si>
  <si>
    <t>087</t>
  </si>
  <si>
    <t>ANTAR DAERAH BANK</t>
  </si>
  <si>
    <t>088</t>
  </si>
  <si>
    <t>HAGA BANK</t>
  </si>
  <si>
    <t>089</t>
  </si>
  <si>
    <t>MUTIARA  BANK</t>
  </si>
  <si>
    <t>095</t>
  </si>
  <si>
    <t>MAYAPADA INTERNATIONAL BANK</t>
  </si>
  <si>
    <t>097</t>
  </si>
  <si>
    <t>BANK JABAR  BANTEN</t>
  </si>
  <si>
    <t>B.P.D. JAKARTA RAYA</t>
  </si>
  <si>
    <t>BANK JATIM</t>
  </si>
  <si>
    <t>BANK SUMUT</t>
  </si>
  <si>
    <t>B.P.D. SUMATERA BARAT</t>
  </si>
  <si>
    <t>BANK SUMSEL BABEL</t>
  </si>
  <si>
    <t>BPD BALI</t>
  </si>
  <si>
    <t>NUSANTARA PARAHYANGAN BANK</t>
  </si>
  <si>
    <t>MUAMALAT INDONESIA BANK</t>
  </si>
  <si>
    <t>BANK MESTIKA</t>
  </si>
  <si>
    <t>METRO EKSPRES BANK</t>
  </si>
  <si>
    <t>BANK SINARMAS</t>
  </si>
  <si>
    <t>MASPION INDONESIA BANK</t>
  </si>
  <si>
    <t>ARTAMEDIA BANK</t>
  </si>
  <si>
    <t>BANK GANESHA</t>
  </si>
  <si>
    <t>WINDU KENTJANA BANK</t>
  </si>
  <si>
    <t>QNB KESAWAN BANK</t>
  </si>
  <si>
    <t>BTN BANK</t>
  </si>
  <si>
    <t>SWAGUNA BANK</t>
  </si>
  <si>
    <t>405</t>
  </si>
  <si>
    <t>MEGA BANK</t>
  </si>
  <si>
    <t>426</t>
  </si>
  <si>
    <t>BUKOPIN BANK</t>
  </si>
  <si>
    <t>441</t>
  </si>
  <si>
    <t>SYARIAH MANDIRI BANK</t>
  </si>
  <si>
    <t>451</t>
  </si>
  <si>
    <t>BUMIPUTERA INDONESIA BANK</t>
  </si>
  <si>
    <t>485</t>
  </si>
  <si>
    <t>YUDHA BHAKTI BANK</t>
  </si>
  <si>
    <t>490</t>
  </si>
  <si>
    <t>MITRANIAGA BANK</t>
  </si>
  <si>
    <t>491</t>
  </si>
  <si>
    <t>ROYAL INDONESIA BANK</t>
  </si>
  <si>
    <t>501</t>
  </si>
  <si>
    <t>ALFINDO SEJAHTERA BANK</t>
  </si>
  <si>
    <t>503</t>
  </si>
  <si>
    <t>INA PERDANA BANK</t>
  </si>
  <si>
    <t>513</t>
  </si>
  <si>
    <t>PRIMA MASTER BANK</t>
  </si>
  <si>
    <t>520</t>
  </si>
  <si>
    <t>SWANSARINDO INTERNASIONAL BANK</t>
  </si>
  <si>
    <t>521</t>
  </si>
  <si>
    <t>DIPO INTERNATIONAL BANK</t>
  </si>
  <si>
    <t>523</t>
  </si>
  <si>
    <t>LIMAN INTERNATIONAL BANK</t>
  </si>
  <si>
    <t>526</t>
  </si>
  <si>
    <t>UIB BANK</t>
  </si>
  <si>
    <t>536</t>
  </si>
  <si>
    <t>MULTI ARTA SENTOSA BANK</t>
  </si>
  <si>
    <t>548</t>
  </si>
  <si>
    <t>MAYORA BANK</t>
  </si>
  <si>
    <t>553</t>
  </si>
  <si>
    <t>INDEX BANK</t>
  </si>
  <si>
    <t>555</t>
  </si>
  <si>
    <t>BANK PUNDI INDONESIA TBK</t>
  </si>
  <si>
    <t>558</t>
  </si>
  <si>
    <t>CENTRATAMA NASIONAL BANK</t>
  </si>
  <si>
    <t>559</t>
  </si>
  <si>
    <t>BANK SINAR HARAPAN BALI</t>
  </si>
  <si>
    <t>564</t>
  </si>
  <si>
    <t>VICTORIA INTERNATIONAL BANK</t>
  </si>
  <si>
    <t>566</t>
  </si>
  <si>
    <t>NAGARI BANK</t>
  </si>
  <si>
    <t>902</t>
  </si>
  <si>
    <t>COMMONWEALTH BANK</t>
  </si>
  <si>
    <t>950</t>
  </si>
  <si>
    <t>PT POS</t>
  </si>
  <si>
    <t>POS</t>
  </si>
  <si>
    <t>S000</t>
  </si>
  <si>
    <t>S001</t>
  </si>
  <si>
    <t>BANK BRI</t>
  </si>
  <si>
    <t>S002</t>
  </si>
  <si>
    <t>BANK MANDIRI</t>
  </si>
  <si>
    <t>S008</t>
  </si>
  <si>
    <t>BANK BNI</t>
  </si>
  <si>
    <t>S009</t>
  </si>
  <si>
    <t>BANK DANAMON INDONESIA</t>
  </si>
  <si>
    <t>S011</t>
  </si>
  <si>
    <t>BANK PERMATA</t>
  </si>
  <si>
    <t>S013</t>
  </si>
  <si>
    <t>S014</t>
  </si>
  <si>
    <t>BII MAYBANK</t>
  </si>
  <si>
    <t>S016</t>
  </si>
  <si>
    <t>BANK PERANTARA II</t>
  </si>
  <si>
    <t>S01A</t>
  </si>
  <si>
    <t>CIMG NIAGA BANK</t>
  </si>
  <si>
    <t>S022</t>
  </si>
  <si>
    <t>OCBC NISP BANK</t>
  </si>
  <si>
    <t>S028</t>
  </si>
  <si>
    <t>S046</t>
  </si>
  <si>
    <t>S117</t>
  </si>
  <si>
    <t>BANK MUAMALAT</t>
  </si>
  <si>
    <t>S147</t>
  </si>
  <si>
    <t>BRI SYARIAH</t>
  </si>
  <si>
    <t>S422</t>
  </si>
  <si>
    <t>BNI SYARIAH</t>
  </si>
  <si>
    <t>S427</t>
  </si>
  <si>
    <t>S441</t>
  </si>
  <si>
    <t>BANK SYARIAH MANDIRI</t>
  </si>
  <si>
    <t>S451</t>
  </si>
  <si>
    <t>BANK SYARIAH MEGA INDONESIA</t>
  </si>
  <si>
    <t>S506</t>
  </si>
  <si>
    <t>BCA SYARIAH</t>
  </si>
  <si>
    <t>S536</t>
  </si>
  <si>
    <t>MAYBANK SYARIAH</t>
  </si>
  <si>
    <t>S947</t>
  </si>
  <si>
    <t>SPOS</t>
  </si>
  <si>
    <t>BPD JATENG</t>
  </si>
  <si>
    <t>S113</t>
  </si>
  <si>
    <t>BANK VICTORIA</t>
  </si>
  <si>
    <t>BV01</t>
  </si>
  <si>
    <t>TEST BANK</t>
  </si>
  <si>
    <t>3108</t>
  </si>
  <si>
    <t>reynardW</t>
  </si>
  <si>
    <t>reynard</t>
  </si>
  <si>
    <t>TestingBank</t>
  </si>
  <si>
    <t>05182</t>
  </si>
  <si>
    <t>BANK SIT 01</t>
  </si>
  <si>
    <t>SIT01</t>
  </si>
  <si>
    <t>Bank Toyib</t>
  </si>
  <si>
    <t>REG_01</t>
  </si>
  <si>
    <t>sdasd</t>
  </si>
  <si>
    <t>dasd</t>
  </si>
  <si>
    <t>eeee</t>
  </si>
  <si>
    <t>ee</t>
  </si>
  <si>
    <t>sdsd</t>
  </si>
  <si>
    <t>sdsds</t>
  </si>
  <si>
    <t>BANK DUMMY ADINS 2</t>
  </si>
  <si>
    <t>BD-0002</t>
  </si>
  <si>
    <t>trainingOPL</t>
  </si>
  <si>
    <t>Name 1</t>
  </si>
  <si>
    <t>TESTCode</t>
  </si>
  <si>
    <t>Test 2</t>
  </si>
  <si>
    <t>TEST2</t>
  </si>
  <si>
    <t>Bank Udin 1</t>
  </si>
  <si>
    <t>Udin-Bank-01</t>
  </si>
  <si>
    <t>Bank Hartono</t>
  </si>
  <si>
    <t>BNK_HAR</t>
  </si>
  <si>
    <t>Sample Bank</t>
  </si>
  <si>
    <t>BSMPL</t>
  </si>
  <si>
    <t>BankBankTud</t>
  </si>
  <si>
    <t>tst1</t>
  </si>
  <si>
    <t>BANK TEST2</t>
  </si>
  <si>
    <t>BA005</t>
  </si>
  <si>
    <t>Bank Udin 2</t>
  </si>
  <si>
    <t>Udin-Bank-02</t>
  </si>
  <si>
    <t>Bank Udin 3</t>
  </si>
  <si>
    <t>Udin-Bank-03</t>
  </si>
  <si>
    <t>BTPN Jenius</t>
  </si>
  <si>
    <t>BANK JAGO</t>
  </si>
  <si>
    <t>0002BN20210901602</t>
  </si>
  <si>
    <t>RND</t>
  </si>
  <si>
    <t>AGNES BANK</t>
  </si>
  <si>
    <t>BANKCODE</t>
  </si>
  <si>
    <t>0002BN20211203602</t>
  </si>
  <si>
    <t>ADAS</t>
  </si>
  <si>
    <t>Copy Address</t>
  </si>
  <si>
    <t>TAX</t>
  </si>
  <si>
    <t>SUCCESS</t>
  </si>
  <si>
    <t/>
  </si>
  <si>
    <t>Emergency</t>
  </si>
  <si>
    <t>Job</t>
  </si>
  <si>
    <t>Legal</t>
  </si>
  <si>
    <t>Mailing</t>
  </si>
  <si>
    <t>Other Business</t>
  </si>
  <si>
    <t>Residence</t>
  </si>
  <si>
    <t>Residence 2</t>
  </si>
  <si>
    <t>Previous Job</t>
  </si>
  <si>
    <t>ASTANA ANYAR</t>
  </si>
  <si>
    <t>NYENGSERET</t>
  </si>
  <si>
    <t>BANDUNG</t>
  </si>
  <si>
    <t>12/12/2024</t>
  </si>
  <si>
    <t>EMPLOYEE</t>
  </si>
  <si>
    <t>Bandung</t>
  </si>
  <si>
    <t>JL SYMPHONI NO 90</t>
  </si>
  <si>
    <t>BANDUNG KIDUL</t>
  </si>
  <si>
    <t>BATUNUNGGAL</t>
  </si>
  <si>
    <t>QWEQ;WEQW</t>
  </si>
  <si>
    <t>12/13/2021;12/13/2021</t>
  </si>
  <si>
    <t>08/06/2022;08/06/2022</t>
  </si>
  <si>
    <t>PENDUDUK/RESIDENT.SEKTOR PEMERINTAH.PEMERINTAH PUSAT.KEMENTERIAN PERTAHANAN</t>
  </si>
  <si>
    <t>NIP;SIUP</t>
  </si>
  <si>
    <t>JL ADA</t>
  </si>
  <si>
    <t>ASTRI</t>
  </si>
  <si>
    <t>AKTA</t>
  </si>
  <si>
    <t>127839481062174812</t>
  </si>
  <si>
    <t>08192901</t>
  </si>
  <si>
    <t>Female</t>
  </si>
  <si>
    <t>06/15/2022</t>
  </si>
  <si>
    <t>ROSA</t>
  </si>
  <si>
    <t>1829301920</t>
  </si>
  <si>
    <t>Yes</t>
  </si>
  <si>
    <t>PT POKE</t>
  </si>
  <si>
    <t>Reason Failed</t>
  </si>
  <si>
    <t>Objective</t>
  </si>
  <si>
    <t>06/15/2023</t>
  </si>
  <si>
    <t>06/15/2024</t>
  </si>
  <si>
    <t>06/15/2025</t>
  </si>
  <si>
    <t>1829301922</t>
  </si>
  <si>
    <t>1829301923</t>
  </si>
  <si>
    <t>12/12/2025</t>
  </si>
  <si>
    <t>12/12/2026</t>
  </si>
  <si>
    <t>08192902</t>
  </si>
  <si>
    <t>08192903</t>
  </si>
  <si>
    <t>JL SYMPHONI NO 91</t>
  </si>
  <si>
    <t>JL SYMPHONI NO 92</t>
  </si>
  <si>
    <t>$Address Type</t>
  </si>
  <si>
    <t>$Address</t>
  </si>
  <si>
    <t>$RT</t>
  </si>
  <si>
    <t>$RW</t>
  </si>
  <si>
    <t>$Zip Code</t>
  </si>
  <si>
    <t>$Kecamatan</t>
  </si>
  <si>
    <t>$Kelurahan</t>
  </si>
  <si>
    <t>$City</t>
  </si>
  <si>
    <t>$Phone 1 Area</t>
  </si>
  <si>
    <t>$Phone 1 Number</t>
  </si>
  <si>
    <t>$OwnerShip</t>
  </si>
  <si>
    <t>Is Mandatory Complete</t>
  </si>
  <si>
    <t>$Establishment Date</t>
  </si>
  <si>
    <t>$No of Employee</t>
  </si>
  <si>
    <t>$Industry Type Code</t>
  </si>
  <si>
    <t>$Industry Type</t>
  </si>
  <si>
    <t>$VIP Notes</t>
  </si>
  <si>
    <t>No</t>
  </si>
  <si>
    <t>$Customer Mode</t>
  </si>
  <si>
    <t>$Name</t>
  </si>
  <si>
    <t>$Job Title</t>
  </si>
  <si>
    <t>$ID type</t>
  </si>
  <si>
    <t>$ID No</t>
  </si>
  <si>
    <t>$Mobile Phone 1</t>
  </si>
  <si>
    <t>$ID Expired Date</t>
  </si>
  <si>
    <t>$Gender</t>
  </si>
  <si>
    <t>$Job Position</t>
  </si>
  <si>
    <t>$Monthly Income</t>
  </si>
  <si>
    <t>$Date as Of</t>
  </si>
  <si>
    <t>$Legal Doc Type</t>
  </si>
  <si>
    <t>$Document No</t>
  </si>
  <si>
    <t>$Date issued</t>
  </si>
  <si>
    <t>$DebtorGroupCode</t>
  </si>
  <si>
    <t>$Debtor Group</t>
  </si>
  <si>
    <t>$DebtorBusinessScaleCode</t>
  </si>
  <si>
    <t>$Debtor Business Scale</t>
  </si>
  <si>
    <t>$CounterPart Code</t>
  </si>
  <si>
    <t>$CounterPart</t>
  </si>
  <si>
    <t>$Sustainable Financial Business Code</t>
  </si>
  <si>
    <t>$Sustainable Financial Business</t>
  </si>
  <si>
    <t>$Debtor Group SLIK Code</t>
  </si>
  <si>
    <t>$Debtor Group SLIK</t>
  </si>
  <si>
    <t>$Rating Institute code</t>
  </si>
  <si>
    <t>$Affiliate With Multifinance SLIK Code</t>
  </si>
  <si>
    <t>$CSP/USL Source AML Code</t>
  </si>
  <si>
    <t>$Affiliate With Multifinance SLIK</t>
  </si>
  <si>
    <t>$KYC Report AML</t>
  </si>
  <si>
    <t>$CSP/USL Source AML</t>
  </si>
  <si>
    <t>$Payment Type AML</t>
  </si>
  <si>
    <t>$Payment Type Code</t>
  </si>
  <si>
    <t>$Business Source AML</t>
  </si>
  <si>
    <t>$Business Source AML Code</t>
  </si>
  <si>
    <t>$Business Period AML</t>
  </si>
  <si>
    <t>$Liabilitas Jangka Panjang</t>
  </si>
  <si>
    <t>$Pinjaman Uang Jangka Panjang</t>
  </si>
  <si>
    <t>$Pendapatan Lain-lain / non operasional</t>
  </si>
  <si>
    <t>$Beban Lain-lain/ Non operasional</t>
  </si>
  <si>
    <t>$VIP</t>
  </si>
  <si>
    <t>Button Save Tidak Berfungsi</t>
  </si>
  <si>
    <t>PT BARU</t>
  </si>
  <si>
    <t>FAILED</t>
  </si>
  <si>
    <t>Customer Name</t>
  </si>
  <si>
    <t>$AssetType</t>
  </si>
  <si>
    <t>$AssetValue</t>
  </si>
  <si>
    <t>$AssetQuantity</t>
  </si>
  <si>
    <t>Mobil;Motor</t>
  </si>
  <si>
    <t>1;1</t>
  </si>
  <si>
    <t>;</t>
  </si>
  <si>
    <t>Add Asset</t>
  </si>
  <si>
    <t>1000000000;</t>
  </si>
  <si>
    <t>WARNING</t>
  </si>
  <si>
    <t>panin branch</t>
  </si>
  <si>
    <t>saro</t>
  </si>
  <si>
    <t>213861294</t>
  </si>
  <si>
    <t>Year</t>
  </si>
  <si>
    <t>2021;2022</t>
  </si>
  <si>
    <t>Debit Transaction Account</t>
  </si>
  <si>
    <t>Debit</t>
  </si>
  <si>
    <t>Credit Transaction Account</t>
  </si>
  <si>
    <t>Credit</t>
  </si>
  <si>
    <t>120000;2000000</t>
  </si>
  <si>
    <t>Month</t>
  </si>
  <si>
    <t>January;February</t>
  </si>
  <si>
    <t>PT TWICE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</si>
</sst>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_(* \(#,##0.00\);_(* &quot;-&quot;??_);_(@_)"/>
    <numFmt numFmtId="164" formatCode="mm/dd/yyyy;@"/>
  </numFmts>
  <fonts count="7" x14ac:knownFonts="1">
    <font>
      <sz val="11"/>
      <color theme="1"/>
      <name val="Calibri"/>
      <family val="2"/>
      <scheme val="minor"/>
    </font>
    <font>
      <u/>
      <sz val="11"/>
      <color theme="10"/>
      <name val="Calibri"/>
      <family val="2"/>
      <scheme val="minor"/>
    </font>
    <font>
      <sz val="9"/>
      <color rgb="FF212529"/>
      <name val="Arial"/>
      <family val="2"/>
    </font>
    <font>
      <b/>
      <sz val="11"/>
      <color theme="0"/>
      <name val="Calibri"/>
      <family val="2"/>
      <scheme val="minor"/>
    </font>
    <font>
      <b/>
      <sz val="9"/>
      <color indexed="81"/>
      <name val="Tahoma"/>
      <family val="2"/>
    </font>
    <font>
      <sz val="9"/>
      <color indexed="81"/>
      <name val="Tahoma"/>
      <family val="2"/>
    </font>
    <font>
      <sz val="11"/>
      <color theme="1"/>
      <name val="Calibri"/>
      <family val="2"/>
      <scheme val="minor"/>
    </font>
  </fonts>
  <fills count="9">
    <fill>
      <patternFill patternType="none"/>
    </fill>
    <fill>
      <patternFill patternType="gray125"/>
    </fill>
    <fill>
      <patternFill patternType="solid">
        <fgColor theme="0"/>
        <bgColor indexed="64"/>
      </patternFill>
    </fill>
    <fill>
      <patternFill patternType="solid">
        <fgColor rgb="FFFFFFFF"/>
        <bgColor indexed="64"/>
      </patternFill>
    </fill>
    <fill>
      <patternFill patternType="solid">
        <fgColor theme="1"/>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patternFill patternType="solid">
        <fgColor theme="6" tint="0.59999389629810485"/>
        <bgColor indexed="64"/>
      </patternFill>
    </fill>
  </fills>
  <borders count="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s>
  <cellStyleXfs count="3">
    <xf numFmtId="0" fontId="0" fillId="0" borderId="0"/>
    <xf numFmtId="0" fontId="1" fillId="0" borderId="0" applyNumberFormat="0" applyFill="0" applyBorder="0" applyAlignment="0" applyProtection="0"/>
    <xf numFmtId="43" fontId="6" fillId="0" borderId="0" applyFont="0" applyFill="0" applyBorder="0" applyAlignment="0" applyProtection="0"/>
  </cellStyleXfs>
  <cellXfs count="56">
    <xf numFmtId="0" fontId="0" fillId="0" borderId="0" xfId="0"/>
    <xf numFmtId="0" fontId="0" fillId="0" borderId="1" xfId="0" applyFill="1" applyBorder="1"/>
    <xf numFmtId="0" fontId="0" fillId="0" borderId="1" xfId="0" applyBorder="1"/>
    <xf numFmtId="0" fontId="1" fillId="0" borderId="1" xfId="1" applyBorder="1"/>
    <xf numFmtId="0" fontId="0" fillId="0" borderId="1" xfId="0" quotePrefix="1" applyBorder="1"/>
    <xf numFmtId="0" fontId="0" fillId="2" borderId="1" xfId="0" applyFill="1" applyBorder="1"/>
    <xf numFmtId="0" fontId="0" fillId="0" borderId="1" xfId="0" applyBorder="1" applyAlignment="1">
      <alignment wrapText="1"/>
    </xf>
    <xf numFmtId="0" fontId="0" fillId="0" borderId="0" xfId="0" applyAlignment="1"/>
    <xf numFmtId="0" fontId="0" fillId="0" borderId="0" xfId="0" applyAlignment="1">
      <alignment vertical="center" wrapText="1"/>
    </xf>
    <xf numFmtId="0" fontId="0" fillId="0" borderId="0" xfId="0" applyAlignment="1">
      <alignment wrapText="1"/>
    </xf>
    <xf numFmtId="0" fontId="0" fillId="0" borderId="1" xfId="0" quotePrefix="1" applyBorder="1" applyAlignment="1">
      <alignment wrapText="1"/>
    </xf>
    <xf numFmtId="0" fontId="0" fillId="0" borderId="0" xfId="0" applyFill="1"/>
    <xf numFmtId="0" fontId="0" fillId="0" borderId="0" xfId="0" applyAlignment="1">
      <alignment vertical="center"/>
    </xf>
    <xf numFmtId="3" fontId="0" fillId="0" borderId="1" xfId="0" applyNumberFormat="1" applyBorder="1"/>
    <xf numFmtId="0" fontId="0" fillId="0" borderId="0" xfId="0" applyFill="1" applyBorder="1"/>
    <xf numFmtId="0" fontId="0" fillId="0" borderId="0" xfId="0" applyBorder="1"/>
    <xf numFmtId="0" fontId="0" fillId="0" borderId="0" xfId="0" applyBorder="1" applyAlignment="1">
      <alignment horizontal="left" vertical="center" wrapText="1"/>
    </xf>
    <xf numFmtId="0" fontId="0" fillId="0" borderId="0" xfId="0" applyNumberFormat="1" applyFill="1" applyBorder="1"/>
    <xf numFmtId="49" fontId="0" fillId="0" borderId="0" xfId="0" applyNumberFormat="1" applyBorder="1"/>
    <xf numFmtId="0" fontId="0" fillId="0" borderId="0" xfId="0" applyNumberFormat="1" applyBorder="1"/>
    <xf numFmtId="0" fontId="0" fillId="0" borderId="0" xfId="0" applyNumberFormat="1" applyFill="1"/>
    <xf numFmtId="0" fontId="0" fillId="0" borderId="0" xfId="0" applyNumberFormat="1" applyFill="1" applyBorder="1" applyAlignment="1">
      <alignment horizontal="left" vertical="center" wrapText="1"/>
    </xf>
    <xf numFmtId="0" fontId="0" fillId="0" borderId="0" xfId="0" applyNumberFormat="1" applyFill="1" applyBorder="1" applyAlignment="1">
      <alignment vertical="center" wrapText="1"/>
    </xf>
    <xf numFmtId="0" fontId="0" fillId="0" borderId="0" xfId="0" applyBorder="1" applyAlignment="1">
      <alignment vertical="center" wrapText="1"/>
    </xf>
    <xf numFmtId="0" fontId="0" fillId="0" borderId="0" xfId="0" applyBorder="1" applyAlignment="1">
      <alignment wrapText="1"/>
    </xf>
    <xf numFmtId="0" fontId="0" fillId="0" borderId="0" xfId="0" applyNumberFormat="1" applyFill="1" applyBorder="1" applyAlignment="1">
      <alignment wrapText="1"/>
    </xf>
    <xf numFmtId="0" fontId="0" fillId="0" borderId="0" xfId="0" applyNumberFormat="1"/>
    <xf numFmtId="0" fontId="0" fillId="0" borderId="0" xfId="0" applyNumberFormat="1" applyFill="1" applyBorder="1" applyAlignment="1"/>
    <xf numFmtId="0" fontId="2" fillId="3" borderId="0" xfId="0" applyFont="1" applyFill="1" applyBorder="1" applyAlignment="1">
      <alignment horizontal="left" vertical="top"/>
    </xf>
    <xf numFmtId="0" fontId="2" fillId="0" borderId="0" xfId="0" applyNumberFormat="1" applyFont="1" applyFill="1" applyBorder="1" applyAlignment="1">
      <alignment vertical="top"/>
    </xf>
    <xf numFmtId="0" fontId="0" fillId="5" borderId="1" xfId="0" applyFill="1" applyBorder="1"/>
    <xf numFmtId="0" fontId="0" fillId="6" borderId="1" xfId="0" applyFill="1" applyBorder="1"/>
    <xf numFmtId="0" fontId="0" fillId="7" borderId="1" xfId="0" applyFill="1" applyBorder="1"/>
    <xf numFmtId="0" fontId="0" fillId="0" borderId="1" xfId="0" quotePrefix="1" applyFill="1" applyBorder="1"/>
    <xf numFmtId="164" fontId="0" fillId="0" borderId="1" xfId="0" quotePrefix="1" applyNumberFormat="1" applyFill="1" applyBorder="1"/>
    <xf numFmtId="3" fontId="0" fillId="0" borderId="1" xfId="0" quotePrefix="1" applyNumberFormat="1" applyFill="1" applyBorder="1"/>
    <xf numFmtId="3" fontId="0" fillId="0" borderId="1" xfId="0" applyNumberFormat="1" applyFill="1" applyBorder="1"/>
    <xf numFmtId="2" fontId="0" fillId="0" borderId="1" xfId="0" applyNumberFormat="1" applyFill="1" applyBorder="1"/>
    <xf numFmtId="164" fontId="0" fillId="0" borderId="1" xfId="0" quotePrefix="1" applyNumberFormat="1" applyBorder="1" applyAlignment="1">
      <alignment wrapText="1"/>
    </xf>
    <xf numFmtId="0" fontId="0" fillId="8" borderId="1" xfId="0" applyFill="1" applyBorder="1"/>
    <xf numFmtId="1" fontId="0" fillId="0" borderId="1" xfId="2" applyNumberFormat="1" applyFont="1" applyBorder="1"/>
    <xf numFmtId="0" fontId="2" fillId="0" borderId="0" xfId="0" applyFont="1"/>
    <xf numFmtId="0" fontId="0" fillId="4" borderId="0" xfId="0" applyFill="1"/>
    <xf numFmtId="0" fontId="0" fillId="4" borderId="5" xfId="0" applyFill="1" applyBorder="1"/>
    <xf numFmtId="0" fontId="3" fillId="4" borderId="2" xfId="0" applyFont="1" applyFill="1" applyBorder="1" applyAlignment="1"/>
    <xf numFmtId="0" fontId="3" fillId="4" borderId="3" xfId="0" applyFont="1" applyFill="1" applyBorder="1" applyAlignment="1"/>
    <xf numFmtId="0" fontId="3" fillId="4" borderId="4" xfId="0" applyFont="1" applyFill="1" applyBorder="1" applyAlignment="1"/>
    <xf numFmtId="0" fontId="3" fillId="4" borderId="1" xfId="0" applyFont="1" applyFill="1" applyBorder="1" applyAlignment="1"/>
    <xf numFmtId="0" fontId="0" fillId="0" borderId="6" xfId="0" applyBorder="1"/>
    <xf numFmtId="0" fontId="0" fillId="2" borderId="5" xfId="0" applyFill="1" applyBorder="1"/>
    <xf numFmtId="0" fontId="0" fillId="2" borderId="0" xfId="0" applyFill="1"/>
    <xf numFmtId="0" fontId="0" fillId="4" borderId="1" xfId="0" applyFill="1" applyBorder="1"/>
    <xf numFmtId="0" fontId="3" fillId="4" borderId="2" xfId="0" applyFont="1" applyFill="1" applyBorder="1"/>
    <xf numFmtId="0" fontId="3" fillId="4" borderId="3" xfId="0" applyFont="1" applyFill="1" applyBorder="1"/>
    <xf numFmtId="0" fontId="3" fillId="4" borderId="4" xfId="0" applyFont="1" applyFill="1" applyBorder="1"/>
    <xf numFmtId="0" fontId="3" fillId="4" borderId="1" xfId="0" applyFont="1" applyFill="1" applyBorder="1"/>
  </cellXfs>
  <cellStyles count="3">
    <cellStyle name="Comma" xfId="2" builtinId="3"/>
    <cellStyle name="Hyperlink" xfId="1" builtinId="8"/>
    <cellStyle name="Normal" xfId="0" builtinId="0"/>
  </cellStyles>
  <dxfs count="61">
    <dxf>
      <numFmt numFmtId="0" formatCode="General"/>
    </dxf>
    <dxf>
      <fill>
        <patternFill patternType="none">
          <fgColor indexed="64"/>
          <bgColor indexed="65"/>
        </patternFill>
      </fill>
    </dxf>
    <dxf>
      <fill>
        <patternFill patternType="none">
          <fgColor indexed="64"/>
          <bgColor indexed="65"/>
        </patternFill>
      </fill>
    </dxf>
    <dxf>
      <numFmt numFmtId="0" formatCode="Genera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numFmt numFmtId="0" formatCode="General"/>
    </dxf>
    <dxf>
      <numFmt numFmtId="0" formatCode="General"/>
    </dxf>
    <dxf>
      <fill>
        <patternFill patternType="none">
          <fgColor indexed="64"/>
          <bgColor indexed="65"/>
        </patternFill>
      </fill>
    </dxf>
    <dxf>
      <font>
        <sz val="9"/>
        <color rgb="FF212529"/>
        <name val="Arial"/>
        <scheme val="none"/>
      </font>
      <numFmt numFmtId="0" formatCode="General"/>
      <fill>
        <patternFill patternType="none">
          <fgColor indexed="64"/>
          <bgColor indexed="65"/>
        </patternFill>
      </fill>
      <alignment horizontal="general" vertical="top" textRotation="0" wrapText="0" indent="0" justifyLastLine="0" shrinkToFit="0" readingOrder="0"/>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alignment horizontal="general" vertical="bottom" textRotation="0" wrapText="0" indent="0" justifyLastLine="0" shrinkToFit="0" readingOrder="0"/>
    </dxf>
    <dxf>
      <numFmt numFmtId="0" formatCode="General"/>
      <fill>
        <patternFill patternType="none">
          <fgColor indexed="64"/>
          <bgColor indexed="65"/>
        </patternFill>
      </fill>
      <alignment horizontal="general" vertical="bottom" textRotation="0" wrapText="0" indent="0" justifyLastLine="0" shrinkToFit="0" readingOrder="0"/>
    </dxf>
    <dxf>
      <alignment horizontal="general" vertical="bottom" textRotation="0" wrapText="0" indent="0" justifyLastLine="0" shrinkToFit="0" readingOrder="0"/>
    </dxf>
    <dxf>
      <fill>
        <patternFill patternType="none">
          <fgColor indexed="64"/>
          <bgColor indexed="65"/>
        </patternFill>
      </fill>
      <alignment horizontal="general" vertical="bottom" textRotation="0" wrapText="0" indent="0" justifyLastLine="0" shrinkToFit="0" readingOrder="0"/>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alignment horizontal="general" vertical="center"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fill>
        <patternFill>
          <bgColor theme="1" tint="0.34998626667073579"/>
        </patternFill>
      </fill>
    </dxf>
    <dxf>
      <fill>
        <patternFill>
          <bgColor theme="1" tint="0.34998626667073579"/>
        </patternFill>
      </fill>
    </dxf>
    <dxf>
      <fill>
        <patternFill>
          <bgColor theme="1" tint="0.34998626667073579"/>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2.2%20DataFile_NAP_CF4W_Company.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0.Setting"/>
      <sheetName val="1.TabCustomerMainData"/>
      <sheetName val="2.TabManagementShareholderData"/>
      <sheetName val="3a.TabGuarantorDataPersonal"/>
      <sheetName val="3b.TabGuarantorDataCompany"/>
      <sheetName val="4.DuplicateChecking"/>
      <sheetName val="5.TabReferantorData"/>
      <sheetName val="6.TabApplicationData"/>
      <sheetName val="7.TabAssetData"/>
      <sheetName val="7a.Accessories"/>
      <sheetName val="8.TabInsuranceData"/>
      <sheetName val="9.TabFinancialData"/>
      <sheetName val="10.TabTermConditionData"/>
      <sheetName val="11.TabUploadDocument"/>
      <sheetName val="12.TabCommissionData"/>
      <sheetName val="13.TabReservedFundData"/>
      <sheetName val="14.CustomerDataCompletion"/>
      <sheetName val="Master"/>
      <sheetName val="9.TabLifeInsuranceData"/>
      <sheetName val="10.TabFinancialData"/>
      <sheetName val="11.TabTermConditionData"/>
      <sheetName val="12.TabUploadDocument"/>
      <sheetName val="13.TabCommissionData"/>
      <sheetName val="14.TabReservedFundData"/>
      <sheetName val="15.CustomerDataCompletion"/>
    </sheetNames>
    <sheetDataSet>
      <sheetData sheetId="0"/>
      <sheetData sheetId="1">
        <row r="13">
          <cell r="B13" t="str">
            <v>0002APP20211204046</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queryTables/queryTable1.xml><?xml version="1.0" encoding="utf-8"?>
<queryTable xmlns="http://schemas.openxmlformats.org/spreadsheetml/2006/main" name="ExternalData_1" connectionId="11" autoFormatId="0" applyNumberFormats="0" applyBorderFormats="0" applyFontFormats="1" applyPatternFormats="1" applyAlignmentFormats="0" applyWidthHeightFormats="0">
  <queryTableRefresh preserveSortFilterLayout="0" nextId="3">
    <queryTableFields count="2">
      <queryTableField id="1" name="DEBTOR GROUP NAME" tableColumnId="1"/>
      <queryTableField id="2" name="DEBTOR GROUP CODE" tableColumnId="2"/>
    </queryTableFields>
  </queryTableRefresh>
</queryTable>
</file>

<file path=xl/queryTables/queryTable2.xml><?xml version="1.0" encoding="utf-8"?>
<queryTable xmlns="http://schemas.openxmlformats.org/spreadsheetml/2006/main" name="ExternalData_2" connectionId="10" autoFormatId="0" applyNumberFormats="0" applyBorderFormats="0" applyFontFormats="1" applyPatternFormats="1" applyAlignmentFormats="0" applyWidthHeightFormats="0">
  <queryTableRefresh preserveSortFilterLayout="0" nextId="3">
    <queryTableFields count="2">
      <queryTableField id="1" name="Debtor Business Scale Description" tableColumnId="1"/>
      <queryTableField id="2" name="Debtor Group Code" tableColumnId="2"/>
    </queryTableFields>
  </queryTableRefresh>
</queryTable>
</file>

<file path=xl/queryTables/queryTable3.xml><?xml version="1.0" encoding="utf-8"?>
<queryTable xmlns="http://schemas.openxmlformats.org/spreadsheetml/2006/main" name="ExternalData_3" connectionId="8" autoFormatId="0" applyNumberFormats="0" applyBorderFormats="0" applyFontFormats="1" applyPatternFormats="1" applyAlignmentFormats="0" applyWidthHeightFormats="0">
  <queryTableRefresh preserveSortFilterLayout="0" nextId="3">
    <queryTableFields count="2">
      <queryTableField id="1" name="Counterpart Category" tableColumnId="1"/>
      <queryTableField id="2" name="LBPP CODE" tableColumnId="2"/>
    </queryTableFields>
  </queryTableRefresh>
</queryTable>
</file>

<file path=xl/queryTables/queryTable4.xml><?xml version="1.0" encoding="utf-8"?>
<queryTable xmlns="http://schemas.openxmlformats.org/spreadsheetml/2006/main" name="ExternalData_4" connectionId="17" autoFormatId="0" applyNumberFormats="0" applyBorderFormats="0" applyFontFormats="1" applyPatternFormats="1" applyAlignmentFormats="0" applyWidthHeightFormats="0">
  <queryTableRefresh preserveSortFilterLayout="0" nextId="3">
    <queryTableFields count="2">
      <queryTableField id="1" name="Sustainable Financial Business" tableColumnId="1"/>
      <queryTableField id="2" name="LBPP Code" tableColumnId="2"/>
    </queryTableFields>
  </queryTableRefresh>
</queryTable>
</file>

<file path=xl/queryTables/queryTable5.xml><?xml version="1.0" encoding="utf-8"?>
<queryTable xmlns="http://schemas.openxmlformats.org/spreadsheetml/2006/main" name="ExternalData_5" connectionId="12" autoFormatId="0" applyNumberFormats="0" applyBorderFormats="0" applyFontFormats="1" applyPatternFormats="1" applyAlignmentFormats="0" applyWidthHeightFormats="0">
  <queryTableRefresh preserveSortFilterLayout="0" nextId="3">
    <queryTableFields count="2">
      <queryTableField id="1" name="DEBTOR GROUP SLIK" tableColumnId="1"/>
      <queryTableField id="2" name="DEBTOR GROUP SLIK CODE" tableColumnId="2"/>
    </queryTableFields>
  </queryTableRefresh>
</queryTable>
</file>

<file path=xl/queryTables/queryTable6.xml><?xml version="1.0" encoding="utf-8"?>
<queryTable xmlns="http://schemas.openxmlformats.org/spreadsheetml/2006/main" name="ExternalData_6" connectionId="4" autoFormatId="0" applyNumberFormats="0" applyBorderFormats="0" applyFontFormats="1" applyPatternFormats="1" applyAlignmentFormats="0" applyWidthHeightFormats="0">
  <queryTableRefresh preserveSortFilterLayout="0" nextId="3">
    <queryTableFields count="2">
      <queryTableField id="1" name="AFFILIATE WITH MULTIFINANCE SLIK" tableColumnId="1"/>
      <queryTableField id="2" name="CODE" tableColumnId="2"/>
    </queryTableFields>
  </queryTableRefresh>
</queryTable>
</file>

<file path=xl/queryTables/queryTable7.xml><?xml version="1.0" encoding="utf-8"?>
<queryTable xmlns="http://schemas.openxmlformats.org/spreadsheetml/2006/main" name="ExternalData_7" connectionId="13" autoFormatId="0" applyNumberFormats="0" applyBorderFormats="0" applyFontFormats="1" applyPatternFormats="1" applyAlignmentFormats="0" applyWidthHeightFormats="0">
  <queryTableRefresh preserveSortFilterLayout="0" nextId="3">
    <queryTableFields count="2">
      <queryTableField id="1" name="DEPARTMENT AML" tableColumnId="1"/>
      <queryTableField id="2" name="DEPARTMENT AML CODE" tableColumnId="2"/>
    </queryTableFields>
  </queryTableRefresh>
</queryTable>
</file>

<file path=xl/queryTables/queryTable8.xml><?xml version="1.0" encoding="utf-8"?>
<queryTable xmlns="http://schemas.openxmlformats.org/spreadsheetml/2006/main" name="ExternalData_8" connectionId="9" autoFormatId="0" applyNumberFormats="0" applyBorderFormats="0" applyFontFormats="1" applyPatternFormats="1" applyAlignmentFormats="0" applyWidthHeightFormats="0">
  <queryTableRefresh preserveSortFilterLayout="0" nextId="3">
    <queryTableFields count="2">
      <queryTableField id="1" name="CSP/USL SOURCE AML" tableColumnId="1"/>
      <queryTableField id="2" name="CSP/USL SOURCE AML CODE" tableColumnId="2"/>
    </queryTableFields>
  </queryTableRefresh>
</queryTable>
</file>

<file path=xl/queryTables/queryTable9.xml><?xml version="1.0" encoding="utf-8"?>
<queryTable xmlns="http://schemas.openxmlformats.org/spreadsheetml/2006/main" name="ExternalData_9" connectionId="16" autoFormatId="0" applyNumberFormats="0" applyBorderFormats="0" applyFontFormats="1" applyPatternFormats="1" applyAlignmentFormats="0" applyWidthHeightFormats="0">
  <queryTableRefresh preserveSortFilterLayout="0" nextId="3">
    <queryTableFields count="2">
      <queryTableField id="1" name="PAYMENT TYPE AML" tableColumnId="1"/>
      <queryTableField id="2" name="CODE" tableColumnId="2"/>
    </queryTableFields>
  </queryTableRefresh>
</queryTable>
</file>

<file path=xl/queryTables/queryTable10.xml><?xml version="1.0" encoding="utf-8"?>
<queryTable xmlns="http://schemas.openxmlformats.org/spreadsheetml/2006/main" name="ExternalData_10" connectionId="5" autoFormatId="0" applyNumberFormats="0" applyBorderFormats="0" applyFontFormats="1" applyPatternFormats="1" applyAlignmentFormats="0" applyWidthHeightFormats="0">
  <queryTableRefresh preserveSortFilterLayout="0" nextId="3">
    <queryTableFields count="2">
      <queryTableField id="1" name="AUTHORITY AML" tableColumnId="1"/>
      <queryTableField id="2" name="AUTHORITY AML2" tableColumnId="2"/>
    </queryTableFields>
  </queryTableRefresh>
</queryTable>
</file>

<file path=xl/queryTables/queryTable11.xml><?xml version="1.0" encoding="utf-8"?>
<queryTable xmlns="http://schemas.openxmlformats.org/spreadsheetml/2006/main" name="ExternalData_11" connectionId="7" autoFormatId="0" applyNumberFormats="0" applyBorderFormats="0" applyFontFormats="1" applyPatternFormats="1" applyAlignmentFormats="0" applyWidthHeightFormats="0">
  <queryTableRefresh preserveSortFilterLayout="0" nextId="3">
    <queryTableFields count="2">
      <queryTableField id="1" name="BUSINESS SOURCE AML" tableColumnId="1"/>
      <queryTableField id="2" name="CODE" tableColumnId="2"/>
    </queryTableFields>
  </queryTableRefresh>
</queryTable>
</file>

<file path=xl/queryTables/queryTable12.xml><?xml version="1.0" encoding="utf-8"?>
<queryTable xmlns="http://schemas.openxmlformats.org/spreadsheetml/2006/main" name="ExternalData_12" connectionId="6" autoFormatId="0" applyNumberFormats="0" applyBorderFormats="0" applyFontFormats="1" applyPatternFormats="1" applyAlignmentFormats="0" applyWidthHeightFormats="0">
  <queryTableRefresh preserveSortFilterLayout="0" nextId="3">
    <queryTableFields count="2">
      <queryTableField id="1" name="BUILDING" tableColumnId="1"/>
      <queryTableField id="2" name="BUILDING CODE" tableColumnId="2"/>
    </queryTableFields>
  </queryTableRefresh>
</queryTable>
</file>

<file path=xl/queryTables/queryTable13.xml><?xml version="1.0" encoding="utf-8"?>
<queryTable xmlns="http://schemas.openxmlformats.org/spreadsheetml/2006/main" name="ExternalData_13" connectionId="14" autoFormatId="0" applyNumberFormats="0" applyBorderFormats="0" applyFontFormats="1" applyPatternFormats="1" applyAlignmentFormats="0" applyWidthHeightFormats="0">
  <queryTableRefresh preserveSortFilterLayout="0" nextId="3">
    <queryTableFields count="2">
      <queryTableField id="1" name="INDUSTRY TYPE NAME" tableColumnId="1"/>
      <queryTableField id="2" name="INDUSTRY TYPE CODE" tableColumnId="2"/>
    </queryTableFields>
  </queryTableRefresh>
</queryTable>
</file>

<file path=xl/queryTables/queryTable14.xml><?xml version="1.0" encoding="utf-8"?>
<queryTable xmlns="http://schemas.openxmlformats.org/spreadsheetml/2006/main" name="ExternalData_14" connectionId="3" autoFormatId="0" applyNumberFormats="0" applyBorderFormats="0" applyFontFormats="1" applyPatternFormats="1" applyAlignmentFormats="0" applyWidthHeightFormats="0">
  <queryTableRefresh preserveSortFilterLayout="0" nextId="3">
    <queryTableFields count="2">
      <queryTableField id="1" name="RATING INSTITUTE" tableColumnId="5"/>
      <queryTableField id="2" name="CODE" tableColumnId="6"/>
    </queryTableFields>
  </queryTableRefresh>
</queryTable>
</file>

<file path=xl/queryTables/queryTable15.xml><?xml version="1.0" encoding="utf-8"?>
<queryTable xmlns="http://schemas.openxmlformats.org/spreadsheetml/2006/main" name="ExternalData_15" connectionId="15" autoFormatId="0" applyNumberFormats="0" applyBorderFormats="0" applyFontFormats="1" applyPatternFormats="1" applyAlignmentFormats="0" applyWidthHeightFormats="0">
  <queryTableRefresh preserveSortFilterLayout="0" nextId="2">
    <queryTableFields count="1">
      <queryTableField id="1" name="JOB POSITION NAME" tableColumnId="1"/>
    </queryTableFields>
  </queryTableRefresh>
</queryTable>
</file>

<file path=xl/queryTables/queryTable16.xml><?xml version="1.0" encoding="utf-8"?>
<queryTable xmlns="http://schemas.openxmlformats.org/spreadsheetml/2006/main" name="ExternalData_16" connectionId="1" autoFormatId="0" applyNumberFormats="0" applyBorderFormats="0" applyFontFormats="1" applyPatternFormats="1" applyAlignmentFormats="0" applyWidthHeightFormats="0">
  <queryTableRefresh preserveSortFilterLayout="0" nextId="3">
    <queryTableFields count="2">
      <queryTableField id="1" name="BANK NAME" tableColumnId="5"/>
      <queryTableField id="2" name="BANK CODE" tableColumnId="6"/>
    </queryTableFields>
  </queryTableRefresh>
</queryTable>
</file>

<file path=xl/queryTables/queryTable17.xml><?xml version="1.0" encoding="utf-8"?>
<queryTable xmlns="http://schemas.openxmlformats.org/spreadsheetml/2006/main" name="ExternalData_17" connectionId="2" autoFormatId="0" applyNumberFormats="0" applyBorderFormats="0" applyFontFormats="1" applyPatternFormats="1" applyAlignmentFormats="0" applyWidthHeightFormats="0">
  <queryTableRefresh preserveSortFilterLayout="0" nextId="2">
    <queryTableFields count="1">
      <queryTableField id="1" name="Copy Address"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1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7.xml"/></Relationships>
</file>

<file path=xl/tables/table1.xml><?xml version="1.0" encoding="utf-8"?>
<table xmlns="http://schemas.openxmlformats.org/spreadsheetml/2006/main" id="1" name="Query_Debtor_Group" displayName="Query_Debtor_Group" ref="A1:B315" tableType="queryTable" insertRowShift="1" totalsRowShown="0" headerRowDxfId="57" dataDxfId="56">
  <autoFilter ref="A1:B315"/>
  <tableColumns count="2">
    <tableColumn id="1" uniqueName="1" name="DEBTOR GROUP NAME" queryTableFieldId="1" dataDxfId="55"/>
    <tableColumn id="2" uniqueName="2" name="DEBTOR GROUP CODE" queryTableFieldId="2" dataDxfId="54"/>
  </tableColumns>
  <tableStyleInfo name="TableStyleMedium7" showFirstColumn="0" showLastColumn="0" showRowStripes="1" showColumnStripes="0"/>
</table>
</file>

<file path=xl/tables/table2.xml><?xml version="1.0" encoding="utf-8"?>
<table xmlns="http://schemas.openxmlformats.org/spreadsheetml/2006/main" id="2" name="Query_Debtor_Business_Scale" displayName="Query_Debtor_Business_Scale" ref="D1:E6" tableType="queryTable" insertRowShift="1" totalsRowShown="0" headerRowDxfId="53" dataDxfId="52">
  <autoFilter ref="D1:E6"/>
  <tableColumns count="2">
    <tableColumn id="1" uniqueName="1" name="Debtor Business Scale Description" queryTableFieldId="1" dataDxfId="51"/>
    <tableColumn id="2" uniqueName="2" name="Debtor Group Code" queryTableFieldId="2" dataDxfId="50"/>
  </tableColumns>
  <tableStyleInfo name="TableStyleMedium7" showFirstColumn="0" showLastColumn="0" showRowStripes="1" showColumnStripes="0"/>
</table>
</file>

<file path=xl/tables/table3.xml><?xml version="1.0" encoding="utf-8"?>
<table xmlns="http://schemas.openxmlformats.org/spreadsheetml/2006/main" id="3" name="Query_Counterpart" displayName="Query_Counterpart" ref="G1:H175" tableType="queryTable" insertRowShift="1" totalsRowShown="0" headerRowDxfId="49" dataDxfId="48">
  <autoFilter ref="G1:H175"/>
  <tableColumns count="2">
    <tableColumn id="1" uniqueName="1" name="Counterpart Category" queryTableFieldId="1" dataDxfId="47"/>
    <tableColumn id="2" uniqueName="2" name="LBPP CODE" queryTableFieldId="2" dataDxfId="46"/>
  </tableColumns>
  <tableStyleInfo name="TableStyleMedium7" showFirstColumn="0" showLastColumn="0" showRowStripes="1" showColumnStripes="0"/>
</table>
</file>

<file path=xl/tables/table4.xml><?xml version="1.0" encoding="utf-8"?>
<table xmlns="http://schemas.openxmlformats.org/spreadsheetml/2006/main" id="4" name="Query_Sustainable_Financial" displayName="Query_Sustainable_Financial" ref="J1:K14" tableType="queryTable" insertRowShift="1" totalsRowShown="0" headerRowDxfId="45" dataDxfId="44">
  <autoFilter ref="J1:K14"/>
  <tableColumns count="2">
    <tableColumn id="1" uniqueName="1" name="Sustainable Financial Business" queryTableFieldId="1" dataDxfId="43"/>
    <tableColumn id="2" uniqueName="2" name="LBPP Code" queryTableFieldId="2" dataDxfId="42"/>
  </tableColumns>
  <tableStyleInfo name="TableStyleMedium7" showFirstColumn="0" showLastColumn="0" showRowStripes="1" showColumnStripes="0"/>
</table>
</file>

<file path=xl/tables/table5.xml><?xml version="1.0" encoding="utf-8"?>
<table xmlns="http://schemas.openxmlformats.org/spreadsheetml/2006/main" id="5" name="Query_debtor_group_slik" displayName="Query_debtor_group_slik" ref="M1:N193" tableType="queryTable" insertRowShift="1" totalsRowShown="0" headerRowDxfId="41" dataDxfId="40">
  <autoFilter ref="M1:N193"/>
  <tableColumns count="2">
    <tableColumn id="1" uniqueName="1" name="DEBTOR GROUP SLIK" queryTableFieldId="1" dataDxfId="39"/>
    <tableColumn id="2" uniqueName="2" name="DEBTOR GROUP SLIK CODE" queryTableFieldId="2" dataDxfId="38"/>
  </tableColumns>
  <tableStyleInfo name="TableStyleMedium7" showFirstColumn="0" showLastColumn="0" showRowStripes="1" showColumnStripes="0"/>
</table>
</file>

<file path=xl/tables/table6.xml><?xml version="1.0" encoding="utf-8"?>
<table xmlns="http://schemas.openxmlformats.org/spreadsheetml/2006/main" id="6" name="Query_Affiliate_with_Multifinance" displayName="Query_Affiliate_with_Multifinance" ref="P1:Q16" tableType="queryTable" insertRowShift="1" totalsRowShown="0" headerRowDxfId="37" dataDxfId="36">
  <autoFilter ref="P1:Q16"/>
  <tableColumns count="2">
    <tableColumn id="1" uniqueName="1" name="AFFILIATE WITH MULTIFINANCE SLIK" queryTableFieldId="1" dataDxfId="35"/>
    <tableColumn id="2" uniqueName="2" name="CODE" queryTableFieldId="2" dataDxfId="34"/>
  </tableColumns>
  <tableStyleInfo name="TableStyleMedium7" showFirstColumn="0" showLastColumn="0" showRowStripes="1" showColumnStripes="0"/>
</table>
</file>

<file path=xl/tables/table7.xml><?xml version="1.0" encoding="utf-8"?>
<table xmlns="http://schemas.openxmlformats.org/spreadsheetml/2006/main" id="7" name="Query_Department_AML" displayName="Query_Department_AML" ref="S1:T492" tableType="queryTable" totalsRowShown="0" headerRowDxfId="33">
  <autoFilter ref="S1:T492"/>
  <tableColumns count="2">
    <tableColumn id="1" uniqueName="1" name="DEPARTMENT AML" queryTableFieldId="1" dataDxfId="32"/>
    <tableColumn id="2" uniqueName="2" name="DEPARTMENT AML CODE" queryTableFieldId="2" dataDxfId="31"/>
  </tableColumns>
  <tableStyleInfo name="TableStyleMedium7" showFirstColumn="0" showLastColumn="0" showRowStripes="1" showColumnStripes="0"/>
</table>
</file>

<file path=xl/tables/table8.xml><?xml version="1.0" encoding="utf-8"?>
<table xmlns="http://schemas.openxmlformats.org/spreadsheetml/2006/main" id="8" name="Query_csp_usl_source_aml" displayName="Query_csp_usl_source_aml" ref="V1:W10" tableType="queryTable" insertRowShift="1" totalsRowShown="0" headerRowDxfId="30" dataDxfId="29">
  <autoFilter ref="V1:W10"/>
  <tableColumns count="2">
    <tableColumn id="1" uniqueName="1" name="CSP/USL SOURCE AML" queryTableFieldId="1" dataDxfId="28"/>
    <tableColumn id="2" uniqueName="2" name="CSP/USL SOURCE AML CODE" queryTableFieldId="2" dataDxfId="27"/>
  </tableColumns>
  <tableStyleInfo name="TableStyleMedium7" showFirstColumn="0" showLastColumn="0" showRowStripes="1" showColumnStripes="0"/>
</table>
</file>

<file path=xl/tables/table9.xml><?xml version="1.0" encoding="utf-8"?>
<table xmlns="http://schemas.openxmlformats.org/spreadsheetml/2006/main" id="9" name="Query_payment_type_aml" displayName="Query_payment_type_aml" ref="Y1:Z3" tableType="queryTable" insertRowShift="1" totalsRowShown="0" headerRowDxfId="26" dataDxfId="25">
  <autoFilter ref="Y1:Z3"/>
  <tableColumns count="2">
    <tableColumn id="1" uniqueName="1" name="PAYMENT TYPE AML" queryTableFieldId="1" dataDxfId="24"/>
    <tableColumn id="2" uniqueName="2" name="CODE" queryTableFieldId="2" dataDxfId="23"/>
  </tableColumns>
  <tableStyleInfo name="TableStyleMedium7" showFirstColumn="0" showLastColumn="0" showRowStripes="1" showColumnStripes="0"/>
</table>
</file>

<file path=xl/tables/table10.xml><?xml version="1.0" encoding="utf-8"?>
<table xmlns="http://schemas.openxmlformats.org/spreadsheetml/2006/main" id="10" name="Query_authority_aml" displayName="Query_authority_aml" ref="AB1:AC9" tableType="queryTable" totalsRowShown="0" headerRowDxfId="22" dataDxfId="21">
  <autoFilter ref="AB1:AC9"/>
  <tableColumns count="2">
    <tableColumn id="1" uniqueName="1" name="AUTHORITY AML" queryTableFieldId="1" dataDxfId="20"/>
    <tableColumn id="2" uniqueName="2" name="AUTHORITY AML2" queryTableFieldId="2" dataDxfId="19"/>
  </tableColumns>
  <tableStyleInfo name="TableStyleMedium7" showFirstColumn="0" showLastColumn="0" showRowStripes="1" showColumnStripes="0"/>
</table>
</file>

<file path=xl/tables/table11.xml><?xml version="1.0" encoding="utf-8"?>
<table xmlns="http://schemas.openxmlformats.org/spreadsheetml/2006/main" id="11" name="Query_Business_Source" displayName="Query_Business_Source" ref="AE1:AF2" tableType="queryTable" insertRowShift="1" totalsRowShown="0" headerRowDxfId="18" dataDxfId="17">
  <autoFilter ref="AE1:AF2"/>
  <tableColumns count="2">
    <tableColumn id="1" uniqueName="1" name="BUSINESS SOURCE AML" queryTableFieldId="1" dataDxfId="16"/>
    <tableColumn id="2" uniqueName="2" name="CODE" queryTableFieldId="2" dataDxfId="15"/>
  </tableColumns>
  <tableStyleInfo name="TableStyleMedium7" showFirstColumn="0" showLastColumn="0" showRowStripes="1" showColumnStripes="0"/>
</table>
</file>

<file path=xl/tables/table12.xml><?xml version="1.0" encoding="utf-8"?>
<table xmlns="http://schemas.openxmlformats.org/spreadsheetml/2006/main" id="12" name="query_building" displayName="query_building" ref="AH1:AI8" tableType="queryTable" totalsRowShown="0" headerRowDxfId="14">
  <autoFilter ref="AH1:AI8"/>
  <tableColumns count="2">
    <tableColumn id="1" uniqueName="1" name="BUILDING" queryTableFieldId="1" dataDxfId="13"/>
    <tableColumn id="2" uniqueName="2" name="BUILDING CODE" queryTableFieldId="2" dataDxfId="12"/>
  </tableColumns>
  <tableStyleInfo name="TableStyleMedium7" showFirstColumn="0" showLastColumn="0" showRowStripes="1" showColumnStripes="0"/>
</table>
</file>

<file path=xl/tables/table13.xml><?xml version="1.0" encoding="utf-8"?>
<table xmlns="http://schemas.openxmlformats.org/spreadsheetml/2006/main" id="13" name="Query_Industry_Type" displayName="Query_Industry_Type" ref="AK1:AL261" tableType="queryTable" totalsRowShown="0" headerRowDxfId="11">
  <autoFilter ref="AK1:AL261"/>
  <tableColumns count="2">
    <tableColumn id="1" uniqueName="1" name="INDUSTRY TYPE NAME" queryTableFieldId="1" dataDxfId="10"/>
    <tableColumn id="2" uniqueName="2" name="INDUSTRY TYPE CODE" queryTableFieldId="2" dataDxfId="9"/>
  </tableColumns>
  <tableStyleInfo name="TableStyleMedium7" showFirstColumn="0" showLastColumn="0" showRowStripes="1" showColumnStripes="0"/>
</table>
</file>

<file path=xl/tables/table14.xml><?xml version="1.0" encoding="utf-8"?>
<table xmlns="http://schemas.openxmlformats.org/spreadsheetml/2006/main" id="14" name="Query_Rating_Institute" displayName="Query_Rating_Institute" ref="AN1:AO8" tableType="queryTable" insertRowShift="1" totalsRowShown="0" headerRowDxfId="8" dataDxfId="7">
  <autoFilter ref="AN1:AO8"/>
  <tableColumns count="2">
    <tableColumn id="5" uniqueName="5" name="RATING INSTITUTE" queryTableFieldId="1" dataDxfId="6"/>
    <tableColumn id="6" uniqueName="6" name="CODE" queryTableFieldId="2" dataDxfId="5"/>
  </tableColumns>
  <tableStyleInfo name="TableStyleMedium7" showFirstColumn="0" showLastColumn="0" showRowStripes="1" showColumnStripes="0"/>
</table>
</file>

<file path=xl/tables/table15.xml><?xml version="1.0" encoding="utf-8"?>
<table xmlns="http://schemas.openxmlformats.org/spreadsheetml/2006/main" id="15" name="Query_Job_Position" displayName="Query_Job_Position" ref="AQ1:AQ30" tableType="queryTable" totalsRowShown="0" headerRowDxfId="4">
  <autoFilter ref="AQ1:AQ30"/>
  <tableColumns count="1">
    <tableColumn id="1" uniqueName="1" name="JOB POSITION NAME" queryTableFieldId="1" dataDxfId="3"/>
  </tableColumns>
  <tableStyleInfo name="TableStyleMedium7" showFirstColumn="0" showLastColumn="0" showRowStripes="1" showColumnStripes="0"/>
</table>
</file>

<file path=xl/tables/table16.xml><?xml version="1.0" encoding="utf-8"?>
<table xmlns="http://schemas.openxmlformats.org/spreadsheetml/2006/main" id="16" name="Query_Bank" displayName="Query_Bank" ref="AS1:AT147" tableType="queryTable" totalsRowShown="0" headerRowDxfId="2">
  <autoFilter ref="AS1:AT147"/>
  <tableColumns count="2">
    <tableColumn id="5" uniqueName="5" name="BANK NAME" queryTableFieldId="1"/>
    <tableColumn id="6" uniqueName="6" name="BANK CODE" queryTableFieldId="2"/>
  </tableColumns>
  <tableStyleInfo name="TableStyleMedium7" showFirstColumn="0" showLastColumn="0" showRowStripes="1" showColumnStripes="0"/>
</table>
</file>

<file path=xl/tables/table17.xml><?xml version="1.0" encoding="utf-8"?>
<table xmlns="http://schemas.openxmlformats.org/spreadsheetml/2006/main" id="17" name="Query_Copy_Address_From" displayName="Query_Copy_Address_From" ref="AV1:AV10" tableType="queryTable" totalsRowShown="0" headerRowDxfId="1">
  <autoFilter ref="AV1:AV10"/>
  <tableColumns count="1">
    <tableColumn id="1" uniqueName="1" name="Copy Address" queryTableFieldId="1" dataDxfId="0"/>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5.vml"/></Relationships>
</file>

<file path=xl/worksheets/_rels/sheet7.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8" Type="http://schemas.openxmlformats.org/officeDocument/2006/relationships/table" Target="../tables/table8.xml"/><Relationship Id="rId13" Type="http://schemas.openxmlformats.org/officeDocument/2006/relationships/table" Target="../tables/table13.xml"/><Relationship Id="rId3" Type="http://schemas.openxmlformats.org/officeDocument/2006/relationships/table" Target="../tables/table3.xml"/><Relationship Id="rId7" Type="http://schemas.openxmlformats.org/officeDocument/2006/relationships/table" Target="../tables/table7.xml"/><Relationship Id="rId12" Type="http://schemas.openxmlformats.org/officeDocument/2006/relationships/table" Target="../tables/table12.xml"/><Relationship Id="rId17" Type="http://schemas.openxmlformats.org/officeDocument/2006/relationships/table" Target="../tables/table17.xml"/><Relationship Id="rId2" Type="http://schemas.openxmlformats.org/officeDocument/2006/relationships/table" Target="../tables/table2.xml"/><Relationship Id="rId16" Type="http://schemas.openxmlformats.org/officeDocument/2006/relationships/table" Target="../tables/table16.xml"/><Relationship Id="rId1" Type="http://schemas.openxmlformats.org/officeDocument/2006/relationships/table" Target="../tables/table1.xml"/><Relationship Id="rId6" Type="http://schemas.openxmlformats.org/officeDocument/2006/relationships/table" Target="../tables/table6.xml"/><Relationship Id="rId11" Type="http://schemas.openxmlformats.org/officeDocument/2006/relationships/table" Target="../tables/table11.xml"/><Relationship Id="rId5" Type="http://schemas.openxmlformats.org/officeDocument/2006/relationships/table" Target="../tables/table5.xml"/><Relationship Id="rId15" Type="http://schemas.openxmlformats.org/officeDocument/2006/relationships/table" Target="../tables/table15.xml"/><Relationship Id="rId10" Type="http://schemas.openxmlformats.org/officeDocument/2006/relationships/table" Target="../tables/table10.xml"/><Relationship Id="rId4" Type="http://schemas.openxmlformats.org/officeDocument/2006/relationships/table" Target="../tables/table4.xml"/><Relationship Id="rId9" Type="http://schemas.openxmlformats.org/officeDocument/2006/relationships/table" Target="../tables/table9.xml"/><Relationship Id="rId14"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23"/>
  <sheetViews>
    <sheetView tabSelected="1" workbookViewId="0">
      <selection activeCell="B13" sqref="B13"/>
    </sheetView>
  </sheetViews>
  <sheetFormatPr defaultRowHeight="15" x14ac:dyDescent="0.25"/>
  <cols>
    <col min="1" max="1" width="26.42578125" bestFit="1" customWidth="1" collapsed="1"/>
    <col min="2" max="3" width="36.5703125" bestFit="1" customWidth="1" collapsed="1"/>
  </cols>
  <sheetData>
    <row r="1" spans="1:5" s="2" customFormat="1" x14ac:dyDescent="0.25">
      <c r="A1" s="2" t="s">
        <v>3</v>
      </c>
      <c r="B1" t="s">
        <v>3370</v>
      </c>
      <c r="C1" s="2" t="s">
        <v>3370</v>
      </c>
      <c r="D1" s="2" t="s">
        <v>2794</v>
      </c>
      <c r="E1" s="2" t="s">
        <v>2794</v>
      </c>
    </row>
    <row r="2" spans="1:5" s="2" customFormat="1" x14ac:dyDescent="0.25">
      <c r="A2" s="2" t="s">
        <v>3405</v>
      </c>
    </row>
    <row r="3" spans="1:5" s="2" customFormat="1" x14ac:dyDescent="0.25">
      <c r="A3" s="2" t="s">
        <v>3406</v>
      </c>
      <c r="B3" t="s">
        <v>3477</v>
      </c>
    </row>
    <row r="4" spans="1:5" s="2" customFormat="1" x14ac:dyDescent="0.25">
      <c r="A4" s="2" t="s">
        <v>3429</v>
      </c>
      <c r="B4" s="2">
        <f>COUNTIFS($A$14:$A$15, "*$*",B14:B15,"")+COUNTIFS($A$18, "*$*",B18,"")+COUNTIFS($A$20:$A$22, "*$*",B20:B22,"")+IF(B18="Yes",COUNTIFS($A$23, "*$*",B23,""),0)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c r="C11" s="42"/>
    </row>
    <row r="12" spans="1:5" s="2" customFormat="1" x14ac:dyDescent="0.25">
      <c r="A12" s="39" t="s">
        <v>3084</v>
      </c>
      <c r="B12" s="2" t="str">
        <f>'[1]1.TabCustomerMainData'!$B$13</f>
        <v>0002APP20211204046</v>
      </c>
    </row>
    <row r="13" spans="1:5" s="2" customFormat="1" x14ac:dyDescent="0.25">
      <c r="A13" s="39" t="s">
        <v>3085</v>
      </c>
      <c r="B13" t="s">
        <v>3501</v>
      </c>
      <c r="C13" s="2" t="s">
        <v>3404</v>
      </c>
    </row>
    <row r="14" spans="1:5" s="2" customFormat="1" x14ac:dyDescent="0.25">
      <c r="A14" s="30" t="s">
        <v>3430</v>
      </c>
      <c r="B14" s="34">
        <v>44535</v>
      </c>
      <c r="C14" s="34">
        <v>44536</v>
      </c>
    </row>
    <row r="15" spans="1:5" s="2" customFormat="1" x14ac:dyDescent="0.25">
      <c r="A15" s="30" t="s">
        <v>3431</v>
      </c>
      <c r="B15" s="1">
        <v>500</v>
      </c>
      <c r="C15" s="1">
        <v>501</v>
      </c>
    </row>
    <row r="16" spans="1:5" s="2" customFormat="1" x14ac:dyDescent="0.25">
      <c r="A16" s="1" t="s">
        <v>4</v>
      </c>
      <c r="B16" s="1"/>
      <c r="C16" s="1"/>
    </row>
    <row r="17" spans="1:3" s="2" customFormat="1" x14ac:dyDescent="0.25">
      <c r="A17" s="1" t="s">
        <v>0</v>
      </c>
      <c r="B17" s="1"/>
      <c r="C17" s="1"/>
    </row>
    <row r="18" spans="1:3" s="2" customFormat="1" x14ac:dyDescent="0.25">
      <c r="A18" s="1" t="s">
        <v>3475</v>
      </c>
      <c r="B18" s="1" t="s">
        <v>3435</v>
      </c>
      <c r="C18" s="1" t="s">
        <v>3403</v>
      </c>
    </row>
    <row r="19" spans="1:3" s="2" customFormat="1" x14ac:dyDescent="0.25">
      <c r="A19" s="1" t="s">
        <v>1</v>
      </c>
      <c r="B19" s="1"/>
      <c r="C19" s="1"/>
    </row>
    <row r="20" spans="1:3" s="2" customFormat="1" x14ac:dyDescent="0.25">
      <c r="A20" s="32" t="s">
        <v>3432</v>
      </c>
      <c r="B20" s="1" t="str">
        <f>VLOOKUP(B21,Master!$AK:$AL,2,FALSE)</f>
        <v>1119</v>
      </c>
      <c r="C20" s="1" t="str">
        <f>VLOOKUP(C21,Master!$AK:$AL,2,FALSE)</f>
        <v>1119</v>
      </c>
    </row>
    <row r="21" spans="1:3" s="2" customFormat="1" x14ac:dyDescent="0.25">
      <c r="A21" s="30" t="s">
        <v>3433</v>
      </c>
      <c r="B21" s="1" t="s">
        <v>2825</v>
      </c>
      <c r="C21" s="1" t="s">
        <v>2825</v>
      </c>
    </row>
    <row r="22" spans="1:3" s="2" customFormat="1" x14ac:dyDescent="0.25">
      <c r="A22" s="1" t="s">
        <v>3436</v>
      </c>
      <c r="B22" s="1" t="s">
        <v>2</v>
      </c>
      <c r="C22" s="1" t="s">
        <v>2</v>
      </c>
    </row>
    <row r="23" spans="1:3" s="2" customFormat="1" x14ac:dyDescent="0.25">
      <c r="A23" s="31" t="s">
        <v>3434</v>
      </c>
      <c r="B23" s="1"/>
      <c r="C23" s="1" t="s">
        <v>3105</v>
      </c>
    </row>
  </sheetData>
  <conditionalFormatting sqref="A23:XFD23">
    <cfRule type="expression" dxfId="60" priority="1">
      <formula>A$18="No"</formula>
    </cfRule>
  </conditionalFormatting>
  <dataValidations count="7">
    <dataValidation type="list" allowBlank="1" showInputMessage="1" showErrorMessage="1" sqref="B19:C19">
      <formula1>"Yes, No"</formula1>
    </dataValidation>
    <dataValidation type="whole" errorStyle="information" allowBlank="1" showInputMessage="1" showErrorMessage="1" sqref="B15:C15">
      <formula1>0</formula1>
      <formula2>9.99999999999999E+27</formula2>
    </dataValidation>
    <dataValidation type="list" errorStyle="information" showInputMessage="1" showErrorMessage="1" sqref="B21:C21">
      <formula1>ListIndustryType</formula1>
    </dataValidation>
    <dataValidation errorStyle="information" allowBlank="1" showInputMessage="1" showErrorMessage="1" sqref="B16:C16"/>
    <dataValidation type="list" errorStyle="information" allowBlank="1" showInputMessage="1" showErrorMessage="1" sqref="B18:C18">
      <formula1>"Yes, No"</formula1>
    </dataValidation>
    <dataValidation type="list" errorStyle="information" showInputMessage="1" showErrorMessage="1" sqref="B22:C22">
      <formula1>"Corporate, Non Corporate"</formula1>
    </dataValidation>
    <dataValidation type="custom" errorStyle="information" allowBlank="1" showInputMessage="1" showErrorMessage="1" sqref="B23:C23">
      <formula1>B$18="Yes"</formula1>
    </dataValidation>
  </dataValidations>
  <pageMargins left="0.7" right="0.7" top="0.75" bottom="0.75" header="0.3" footer="0.3"/>
  <pageSetup paperSize="9"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32"/>
  <sheetViews>
    <sheetView workbookViewId="0">
      <selection activeCell="A8" sqref="A8:XFD8"/>
    </sheetView>
  </sheetViews>
  <sheetFormatPr defaultRowHeight="15" x14ac:dyDescent="0.25"/>
  <cols>
    <col min="1" max="1" width="18.28515625" bestFit="1" customWidth="1" collapsed="1"/>
    <col min="2" max="2" width="24.28515625" customWidth="1" collapsed="1"/>
    <col min="3" max="3" width="24.140625" bestFit="1" customWidth="1" collapsed="1"/>
  </cols>
  <sheetData>
    <row r="1" spans="1:5" s="2" customFormat="1" x14ac:dyDescent="0.25">
      <c r="A1" s="2" t="s">
        <v>3</v>
      </c>
      <c r="B1" t="s">
        <v>3478</v>
      </c>
      <c r="C1" t="s">
        <v>3478</v>
      </c>
      <c r="D1" s="2" t="s">
        <v>2794</v>
      </c>
      <c r="E1" s="2" t="s">
        <v>2794</v>
      </c>
    </row>
    <row r="2" spans="1:5" s="2" customFormat="1" x14ac:dyDescent="0.25">
      <c r="A2" s="2" t="s">
        <v>3405</v>
      </c>
      <c r="B2" t="s">
        <v>3476</v>
      </c>
      <c r="C2" t="s">
        <v>3476</v>
      </c>
    </row>
    <row r="3" spans="1:5" s="2" customFormat="1" x14ac:dyDescent="0.25">
      <c r="A3" s="2" t="s">
        <v>3406</v>
      </c>
    </row>
    <row r="4" spans="1:5" s="2" customFormat="1" x14ac:dyDescent="0.25">
      <c r="A4" s="2" t="s">
        <v>3429</v>
      </c>
      <c r="B4" s="2">
        <f>IF(B13="",COUNTIFS($A$12:$A$32, "*$*",B12:B32,""),0)</f>
        <v>0</v>
      </c>
      <c r="C4" s="2">
        <f>IF(C13="",COUNTIFS($A$12:$A$32, "*$*",C12:C32,""),0)</f>
        <v>0</v>
      </c>
    </row>
    <row r="5" spans="1:5" s="2" customFormat="1" x14ac:dyDescent="0.25"/>
    <row r="6" spans="1:5" s="2" customFormat="1" x14ac:dyDescent="0.25"/>
    <row r="7" spans="1:5" s="2" customFormat="1" x14ac:dyDescent="0.25"/>
    <row r="8" spans="1:5" s="43" customFormat="1" x14ac:dyDescent="0.25">
      <c r="B8" s="42"/>
      <c r="C8" s="42"/>
    </row>
    <row r="9" spans="1:5" s="2" customFormat="1" x14ac:dyDescent="0.25">
      <c r="A9" s="2" t="s">
        <v>3084</v>
      </c>
      <c r="B9" s="2" t="str">
        <f>'1.CustomerDetail'!B12</f>
        <v>0002APP20211204046</v>
      </c>
      <c r="C9" s="2" t="str">
        <f>'1.CustomerDetail'!B12</f>
        <v>0002APP20211204046</v>
      </c>
    </row>
    <row r="10" spans="1:5" s="2" customFormat="1" x14ac:dyDescent="0.25">
      <c r="A10" s="2" t="s">
        <v>3479</v>
      </c>
      <c r="B10" s="2" t="str">
        <f>'1.CustomerDetail'!B13</f>
        <v>PT POKE</v>
      </c>
      <c r="C10" s="2" t="str">
        <f>'1.CustomerDetail'!B13</f>
        <v>PT POKE</v>
      </c>
    </row>
    <row r="11" spans="1:5" s="43" customFormat="1" x14ac:dyDescent="0.25">
      <c r="B11" s="42"/>
      <c r="C11" s="42"/>
    </row>
    <row r="12" spans="1:5" s="2" customFormat="1" x14ac:dyDescent="0.25">
      <c r="A12" s="30" t="s">
        <v>3418</v>
      </c>
      <c r="B12" s="2" t="s">
        <v>5</v>
      </c>
      <c r="C12" s="2" t="s">
        <v>5</v>
      </c>
    </row>
    <row r="13" spans="1:5" s="2" customFormat="1" x14ac:dyDescent="0.25">
      <c r="A13" s="2" t="s">
        <v>6</v>
      </c>
    </row>
    <row r="14" spans="1:5" s="2" customFormat="1" x14ac:dyDescent="0.25">
      <c r="A14" s="30" t="s">
        <v>3419</v>
      </c>
      <c r="B14" s="41" t="s">
        <v>3394</v>
      </c>
      <c r="C14" s="41" t="s">
        <v>3394</v>
      </c>
    </row>
    <row r="15" spans="1:5" s="2" customFormat="1" x14ac:dyDescent="0.25">
      <c r="A15" s="30" t="s">
        <v>3420</v>
      </c>
      <c r="B15" s="33">
        <v>12</v>
      </c>
      <c r="C15" s="33">
        <v>12</v>
      </c>
    </row>
    <row r="16" spans="1:5" s="2" customFormat="1" x14ac:dyDescent="0.25">
      <c r="A16" s="30" t="s">
        <v>3421</v>
      </c>
      <c r="B16" s="33">
        <v>12</v>
      </c>
      <c r="C16" s="33">
        <v>12</v>
      </c>
    </row>
    <row r="17" spans="1:3" s="2" customFormat="1" x14ac:dyDescent="0.25">
      <c r="A17" s="30" t="s">
        <v>3422</v>
      </c>
      <c r="B17" s="1">
        <v>40242</v>
      </c>
      <c r="C17" s="1">
        <v>40242</v>
      </c>
    </row>
    <row r="18" spans="1:3" s="2" customFormat="1" x14ac:dyDescent="0.25">
      <c r="A18" s="30" t="s">
        <v>3423</v>
      </c>
      <c r="B18" s="2" t="s">
        <v>3380</v>
      </c>
      <c r="C18" s="2" t="s">
        <v>3380</v>
      </c>
    </row>
    <row r="19" spans="1:3" s="2" customFormat="1" x14ac:dyDescent="0.25">
      <c r="A19" s="30" t="s">
        <v>3424</v>
      </c>
      <c r="B19" s="2" t="s">
        <v>3381</v>
      </c>
      <c r="C19" s="2" t="s">
        <v>3381</v>
      </c>
    </row>
    <row r="20" spans="1:3" s="2" customFormat="1" x14ac:dyDescent="0.25">
      <c r="A20" s="30" t="s">
        <v>3425</v>
      </c>
      <c r="B20" s="2" t="s">
        <v>3382</v>
      </c>
      <c r="C20" s="2" t="s">
        <v>3382</v>
      </c>
    </row>
    <row r="21" spans="1:3" s="2" customFormat="1" x14ac:dyDescent="0.25">
      <c r="A21" s="30" t="s">
        <v>3426</v>
      </c>
      <c r="B21" s="33">
        <v>1212</v>
      </c>
      <c r="C21" s="33">
        <v>1212</v>
      </c>
    </row>
    <row r="22" spans="1:3" s="2" customFormat="1" x14ac:dyDescent="0.25">
      <c r="A22" s="30" t="s">
        <v>3427</v>
      </c>
      <c r="B22" s="41">
        <v>1234</v>
      </c>
      <c r="C22" s="41">
        <v>1234</v>
      </c>
    </row>
    <row r="23" spans="1:3" s="2" customFormat="1" x14ac:dyDescent="0.25">
      <c r="A23" s="1" t="s">
        <v>3090</v>
      </c>
      <c r="B23" s="33" t="s">
        <v>3371</v>
      </c>
      <c r="C23" s="33" t="s">
        <v>3371</v>
      </c>
    </row>
    <row r="24" spans="1:3" s="2" customFormat="1" x14ac:dyDescent="0.25">
      <c r="A24" s="2" t="s">
        <v>3091</v>
      </c>
      <c r="B24" s="33"/>
      <c r="C24" s="33"/>
    </row>
    <row r="25" spans="1:3" s="2" customFormat="1" x14ac:dyDescent="0.25">
      <c r="A25" s="2" t="s">
        <v>3092</v>
      </c>
      <c r="B25" s="1"/>
      <c r="C25" s="1"/>
    </row>
    <row r="26" spans="1:3" s="2" customFormat="1" x14ac:dyDescent="0.25">
      <c r="A26" s="2" t="s">
        <v>3093</v>
      </c>
      <c r="B26" s="1"/>
      <c r="C26" s="1"/>
    </row>
    <row r="27" spans="1:3" s="2" customFormat="1" x14ac:dyDescent="0.25">
      <c r="A27" s="2" t="s">
        <v>3094</v>
      </c>
      <c r="B27" s="33"/>
      <c r="C27" s="33"/>
    </row>
    <row r="28" spans="1:3" s="2" customFormat="1" x14ac:dyDescent="0.25">
      <c r="A28" s="2" t="s">
        <v>3095</v>
      </c>
      <c r="B28" s="1"/>
      <c r="C28" s="1"/>
    </row>
    <row r="29" spans="1:3" s="2" customFormat="1" x14ac:dyDescent="0.25">
      <c r="A29" s="2" t="s">
        <v>3096</v>
      </c>
      <c r="B29" s="1"/>
      <c r="C29" s="1"/>
    </row>
    <row r="30" spans="1:3" s="2" customFormat="1" x14ac:dyDescent="0.25">
      <c r="A30" s="2" t="s">
        <v>3097</v>
      </c>
      <c r="B30" s="33" t="s">
        <v>3371</v>
      </c>
      <c r="C30" s="33" t="s">
        <v>3371</v>
      </c>
    </row>
    <row r="31" spans="1:3" s="2" customFormat="1" x14ac:dyDescent="0.25">
      <c r="A31" s="2" t="s">
        <v>3098</v>
      </c>
      <c r="B31" s="1"/>
      <c r="C31" s="1"/>
    </row>
    <row r="32" spans="1:3" s="2" customFormat="1" x14ac:dyDescent="0.25">
      <c r="A32" s="30" t="s">
        <v>3428</v>
      </c>
      <c r="B32" s="1" t="s">
        <v>14</v>
      </c>
      <c r="C32" s="1" t="s">
        <v>14</v>
      </c>
    </row>
  </sheetData>
  <conditionalFormatting sqref="A14 A18:A20 D14:XFD20 A15:C17">
    <cfRule type="expression" dxfId="59" priority="1">
      <formula>AND(A$13&lt;&gt;"",A$13&lt;&gt;"Copy Address From")</formula>
    </cfRule>
  </conditionalFormatting>
  <dataValidations count="4">
    <dataValidation type="custom" errorStyle="information" allowBlank="1" showInputMessage="1" showErrorMessage="1" sqref="B15:C17">
      <formula1>ISBLANK(B$13)</formula1>
    </dataValidation>
    <dataValidation type="list" errorStyle="information" allowBlank="1" showInputMessage="1" showErrorMessage="1" sqref="B12:C12">
      <formula1>"Business, Company, Legal, Mailing"</formula1>
    </dataValidation>
    <dataValidation errorStyle="information" allowBlank="1" showInputMessage="1" showErrorMessage="1" sqref="B14:C14 B18:C31"/>
    <dataValidation type="list" errorStyle="information" allowBlank="1" showInputMessage="1" showErrorMessage="1" sqref="B32:C32">
      <formula1>"Dinas, Family, KPR, Rented, Self - Owned"</formula1>
    </dataValidation>
  </dataValidations>
  <pageMargins left="0.7" right="0.7" top="0.75" bottom="0.75" header="0.3" footer="0.3"/>
  <pageSetup paperSize="9" orientation="portrait"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14:formula1>
            <xm:f>Master!$AV$2:$AV$110</xm:f>
          </x14:formula1>
          <xm:sqref>D13:H13</xm:sqref>
        </x14:dataValidation>
        <x14:dataValidation type="list" errorStyle="information" allowBlank="1" showInputMessage="1" showErrorMessage="1">
          <x14:formula1>
            <xm:f>Master!$AV$2:$AV20</xm:f>
          </x14:formula1>
          <xm:sqref>B13:C13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E41"/>
  <sheetViews>
    <sheetView workbookViewId="0">
      <selection activeCell="B1" sqref="B1"/>
    </sheetView>
  </sheetViews>
  <sheetFormatPr defaultRowHeight="15" x14ac:dyDescent="0.25"/>
  <cols>
    <col min="1" max="1" width="19.5703125" bestFit="1" customWidth="1" collapsed="1"/>
    <col min="2" max="2" width="24.5703125" customWidth="1" collapsed="1"/>
    <col min="3" max="3" width="26.42578125" bestFit="1" customWidth="1" collapsed="1"/>
    <col min="4" max="4" width="24" bestFit="1" customWidth="1" collapsed="1"/>
  </cols>
  <sheetData>
    <row r="1" spans="1:5" s="2" customFormat="1" x14ac:dyDescent="0.25">
      <c r="A1" s="2" t="s">
        <v>3</v>
      </c>
      <c r="B1" t="s">
        <v>3370</v>
      </c>
      <c r="C1" s="2" t="s">
        <v>2794</v>
      </c>
      <c r="D1" s="2" t="s">
        <v>2794</v>
      </c>
      <c r="E1" s="2" t="s">
        <v>2794</v>
      </c>
    </row>
    <row r="2" spans="1:5" s="2" customFormat="1" x14ac:dyDescent="0.25">
      <c r="A2" s="2" t="s">
        <v>3405</v>
      </c>
    </row>
    <row r="3" spans="1:5" s="2" customFormat="1" x14ac:dyDescent="0.25">
      <c r="A3" s="2" t="s">
        <v>3406</v>
      </c>
    </row>
    <row r="4" spans="1:5" s="2" customFormat="1" x14ac:dyDescent="0.25">
      <c r="A4" s="2" t="s">
        <v>3429</v>
      </c>
      <c r="B4" s="2">
        <f>COUNTIFS($A$12:$A$17, "*$*",B12:B17,"")+COUNTIFS($A$19:$A$20, "*$*",B19:B20,"")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7" customFormat="1" x14ac:dyDescent="0.25">
      <c r="A11" s="44" t="s">
        <v>3086</v>
      </c>
      <c r="B11" s="45"/>
      <c r="C11" s="46"/>
    </row>
    <row r="12" spans="1:5" s="2" customFormat="1" x14ac:dyDescent="0.25">
      <c r="A12" s="30" t="s">
        <v>3437</v>
      </c>
      <c r="B12" s="2" t="s">
        <v>3395</v>
      </c>
      <c r="C12" s="2" t="s">
        <v>3395</v>
      </c>
      <c r="D12" s="2" t="s">
        <v>3395</v>
      </c>
    </row>
    <row r="13" spans="1:5" s="2" customFormat="1" x14ac:dyDescent="0.25">
      <c r="A13" s="30" t="s">
        <v>3438</v>
      </c>
      <c r="B13" s="2" t="s">
        <v>3384</v>
      </c>
      <c r="C13" s="2" t="s">
        <v>3384</v>
      </c>
      <c r="D13" s="2" t="s">
        <v>3384</v>
      </c>
    </row>
    <row r="14" spans="1:5" s="2" customFormat="1" x14ac:dyDescent="0.25">
      <c r="A14" s="2" t="s">
        <v>3439</v>
      </c>
      <c r="B14" s="2" t="s">
        <v>3396</v>
      </c>
      <c r="C14" s="2" t="s">
        <v>3396</v>
      </c>
      <c r="D14" s="2" t="s">
        <v>3396</v>
      </c>
    </row>
    <row r="15" spans="1:5" s="2" customFormat="1" x14ac:dyDescent="0.25">
      <c r="A15" s="2" t="s">
        <v>3440</v>
      </c>
      <c r="B15" s="33" t="s">
        <v>3397</v>
      </c>
      <c r="C15" s="33" t="s">
        <v>3397</v>
      </c>
      <c r="D15" s="33" t="s">
        <v>3397</v>
      </c>
    </row>
    <row r="16" spans="1:5" s="2" customFormat="1" x14ac:dyDescent="0.25">
      <c r="A16" s="2" t="s">
        <v>3442</v>
      </c>
      <c r="B16" s="34" t="s">
        <v>3383</v>
      </c>
      <c r="C16" s="34" t="s">
        <v>3412</v>
      </c>
      <c r="D16" s="34" t="s">
        <v>3413</v>
      </c>
    </row>
    <row r="17" spans="1:4" s="2" customFormat="1" x14ac:dyDescent="0.25">
      <c r="A17" s="30" t="s">
        <v>3441</v>
      </c>
      <c r="B17" s="33" t="s">
        <v>3398</v>
      </c>
      <c r="C17" s="33" t="s">
        <v>3414</v>
      </c>
      <c r="D17" s="33" t="s">
        <v>3415</v>
      </c>
    </row>
    <row r="18" spans="1:4" s="2" customFormat="1" x14ac:dyDescent="0.25">
      <c r="A18" s="2" t="s">
        <v>17</v>
      </c>
      <c r="B18" s="3"/>
      <c r="C18" s="3"/>
      <c r="D18" s="3"/>
    </row>
    <row r="19" spans="1:4" s="2" customFormat="1" x14ac:dyDescent="0.25">
      <c r="A19" s="30" t="s">
        <v>3443</v>
      </c>
      <c r="B19" s="2" t="s">
        <v>3399</v>
      </c>
      <c r="C19" s="2" t="s">
        <v>3399</v>
      </c>
      <c r="D19" s="2" t="s">
        <v>3399</v>
      </c>
    </row>
    <row r="20" spans="1:4" s="2" customFormat="1" x14ac:dyDescent="0.25">
      <c r="A20" s="30" t="s">
        <v>3444</v>
      </c>
      <c r="B20" s="2" t="s">
        <v>3063</v>
      </c>
      <c r="C20" s="2" t="s">
        <v>3063</v>
      </c>
      <c r="D20" s="2" t="s">
        <v>3063</v>
      </c>
    </row>
    <row r="21" spans="1:4" s="2" customFormat="1" x14ac:dyDescent="0.25">
      <c r="A21" s="2" t="s">
        <v>20</v>
      </c>
    </row>
    <row r="22" spans="1:4" s="2" customFormat="1" x14ac:dyDescent="0.25">
      <c r="A22" s="2" t="s">
        <v>21</v>
      </c>
      <c r="B22" s="4"/>
      <c r="C22" s="4"/>
      <c r="D22" s="4"/>
    </row>
    <row r="23" spans="1:4" s="2" customFormat="1" x14ac:dyDescent="0.25">
      <c r="A23" s="5" t="s">
        <v>22</v>
      </c>
    </row>
    <row r="24" spans="1:4" s="2" customFormat="1" x14ac:dyDescent="0.25">
      <c r="A24" s="2" t="s">
        <v>23</v>
      </c>
      <c r="B24" s="1"/>
      <c r="C24" s="1"/>
      <c r="D24" s="1"/>
    </row>
    <row r="25" spans="1:4" s="2" customFormat="1" x14ac:dyDescent="0.25">
      <c r="A25" s="2" t="s">
        <v>24</v>
      </c>
    </row>
    <row r="26" spans="1:4" s="47" customFormat="1" x14ac:dyDescent="0.25">
      <c r="A26" s="44" t="s">
        <v>3087</v>
      </c>
      <c r="B26" s="45"/>
      <c r="C26" s="45"/>
      <c r="D26" s="45"/>
    </row>
    <row r="27" spans="1:4" s="2" customFormat="1" x14ac:dyDescent="0.25">
      <c r="A27" s="2" t="s">
        <v>7</v>
      </c>
      <c r="B27" s="2" t="s">
        <v>3386</v>
      </c>
      <c r="C27" s="2" t="s">
        <v>3416</v>
      </c>
      <c r="D27" s="2" t="s">
        <v>3417</v>
      </c>
    </row>
    <row r="28" spans="1:4" s="2" customFormat="1" x14ac:dyDescent="0.25">
      <c r="A28" s="2" t="s">
        <v>8</v>
      </c>
      <c r="B28" s="33" t="s">
        <v>83</v>
      </c>
      <c r="C28" s="33" t="s">
        <v>83</v>
      </c>
      <c r="D28" s="33" t="s">
        <v>83</v>
      </c>
    </row>
    <row r="29" spans="1:4" s="2" customFormat="1" x14ac:dyDescent="0.25">
      <c r="A29" s="2" t="s">
        <v>9</v>
      </c>
      <c r="B29" s="33" t="s">
        <v>83</v>
      </c>
      <c r="C29" s="33" t="s">
        <v>83</v>
      </c>
      <c r="D29" s="33" t="s">
        <v>83</v>
      </c>
    </row>
    <row r="30" spans="1:4" s="2" customFormat="1" x14ac:dyDescent="0.25">
      <c r="A30" s="2" t="s">
        <v>25</v>
      </c>
      <c r="B30" s="1">
        <v>40266</v>
      </c>
      <c r="C30" s="1">
        <v>40267</v>
      </c>
      <c r="D30" s="1">
        <v>40268</v>
      </c>
    </row>
    <row r="31" spans="1:4" s="2" customFormat="1" x14ac:dyDescent="0.25">
      <c r="A31" s="2" t="s">
        <v>11</v>
      </c>
      <c r="B31" s="2" t="s">
        <v>3387</v>
      </c>
      <c r="C31" s="2" t="s">
        <v>3387</v>
      </c>
      <c r="D31" s="2" t="s">
        <v>3387</v>
      </c>
    </row>
    <row r="32" spans="1:4" s="2" customFormat="1" x14ac:dyDescent="0.25">
      <c r="A32" s="2" t="s">
        <v>10</v>
      </c>
      <c r="B32" s="2" t="s">
        <v>3388</v>
      </c>
      <c r="C32" s="2" t="s">
        <v>3388</v>
      </c>
      <c r="D32" s="2" t="s">
        <v>3388</v>
      </c>
    </row>
    <row r="33" spans="1:4" s="2" customFormat="1" x14ac:dyDescent="0.25">
      <c r="A33" s="2" t="s">
        <v>12</v>
      </c>
      <c r="B33" s="2" t="s">
        <v>3385</v>
      </c>
      <c r="C33" s="2" t="s">
        <v>3385</v>
      </c>
      <c r="D33" s="2" t="s">
        <v>3385</v>
      </c>
    </row>
    <row r="34" spans="1:4" s="2" customFormat="1" x14ac:dyDescent="0.25">
      <c r="A34" s="1" t="s">
        <v>3088</v>
      </c>
      <c r="B34" s="1"/>
      <c r="C34" s="1"/>
      <c r="D34" s="1"/>
    </row>
    <row r="35" spans="1:4" s="2" customFormat="1" x14ac:dyDescent="0.25">
      <c r="A35" s="1" t="s">
        <v>3089</v>
      </c>
      <c r="B35" s="1"/>
      <c r="C35" s="1"/>
      <c r="D35" s="1"/>
    </row>
    <row r="36" spans="1:4" s="2" customFormat="1" x14ac:dyDescent="0.25">
      <c r="A36" s="1" t="s">
        <v>3090</v>
      </c>
      <c r="B36" s="1"/>
      <c r="C36" s="1"/>
      <c r="D36" s="1"/>
    </row>
    <row r="37" spans="1:4" s="2" customFormat="1" x14ac:dyDescent="0.25">
      <c r="A37" s="1" t="s">
        <v>3091</v>
      </c>
      <c r="B37" s="1"/>
      <c r="C37" s="1"/>
      <c r="D37" s="1"/>
    </row>
    <row r="38" spans="1:4" s="2" customFormat="1" x14ac:dyDescent="0.25">
      <c r="A38" s="1" t="s">
        <v>3092</v>
      </c>
      <c r="B38" s="1"/>
      <c r="C38" s="1"/>
      <c r="D38" s="1"/>
    </row>
    <row r="39" spans="1:4" s="2" customFormat="1" x14ac:dyDescent="0.25">
      <c r="A39" s="1" t="s">
        <v>3093</v>
      </c>
      <c r="B39" s="1"/>
      <c r="C39" s="1"/>
      <c r="D39" s="1"/>
    </row>
    <row r="40" spans="1:4" s="2" customFormat="1" x14ac:dyDescent="0.25">
      <c r="A40" s="2" t="s">
        <v>3097</v>
      </c>
      <c r="B40" s="1"/>
      <c r="C40" s="1"/>
      <c r="D40" s="1"/>
    </row>
    <row r="41" spans="1:4" s="2" customFormat="1" x14ac:dyDescent="0.25">
      <c r="A41" s="2" t="s">
        <v>3098</v>
      </c>
      <c r="B41" s="1"/>
      <c r="C41" s="1"/>
      <c r="D41" s="1"/>
    </row>
  </sheetData>
  <conditionalFormatting sqref="A16:XFD16">
    <cfRule type="expression" dxfId="58" priority="1">
      <formula>OR(A$14="AKTA",A$14="E-KTP",A$14="NPWP")</formula>
    </cfRule>
  </conditionalFormatting>
  <dataValidations count="6">
    <dataValidation type="list" allowBlank="1" showInputMessage="1" showErrorMessage="1" sqref="B23:D23">
      <formula1>"Brother, Father, Mother, Other, Sister, Spouse"</formula1>
    </dataValidation>
    <dataValidation type="list" errorStyle="information" showInputMessage="1" showErrorMessage="1" sqref="B20:D20">
      <formula1>ListJobPosition</formula1>
    </dataValidation>
    <dataValidation type="list" errorStyle="information" allowBlank="1" showInputMessage="1" showErrorMessage="1" sqref="B14:D14">
      <formula1>"AKTA, CAT CAT, CAT IS A CAT, DESCRIPTION FOR AAA, DESCRIPTION FOR ASA, DESCRIPTION FOR KTP, E-KTP, KITAS, NPWP, SIM, KARTU TANDA MAHASISWA"</formula1>
    </dataValidation>
    <dataValidation errorStyle="information" allowBlank="1" showInputMessage="1" showErrorMessage="1" sqref="B15:D15"/>
    <dataValidation type="custom" errorStyle="information" allowBlank="1" showInputMessage="1" showErrorMessage="1" sqref="B16:D16">
      <formula1>AND(B$14&lt;&gt;"E-KTP",B$14&lt;&gt;"AKTA",B$14&lt;&gt;"NPWP")</formula1>
    </dataValidation>
    <dataValidation type="list" errorStyle="information" showInputMessage="1" showErrorMessage="1" sqref="B19:D19">
      <formula1>"Male, Female"</formula1>
    </dataValidation>
  </dataValidations>
  <pageMargins left="0.7" right="0.7" top="0.75" bottom="0.75" header="0.3" footer="0.3"/>
  <pageSetup paperSize="9"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E79"/>
  <sheetViews>
    <sheetView workbookViewId="0">
      <selection activeCell="A74" sqref="A74:XFD79"/>
    </sheetView>
  </sheetViews>
  <sheetFormatPr defaultRowHeight="15" x14ac:dyDescent="0.25"/>
  <cols>
    <col min="1" max="1" width="49.85546875" bestFit="1" customWidth="1" collapsed="1"/>
    <col min="2" max="2" width="19.140625" bestFit="1" customWidth="1" collapsed="1"/>
    <col min="3" max="3" width="19.85546875" bestFit="1" customWidth="1" collapsed="1"/>
    <col min="4" max="5" width="11.7109375" bestFit="1" customWidth="1" collapsed="1"/>
  </cols>
  <sheetData>
    <row r="1" spans="1:5" s="48" customFormat="1" x14ac:dyDescent="0.25">
      <c r="A1" s="48" t="s">
        <v>3</v>
      </c>
      <c r="B1" t="s">
        <v>3370</v>
      </c>
      <c r="C1" t="s">
        <v>3370</v>
      </c>
      <c r="D1" s="48" t="s">
        <v>2794</v>
      </c>
      <c r="E1" s="48" t="s">
        <v>2794</v>
      </c>
    </row>
    <row r="2" spans="1:5" s="2" customFormat="1" x14ac:dyDescent="0.25">
      <c r="A2" s="2" t="s">
        <v>3405</v>
      </c>
      <c r="B2" t="s">
        <v>3476</v>
      </c>
      <c r="C2" t="s">
        <v>3476</v>
      </c>
    </row>
    <row r="3" spans="1:5" s="2" customFormat="1" x14ac:dyDescent="0.25">
      <c r="A3" s="2" t="s">
        <v>3406</v>
      </c>
    </row>
    <row r="4" spans="1:5" s="2" customFormat="1" x14ac:dyDescent="0.25">
      <c r="A4" s="2" t="s">
        <v>3429</v>
      </c>
      <c r="B4" s="2">
        <f>COUNTIFS($A$12,"*$*",B12,"")+COUNTIFS($A$35,"*$*",B35,"")+IF(B10&lt;&gt;A10,COUNTIFS($A$53:$A$54,"*$*",B53:B54,"")+COUNTIFS($A$61:$A$62,"*$*",B61:B62,""),0)</f>
        <v>0</v>
      </c>
      <c r="C4" s="2">
        <f>COUNTIFS($A$12,"*$*",C12,"")+COUNTIFS($A$35,"*$*",C35,"")+IF(C10&lt;&gt;B10,COUNTIFS($A$53:$A$54,"*$*",C53:C54,"")+COUNTIFS($A$61:$A$62,"*$*",C61:C62,""),0)</f>
        <v>0</v>
      </c>
      <c r="D4" s="2">
        <f t="shared" ref="D4:E4" si="0">COUNTIFS($A$12,"*$*",D12,"")+COUNTIFS($A$35,"*$*",D35,"")+IF(D10&lt;&gt;C10,COUNTIFS($A$53:$A$54,"*$*",D53:D54,"")+COUNTIFS($A$61:$A$62,"*$*",D61:D62,""),0)</f>
        <v>0</v>
      </c>
      <c r="E4" s="2">
        <f t="shared" si="0"/>
        <v>0</v>
      </c>
    </row>
    <row r="5" spans="1:5" s="2" customFormat="1" x14ac:dyDescent="0.25"/>
    <row r="6" spans="1:5" s="2" customFormat="1" x14ac:dyDescent="0.25"/>
    <row r="7" spans="1:5" s="2" customFormat="1" x14ac:dyDescent="0.25"/>
    <row r="8" spans="1:5" s="51" customFormat="1" x14ac:dyDescent="0.25"/>
    <row r="9" spans="1:5" s="2" customFormat="1" x14ac:dyDescent="0.25">
      <c r="A9" s="2" t="s">
        <v>3084</v>
      </c>
      <c r="B9" s="2" t="str">
        <f>'1.CustomerDetail'!B12</f>
        <v>0002APP20211204046</v>
      </c>
      <c r="C9" s="2" t="str">
        <f>'1.CustomerDetail'!B12</f>
        <v>0002APP20211204046</v>
      </c>
    </row>
    <row r="10" spans="1:5" s="2" customFormat="1" x14ac:dyDescent="0.25">
      <c r="A10" s="2" t="s">
        <v>3479</v>
      </c>
      <c r="B10" s="2" t="str">
        <f>'1.CustomerDetail'!B13</f>
        <v>PT POKE</v>
      </c>
      <c r="C10" s="2" t="str">
        <f>'1.CustomerDetail'!B13</f>
        <v>PT POKE</v>
      </c>
    </row>
    <row r="11" spans="1:5" s="55" customFormat="1" x14ac:dyDescent="0.25">
      <c r="A11" s="52" t="s">
        <v>3100</v>
      </c>
      <c r="B11" s="53"/>
      <c r="C11" s="54"/>
    </row>
    <row r="12" spans="1:5" s="2" customFormat="1" x14ac:dyDescent="0.25">
      <c r="A12" s="31" t="s">
        <v>3445</v>
      </c>
      <c r="B12" s="35">
        <v>0</v>
      </c>
      <c r="C12" s="35">
        <v>0</v>
      </c>
      <c r="D12" s="35">
        <v>0</v>
      </c>
      <c r="E12" s="35">
        <v>0</v>
      </c>
    </row>
    <row r="13" spans="1:5" s="2" customFormat="1" x14ac:dyDescent="0.25">
      <c r="A13" s="1" t="s">
        <v>3099</v>
      </c>
      <c r="B13" s="36">
        <v>0</v>
      </c>
      <c r="C13" s="36">
        <v>0</v>
      </c>
      <c r="D13" s="36">
        <v>0</v>
      </c>
      <c r="E13" s="36">
        <v>0</v>
      </c>
    </row>
    <row r="14" spans="1:5" s="2" customFormat="1" x14ac:dyDescent="0.25">
      <c r="A14" s="1" t="s">
        <v>26</v>
      </c>
      <c r="B14" s="37">
        <v>1</v>
      </c>
      <c r="C14" s="37">
        <v>1</v>
      </c>
      <c r="D14" s="37">
        <v>1</v>
      </c>
      <c r="E14" s="37">
        <v>1</v>
      </c>
    </row>
    <row r="15" spans="1:5" s="2" customFormat="1" x14ac:dyDescent="0.25">
      <c r="A15" s="1" t="s">
        <v>27</v>
      </c>
      <c r="B15" s="37">
        <v>1</v>
      </c>
      <c r="C15" s="37">
        <v>1</v>
      </c>
      <c r="D15" s="37">
        <v>1</v>
      </c>
      <c r="E15" s="37">
        <v>1</v>
      </c>
    </row>
    <row r="16" spans="1:5" s="2" customFormat="1" x14ac:dyDescent="0.25">
      <c r="A16" s="1" t="s">
        <v>28</v>
      </c>
      <c r="B16" s="37">
        <v>1</v>
      </c>
      <c r="C16" s="37">
        <v>1</v>
      </c>
      <c r="D16" s="37">
        <v>1</v>
      </c>
      <c r="E16" s="37">
        <v>1</v>
      </c>
    </row>
    <row r="17" spans="1:5" s="2" customFormat="1" x14ac:dyDescent="0.25">
      <c r="A17" s="1" t="s">
        <v>29</v>
      </c>
      <c r="B17" s="37">
        <v>1</v>
      </c>
      <c r="C17" s="37">
        <v>1</v>
      </c>
      <c r="D17" s="37">
        <v>1</v>
      </c>
      <c r="E17" s="37">
        <v>1</v>
      </c>
    </row>
    <row r="18" spans="1:5" s="2" customFormat="1" x14ac:dyDescent="0.25">
      <c r="A18" s="1" t="s">
        <v>30</v>
      </c>
      <c r="B18" s="37">
        <v>1</v>
      </c>
      <c r="C18" s="37">
        <v>1</v>
      </c>
      <c r="D18" s="37">
        <v>1</v>
      </c>
      <c r="E18" s="37">
        <v>1</v>
      </c>
    </row>
    <row r="19" spans="1:5" s="2" customFormat="1" x14ac:dyDescent="0.25">
      <c r="A19" s="1" t="s">
        <v>31</v>
      </c>
      <c r="B19" s="37">
        <v>1</v>
      </c>
      <c r="C19" s="37">
        <v>1</v>
      </c>
      <c r="D19" s="37">
        <v>1</v>
      </c>
      <c r="E19" s="37">
        <v>1</v>
      </c>
    </row>
    <row r="20" spans="1:5" s="2" customFormat="1" x14ac:dyDescent="0.25">
      <c r="A20" s="1" t="s">
        <v>32</v>
      </c>
      <c r="B20" s="37">
        <v>1</v>
      </c>
      <c r="C20" s="37">
        <v>1</v>
      </c>
      <c r="D20" s="37">
        <v>1</v>
      </c>
      <c r="E20" s="37">
        <v>1</v>
      </c>
    </row>
    <row r="21" spans="1:5" s="2" customFormat="1" x14ac:dyDescent="0.25">
      <c r="A21" s="1" t="s">
        <v>33</v>
      </c>
      <c r="B21" s="37">
        <v>1</v>
      </c>
      <c r="C21" s="37">
        <v>1</v>
      </c>
      <c r="D21" s="37">
        <v>1</v>
      </c>
      <c r="E21" s="37">
        <v>1</v>
      </c>
    </row>
    <row r="22" spans="1:5" s="2" customFormat="1" x14ac:dyDescent="0.25">
      <c r="A22" s="1" t="s">
        <v>34</v>
      </c>
      <c r="B22" s="37">
        <v>1</v>
      </c>
      <c r="C22" s="37">
        <v>1</v>
      </c>
      <c r="D22" s="37">
        <v>1</v>
      </c>
      <c r="E22" s="37">
        <v>1</v>
      </c>
    </row>
    <row r="23" spans="1:5" s="2" customFormat="1" x14ac:dyDescent="0.25">
      <c r="A23" s="1" t="s">
        <v>35</v>
      </c>
      <c r="B23" s="36">
        <v>0</v>
      </c>
      <c r="C23" s="36">
        <v>0</v>
      </c>
      <c r="D23" s="36">
        <v>0</v>
      </c>
      <c r="E23" s="36">
        <v>0</v>
      </c>
    </row>
    <row r="24" spans="1:5" s="2" customFormat="1" x14ac:dyDescent="0.25">
      <c r="A24" s="1" t="s">
        <v>36</v>
      </c>
      <c r="B24" s="36">
        <v>0</v>
      </c>
      <c r="C24" s="36">
        <v>0</v>
      </c>
      <c r="D24" s="36">
        <v>0</v>
      </c>
      <c r="E24" s="36">
        <v>0</v>
      </c>
    </row>
    <row r="25" spans="1:5" s="2" customFormat="1" x14ac:dyDescent="0.25">
      <c r="A25" s="1" t="s">
        <v>37</v>
      </c>
      <c r="B25" s="36">
        <v>0</v>
      </c>
      <c r="C25" s="36">
        <v>0</v>
      </c>
      <c r="D25" s="36">
        <v>0</v>
      </c>
      <c r="E25" s="36">
        <v>0</v>
      </c>
    </row>
    <row r="26" spans="1:5" s="2" customFormat="1" x14ac:dyDescent="0.25">
      <c r="A26" s="1" t="s">
        <v>38</v>
      </c>
      <c r="B26" s="36">
        <v>0</v>
      </c>
      <c r="C26" s="36">
        <v>0</v>
      </c>
      <c r="D26" s="36">
        <v>0</v>
      </c>
      <c r="E26" s="36">
        <v>0</v>
      </c>
    </row>
    <row r="27" spans="1:5" s="2" customFormat="1" x14ac:dyDescent="0.25">
      <c r="A27" s="1" t="s">
        <v>39</v>
      </c>
      <c r="B27" s="36">
        <v>0</v>
      </c>
      <c r="C27" s="36">
        <v>0</v>
      </c>
      <c r="D27" s="36">
        <v>0</v>
      </c>
      <c r="E27" s="36">
        <v>0</v>
      </c>
    </row>
    <row r="28" spans="1:5" s="2" customFormat="1" x14ac:dyDescent="0.25">
      <c r="A28" s="1" t="s">
        <v>40</v>
      </c>
      <c r="B28" s="36">
        <v>0</v>
      </c>
      <c r="C28" s="36">
        <v>0</v>
      </c>
      <c r="D28" s="36">
        <v>0</v>
      </c>
      <c r="E28" s="36">
        <v>0</v>
      </c>
    </row>
    <row r="29" spans="1:5" s="2" customFormat="1" x14ac:dyDescent="0.25">
      <c r="A29" s="1" t="s">
        <v>41</v>
      </c>
      <c r="B29" s="36">
        <v>0</v>
      </c>
      <c r="C29" s="36">
        <v>0</v>
      </c>
      <c r="D29" s="36">
        <v>0</v>
      </c>
      <c r="E29" s="36">
        <v>0</v>
      </c>
    </row>
    <row r="30" spans="1:5" s="2" customFormat="1" x14ac:dyDescent="0.25">
      <c r="A30" s="1" t="s">
        <v>42</v>
      </c>
      <c r="B30" s="36">
        <v>0</v>
      </c>
      <c r="C30" s="36">
        <v>0</v>
      </c>
      <c r="D30" s="36">
        <v>0</v>
      </c>
      <c r="E30" s="36">
        <v>0</v>
      </c>
    </row>
    <row r="31" spans="1:5" s="2" customFormat="1" x14ac:dyDescent="0.25">
      <c r="A31" s="1" t="s">
        <v>43</v>
      </c>
      <c r="B31" s="36">
        <v>0</v>
      </c>
      <c r="C31" s="36">
        <v>0</v>
      </c>
      <c r="D31" s="36">
        <v>0</v>
      </c>
      <c r="E31" s="36">
        <v>0</v>
      </c>
    </row>
    <row r="32" spans="1:5" s="2" customFormat="1" x14ac:dyDescent="0.25">
      <c r="A32" s="1" t="s">
        <v>44</v>
      </c>
      <c r="B32" s="36">
        <v>0</v>
      </c>
      <c r="C32" s="36">
        <v>0</v>
      </c>
      <c r="D32" s="36">
        <v>0</v>
      </c>
      <c r="E32" s="36">
        <v>0</v>
      </c>
    </row>
    <row r="33" spans="1:5" s="2" customFormat="1" x14ac:dyDescent="0.25">
      <c r="A33" s="1" t="s">
        <v>45</v>
      </c>
      <c r="B33" s="36">
        <v>0</v>
      </c>
      <c r="C33" s="36">
        <v>0</v>
      </c>
      <c r="D33" s="36">
        <v>0</v>
      </c>
      <c r="E33" s="36">
        <v>0</v>
      </c>
    </row>
    <row r="34" spans="1:5" s="2" customFormat="1" x14ac:dyDescent="0.25">
      <c r="A34" s="1" t="s">
        <v>46</v>
      </c>
      <c r="B34" s="36">
        <v>0</v>
      </c>
      <c r="C34" s="36">
        <v>0</v>
      </c>
      <c r="D34" s="36">
        <v>0</v>
      </c>
      <c r="E34" s="36">
        <v>0</v>
      </c>
    </row>
    <row r="35" spans="1:5" s="2" customFormat="1" x14ac:dyDescent="0.25">
      <c r="A35" s="31" t="s">
        <v>3446</v>
      </c>
      <c r="B35" s="34" t="s">
        <v>3400</v>
      </c>
      <c r="C35" s="34" t="s">
        <v>3407</v>
      </c>
      <c r="D35" s="34" t="s">
        <v>3408</v>
      </c>
      <c r="E35" s="34" t="s">
        <v>3409</v>
      </c>
    </row>
    <row r="36" spans="1:5" s="47" customFormat="1" x14ac:dyDescent="0.25">
      <c r="A36" s="44" t="s">
        <v>3101</v>
      </c>
      <c r="B36" s="45"/>
      <c r="C36" s="45"/>
      <c r="D36" s="45"/>
      <c r="E36" s="45"/>
    </row>
    <row r="37" spans="1:5" s="2" customFormat="1" x14ac:dyDescent="0.25">
      <c r="A37" s="2" t="s">
        <v>47</v>
      </c>
      <c r="B37" s="35">
        <v>0</v>
      </c>
      <c r="C37" s="35"/>
      <c r="D37" s="35">
        <v>0</v>
      </c>
      <c r="E37" s="35">
        <v>0</v>
      </c>
    </row>
    <row r="38" spans="1:5" s="2" customFormat="1" x14ac:dyDescent="0.25">
      <c r="A38" s="2" t="s">
        <v>48</v>
      </c>
      <c r="B38" s="35">
        <v>0</v>
      </c>
      <c r="C38" s="35"/>
      <c r="D38" s="35">
        <v>0</v>
      </c>
      <c r="E38" s="35">
        <v>0</v>
      </c>
    </row>
    <row r="39" spans="1:5" s="2" customFormat="1" x14ac:dyDescent="0.25">
      <c r="A39" s="2" t="s">
        <v>49</v>
      </c>
      <c r="B39" s="35">
        <v>0</v>
      </c>
      <c r="C39" s="35"/>
      <c r="D39" s="35">
        <v>0</v>
      </c>
      <c r="E39" s="35">
        <v>0</v>
      </c>
    </row>
    <row r="40" spans="1:5" s="2" customFormat="1" x14ac:dyDescent="0.25">
      <c r="A40" s="2" t="s">
        <v>50</v>
      </c>
      <c r="B40" s="35">
        <v>0</v>
      </c>
      <c r="C40" s="35"/>
      <c r="D40" s="35">
        <v>0</v>
      </c>
      <c r="E40" s="35">
        <v>0</v>
      </c>
    </row>
    <row r="41" spans="1:5" s="2" customFormat="1" x14ac:dyDescent="0.25">
      <c r="A41" s="2" t="s">
        <v>51</v>
      </c>
      <c r="B41" s="35">
        <v>0</v>
      </c>
      <c r="C41" s="35"/>
      <c r="D41" s="35">
        <v>0</v>
      </c>
      <c r="E41" s="35">
        <v>0</v>
      </c>
    </row>
    <row r="42" spans="1:5" s="2" customFormat="1" x14ac:dyDescent="0.25">
      <c r="A42" s="2" t="s">
        <v>52</v>
      </c>
      <c r="B42" s="35">
        <v>0</v>
      </c>
      <c r="C42" s="35"/>
      <c r="D42" s="35">
        <v>0</v>
      </c>
      <c r="E42" s="35">
        <v>0</v>
      </c>
    </row>
    <row r="43" spans="1:5" s="2" customFormat="1" x14ac:dyDescent="0.25">
      <c r="A43" s="2" t="s">
        <v>53</v>
      </c>
      <c r="B43" s="35">
        <v>0</v>
      </c>
      <c r="C43" s="35"/>
      <c r="D43" s="35">
        <v>0</v>
      </c>
      <c r="E43" s="35">
        <v>0</v>
      </c>
    </row>
    <row r="44" spans="1:5" s="2" customFormat="1" x14ac:dyDescent="0.25">
      <c r="A44" s="2" t="s">
        <v>54</v>
      </c>
      <c r="B44" s="35">
        <v>0</v>
      </c>
      <c r="C44" s="35"/>
      <c r="D44" s="35">
        <v>0</v>
      </c>
      <c r="E44" s="35">
        <v>0</v>
      </c>
    </row>
    <row r="45" spans="1:5" s="2" customFormat="1" x14ac:dyDescent="0.25">
      <c r="A45" s="2" t="s">
        <v>55</v>
      </c>
      <c r="B45" s="35">
        <v>0</v>
      </c>
      <c r="C45" s="35"/>
      <c r="D45" s="35">
        <v>0</v>
      </c>
      <c r="E45" s="35">
        <v>0</v>
      </c>
    </row>
    <row r="46" spans="1:5" s="2" customFormat="1" x14ac:dyDescent="0.25">
      <c r="A46" s="2" t="s">
        <v>56</v>
      </c>
      <c r="B46" s="35">
        <v>0</v>
      </c>
      <c r="C46" s="35"/>
      <c r="D46" s="35">
        <v>0</v>
      </c>
      <c r="E46" s="35">
        <v>0</v>
      </c>
    </row>
    <row r="47" spans="1:5" s="2" customFormat="1" x14ac:dyDescent="0.25">
      <c r="A47" s="2" t="s">
        <v>57</v>
      </c>
      <c r="B47" s="35">
        <v>0</v>
      </c>
      <c r="C47" s="35"/>
      <c r="D47" s="35">
        <v>0</v>
      </c>
      <c r="E47" s="35">
        <v>0</v>
      </c>
    </row>
    <row r="48" spans="1:5" s="2" customFormat="1" x14ac:dyDescent="0.25">
      <c r="A48" s="2" t="s">
        <v>58</v>
      </c>
      <c r="B48" s="35">
        <v>0</v>
      </c>
      <c r="C48" s="35"/>
      <c r="D48" s="35">
        <v>0</v>
      </c>
      <c r="E48" s="35">
        <v>0</v>
      </c>
    </row>
    <row r="49" spans="1:5" s="2" customFormat="1" x14ac:dyDescent="0.25">
      <c r="A49" s="2" t="s">
        <v>59</v>
      </c>
      <c r="B49" s="35">
        <v>0</v>
      </c>
      <c r="C49" s="35"/>
      <c r="D49" s="35">
        <v>0</v>
      </c>
      <c r="E49" s="35">
        <v>0</v>
      </c>
    </row>
    <row r="50" spans="1:5" s="2" customFormat="1" x14ac:dyDescent="0.25">
      <c r="A50" s="2" t="s">
        <v>60</v>
      </c>
      <c r="B50" s="35">
        <v>0</v>
      </c>
      <c r="C50" s="35"/>
      <c r="D50" s="35">
        <v>0</v>
      </c>
      <c r="E50" s="35">
        <v>0</v>
      </c>
    </row>
    <row r="51" spans="1:5" s="2" customFormat="1" x14ac:dyDescent="0.25">
      <c r="A51" s="2" t="s">
        <v>61</v>
      </c>
      <c r="B51" s="35">
        <v>0</v>
      </c>
      <c r="C51" s="35"/>
      <c r="D51" s="35">
        <v>0</v>
      </c>
      <c r="E51" s="35">
        <v>0</v>
      </c>
    </row>
    <row r="52" spans="1:5" s="2" customFormat="1" x14ac:dyDescent="0.25">
      <c r="A52" s="2" t="s">
        <v>62</v>
      </c>
      <c r="B52" s="35">
        <v>0</v>
      </c>
      <c r="C52" s="35"/>
      <c r="D52" s="35">
        <v>0</v>
      </c>
      <c r="E52" s="35">
        <v>0</v>
      </c>
    </row>
    <row r="53" spans="1:5" s="2" customFormat="1" x14ac:dyDescent="0.25">
      <c r="A53" s="30" t="s">
        <v>3471</v>
      </c>
      <c r="B53" s="35">
        <v>0</v>
      </c>
      <c r="C53" s="35"/>
      <c r="D53" s="35">
        <v>0</v>
      </c>
      <c r="E53" s="35">
        <v>0</v>
      </c>
    </row>
    <row r="54" spans="1:5" s="2" customFormat="1" x14ac:dyDescent="0.25">
      <c r="A54" s="30" t="s">
        <v>3472</v>
      </c>
      <c r="B54" s="35">
        <v>0</v>
      </c>
      <c r="C54" s="35"/>
      <c r="D54" s="35">
        <v>0</v>
      </c>
      <c r="E54" s="35">
        <v>0</v>
      </c>
    </row>
    <row r="55" spans="1:5" s="2" customFormat="1" x14ac:dyDescent="0.25">
      <c r="A55" s="2" t="s">
        <v>63</v>
      </c>
      <c r="B55" s="35">
        <v>0</v>
      </c>
      <c r="C55" s="35"/>
      <c r="D55" s="35">
        <v>0</v>
      </c>
      <c r="E55" s="35">
        <v>0</v>
      </c>
    </row>
    <row r="56" spans="1:5" s="2" customFormat="1" x14ac:dyDescent="0.25">
      <c r="A56" s="2" t="s">
        <v>64</v>
      </c>
      <c r="B56" s="35">
        <v>0</v>
      </c>
      <c r="C56" s="35"/>
      <c r="D56" s="35">
        <v>0</v>
      </c>
      <c r="E56" s="35">
        <v>0</v>
      </c>
    </row>
    <row r="57" spans="1:5" s="2" customFormat="1" x14ac:dyDescent="0.25">
      <c r="A57" s="2" t="s">
        <v>65</v>
      </c>
      <c r="B57" s="35">
        <v>0</v>
      </c>
      <c r="C57" s="35"/>
      <c r="D57" s="35">
        <v>0</v>
      </c>
      <c r="E57" s="35">
        <v>0</v>
      </c>
    </row>
    <row r="58" spans="1:5" s="2" customFormat="1" x14ac:dyDescent="0.25">
      <c r="A58" s="2" t="s">
        <v>66</v>
      </c>
      <c r="B58" s="35">
        <v>0</v>
      </c>
      <c r="C58" s="35"/>
      <c r="D58" s="35">
        <v>0</v>
      </c>
      <c r="E58" s="35">
        <v>0</v>
      </c>
    </row>
    <row r="59" spans="1:5" s="2" customFormat="1" x14ac:dyDescent="0.25">
      <c r="A59" s="2" t="s">
        <v>67</v>
      </c>
      <c r="B59" s="35">
        <v>0</v>
      </c>
      <c r="C59" s="35"/>
      <c r="D59" s="35">
        <v>0</v>
      </c>
      <c r="E59" s="35">
        <v>0</v>
      </c>
    </row>
    <row r="60" spans="1:5" s="2" customFormat="1" x14ac:dyDescent="0.25">
      <c r="A60" s="2" t="s">
        <v>68</v>
      </c>
      <c r="B60" s="35">
        <v>0</v>
      </c>
      <c r="C60" s="35"/>
      <c r="D60" s="35">
        <v>0</v>
      </c>
      <c r="E60" s="35">
        <v>0</v>
      </c>
    </row>
    <row r="61" spans="1:5" s="2" customFormat="1" x14ac:dyDescent="0.25">
      <c r="A61" s="30" t="s">
        <v>3473</v>
      </c>
      <c r="B61" s="35">
        <v>0</v>
      </c>
      <c r="C61" s="35"/>
      <c r="D61" s="35">
        <v>0</v>
      </c>
      <c r="E61" s="35">
        <v>0</v>
      </c>
    </row>
    <row r="62" spans="1:5" s="2" customFormat="1" x14ac:dyDescent="0.25">
      <c r="A62" s="30" t="s">
        <v>3474</v>
      </c>
      <c r="B62" s="35">
        <v>0</v>
      </c>
      <c r="C62" s="35"/>
      <c r="D62" s="35">
        <v>0</v>
      </c>
      <c r="E62" s="35">
        <v>0</v>
      </c>
    </row>
    <row r="63" spans="1:5" s="2" customFormat="1" x14ac:dyDescent="0.25">
      <c r="A63" s="2" t="s">
        <v>69</v>
      </c>
      <c r="B63" s="35">
        <v>0</v>
      </c>
      <c r="C63" s="35"/>
      <c r="D63" s="35">
        <v>0</v>
      </c>
      <c r="E63" s="35">
        <v>0</v>
      </c>
    </row>
    <row r="64" spans="1:5" s="2" customFormat="1" x14ac:dyDescent="0.25">
      <c r="A64" s="2" t="s">
        <v>70</v>
      </c>
      <c r="B64" s="35">
        <v>0</v>
      </c>
      <c r="C64" s="35"/>
      <c r="D64" s="35">
        <v>0</v>
      </c>
      <c r="E64" s="35">
        <v>0</v>
      </c>
    </row>
    <row r="65" spans="1:5" s="47" customFormat="1" x14ac:dyDescent="0.25">
      <c r="A65" s="44" t="s">
        <v>3102</v>
      </c>
      <c r="B65" s="45"/>
      <c r="C65" s="45"/>
      <c r="D65" s="45"/>
      <c r="E65" s="45"/>
    </row>
    <row r="66" spans="1:5" s="2" customFormat="1" x14ac:dyDescent="0.25">
      <c r="A66" s="32" t="s">
        <v>71</v>
      </c>
      <c r="B66" s="1" t="str">
        <f>VLOOKUP(B$67,Master!$AS:$AT,2,FALSE)</f>
        <v>014</v>
      </c>
      <c r="C66" s="1" t="str">
        <f>VLOOKUP(C$67,Master!$AS:$AT,2,FALSE)</f>
        <v>019</v>
      </c>
      <c r="D66" s="1" t="str">
        <f>VLOOKUP(D$67,Master!$AS:$AT,2,FALSE)</f>
        <v>014</v>
      </c>
      <c r="E66" s="1" t="str">
        <f>VLOOKUP(E$67,Master!$AS:$AT,2,FALSE)</f>
        <v>014</v>
      </c>
    </row>
    <row r="67" spans="1:5" s="2" customFormat="1" x14ac:dyDescent="0.25">
      <c r="A67" s="31" t="s">
        <v>72</v>
      </c>
      <c r="B67" s="1" t="s">
        <v>3124</v>
      </c>
      <c r="C67" s="1" t="s">
        <v>3128</v>
      </c>
      <c r="D67" s="1" t="s">
        <v>3124</v>
      </c>
      <c r="E67" s="1" t="s">
        <v>3124</v>
      </c>
    </row>
    <row r="68" spans="1:5" s="2" customFormat="1" x14ac:dyDescent="0.25">
      <c r="A68" s="31" t="s">
        <v>73</v>
      </c>
      <c r="B68" s="1" t="s">
        <v>3051</v>
      </c>
      <c r="C68" s="1" t="s">
        <v>3489</v>
      </c>
      <c r="D68" s="1" t="s">
        <v>3051</v>
      </c>
      <c r="E68" s="1" t="s">
        <v>3051</v>
      </c>
    </row>
    <row r="69" spans="1:5" s="2" customFormat="1" x14ac:dyDescent="0.25">
      <c r="A69" s="31" t="s">
        <v>74</v>
      </c>
      <c r="B69" s="1" t="s">
        <v>3401</v>
      </c>
      <c r="C69" s="1" t="s">
        <v>3490</v>
      </c>
      <c r="D69" s="1" t="s">
        <v>3401</v>
      </c>
      <c r="E69" s="1" t="s">
        <v>3401</v>
      </c>
    </row>
    <row r="70" spans="1:5" s="2" customFormat="1" x14ac:dyDescent="0.25">
      <c r="A70" s="31" t="s">
        <v>75</v>
      </c>
      <c r="B70" s="33" t="s">
        <v>3402</v>
      </c>
      <c r="C70" s="33" t="s">
        <v>3491</v>
      </c>
      <c r="D70" s="33" t="s">
        <v>3410</v>
      </c>
      <c r="E70" s="33" t="s">
        <v>3411</v>
      </c>
    </row>
    <row r="71" spans="1:5" s="2" customFormat="1" x14ac:dyDescent="0.25">
      <c r="A71" s="2" t="s">
        <v>76</v>
      </c>
      <c r="B71" s="2" t="s">
        <v>3403</v>
      </c>
      <c r="C71" s="2" t="s">
        <v>3435</v>
      </c>
      <c r="D71" s="2" t="s">
        <v>3403</v>
      </c>
      <c r="E71" s="2" t="s">
        <v>3403</v>
      </c>
    </row>
    <row r="72" spans="1:5" s="2" customFormat="1" x14ac:dyDescent="0.25">
      <c r="A72" s="2" t="s">
        <v>77</v>
      </c>
      <c r="B72" s="2" t="s">
        <v>3403</v>
      </c>
      <c r="C72" s="2" t="s">
        <v>3403</v>
      </c>
      <c r="D72" s="2" t="s">
        <v>3403</v>
      </c>
      <c r="E72" s="2" t="s">
        <v>3403</v>
      </c>
    </row>
    <row r="73" spans="1:5" s="2" customFormat="1" x14ac:dyDescent="0.25">
      <c r="A73" s="31" t="s">
        <v>78</v>
      </c>
      <c r="B73" s="40">
        <v>1000000</v>
      </c>
      <c r="C73" s="40">
        <v>1000000</v>
      </c>
      <c r="D73" s="40">
        <v>2</v>
      </c>
      <c r="E73" s="40">
        <v>3</v>
      </c>
    </row>
    <row r="74" spans="1:5" s="2" customFormat="1" x14ac:dyDescent="0.25">
      <c r="A74" s="31" t="s">
        <v>3499</v>
      </c>
      <c r="B74" s="2" t="s">
        <v>3500</v>
      </c>
    </row>
    <row r="75" spans="1:5" s="2" customFormat="1" x14ac:dyDescent="0.25">
      <c r="A75" s="31" t="s">
        <v>3492</v>
      </c>
      <c r="B75" s="2" t="s">
        <v>3493</v>
      </c>
    </row>
    <row r="76" spans="1:5" s="2" customFormat="1" x14ac:dyDescent="0.25">
      <c r="A76" s="31" t="s">
        <v>3494</v>
      </c>
      <c r="B76" s="2" t="s">
        <v>3485</v>
      </c>
    </row>
    <row r="77" spans="1:5" s="2" customFormat="1" x14ac:dyDescent="0.25">
      <c r="A77" s="31" t="s">
        <v>3495</v>
      </c>
      <c r="B77" s="2" t="s">
        <v>3485</v>
      </c>
    </row>
    <row r="78" spans="1:5" s="2" customFormat="1" x14ac:dyDescent="0.25">
      <c r="A78" s="31" t="s">
        <v>3496</v>
      </c>
      <c r="B78" s="2" t="s">
        <v>3485</v>
      </c>
    </row>
    <row r="79" spans="1:5" s="2" customFormat="1" x14ac:dyDescent="0.25">
      <c r="A79" s="31" t="s">
        <v>3497</v>
      </c>
      <c r="B79" s="2" t="s">
        <v>3498</v>
      </c>
    </row>
  </sheetData>
  <mergeCells count="1">
    <mergeCell ref="A11:XFD11"/>
  </mergeCells>
  <dataValidations count="6">
    <dataValidation type="whole" errorStyle="information" allowBlank="1" showInputMessage="1" showErrorMessage="1" sqref="B12:E12">
      <formula1>0</formula1>
      <formula2>9.99999999999999E+33</formula2>
    </dataValidation>
    <dataValidation type="whole" errorStyle="information" allowBlank="1" showInputMessage="1" showErrorMessage="1" sqref="B73:E73">
      <formula1>0</formula1>
      <formula2>9.99999999999999E+30</formula2>
    </dataValidation>
    <dataValidation type="list" errorStyle="information" allowBlank="1" showInputMessage="1" showErrorMessage="1" sqref="B67:E67">
      <formula1>ListBank</formula1>
    </dataValidation>
    <dataValidation errorStyle="information" allowBlank="1" showInputMessage="1" showErrorMessage="1" sqref="B13:E35 B68:E69"/>
    <dataValidation type="whole" errorStyle="information" allowBlank="1" showInputMessage="1" showErrorMessage="1" sqref="B37:E64">
      <formula1>0</formula1>
      <formula2>9.99999999999999E+25</formula2>
    </dataValidation>
    <dataValidation type="list" errorStyle="information" allowBlank="1" showInputMessage="1" showErrorMessage="1" sqref="B71:E72">
      <formula1>"Yes, No"</formula1>
    </dataValidation>
  </dataValidation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16"/>
  <sheetViews>
    <sheetView workbookViewId="0">
      <selection activeCell="B16" sqref="B16"/>
    </sheetView>
  </sheetViews>
  <sheetFormatPr defaultRowHeight="15" x14ac:dyDescent="0.25"/>
  <cols>
    <col min="1" max="1" width="16.140625" bestFit="1" customWidth="1" collapsed="1"/>
    <col min="2" max="3" width="18.140625" bestFit="1" customWidth="1" collapsed="1"/>
  </cols>
  <sheetData>
    <row r="1" spans="1:5" s="2" customFormat="1" x14ac:dyDescent="0.25">
      <c r="A1" s="2" t="s">
        <v>3</v>
      </c>
      <c r="B1" t="s">
        <v>3488</v>
      </c>
      <c r="C1" s="2" t="s">
        <v>2794</v>
      </c>
      <c r="D1" s="2" t="s">
        <v>2794</v>
      </c>
      <c r="E1" s="2" t="s">
        <v>2794</v>
      </c>
    </row>
    <row r="2" spans="1:5" s="2" customFormat="1" x14ac:dyDescent="0.25">
      <c r="A2" s="2" t="s">
        <v>3405</v>
      </c>
    </row>
    <row r="3" spans="1:5" s="2" customFormat="1" x14ac:dyDescent="0.25">
      <c r="A3" s="2" t="s">
        <v>3406</v>
      </c>
    </row>
    <row r="4" spans="1:5" s="2" customFormat="1" x14ac:dyDescent="0.25">
      <c r="A4" s="2" t="s">
        <v>3429</v>
      </c>
      <c r="B4" s="2">
        <f>IF(B12="Yes",COUNTIFS($A$13:$A$16,"*$*",B13:B16,""),0)</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49" customFormat="1" x14ac:dyDescent="0.25">
      <c r="A12" s="49" t="s">
        <v>3486</v>
      </c>
      <c r="B12" s="50" t="s">
        <v>3403</v>
      </c>
    </row>
    <row r="13" spans="1:5" s="2" customFormat="1" x14ac:dyDescent="0.25">
      <c r="A13" s="31" t="s">
        <v>3480</v>
      </c>
      <c r="B13" s="2" t="s">
        <v>3483</v>
      </c>
    </row>
    <row r="14" spans="1:5" s="2" customFormat="1" x14ac:dyDescent="0.25">
      <c r="A14" s="2" t="s">
        <v>79</v>
      </c>
      <c r="B14" s="2" t="s">
        <v>3485</v>
      </c>
    </row>
    <row r="15" spans="1:5" s="2" customFormat="1" x14ac:dyDescent="0.25">
      <c r="A15" s="31" t="s">
        <v>3481</v>
      </c>
      <c r="B15" s="13" t="s">
        <v>3487</v>
      </c>
      <c r="C15" s="13"/>
      <c r="D15" s="13"/>
      <c r="E15" s="13"/>
    </row>
    <row r="16" spans="1:5" s="2" customFormat="1" x14ac:dyDescent="0.25">
      <c r="A16" s="31" t="s">
        <v>3482</v>
      </c>
      <c r="B16" s="2" t="s">
        <v>3484</v>
      </c>
    </row>
  </sheetData>
  <dataValidations count="4">
    <dataValidation type="list" errorStyle="information" showInputMessage="1" showErrorMessage="1" sqref="C13:E13">
      <formula1>"Mobil, Motor, Rumah"</formula1>
    </dataValidation>
    <dataValidation errorStyle="information" allowBlank="1" showInputMessage="1" showErrorMessage="1" sqref="B14:E14 B15 B16"/>
    <dataValidation type="whole" errorStyle="information" allowBlank="1" showInputMessage="1" showErrorMessage="1" sqref="C15:E16">
      <formula1>0</formula1>
      <formula2>9.99999999999999E+36</formula2>
    </dataValidation>
    <dataValidation errorStyle="information" showInputMessage="1" showErrorMessage="1" sqref="B13"/>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E20"/>
  <sheetViews>
    <sheetView workbookViewId="0">
      <selection activeCell="A4" sqref="A4:B4"/>
    </sheetView>
  </sheetViews>
  <sheetFormatPr defaultRowHeight="15" x14ac:dyDescent="0.25"/>
  <cols>
    <col min="1" max="1" width="15" bestFit="1" customWidth="1" collapsed="1"/>
    <col min="2" max="2" width="30" customWidth="1" collapsed="1"/>
    <col min="3" max="3" width="11.7109375" bestFit="1" customWidth="1" collapsed="1"/>
  </cols>
  <sheetData>
    <row r="1" spans="1:5" s="48" customFormat="1" x14ac:dyDescent="0.25">
      <c r="A1" s="48" t="s">
        <v>3</v>
      </c>
      <c r="B1" t="s">
        <v>3370</v>
      </c>
      <c r="C1" s="48" t="s">
        <v>2794</v>
      </c>
      <c r="D1" s="48" t="s">
        <v>2794</v>
      </c>
      <c r="E1" s="48" t="s">
        <v>2794</v>
      </c>
    </row>
    <row r="2" spans="1:5" s="2" customFormat="1" x14ac:dyDescent="0.25">
      <c r="A2" s="2" t="s">
        <v>3405</v>
      </c>
    </row>
    <row r="3" spans="1:5" s="2" customFormat="1" x14ac:dyDescent="0.25">
      <c r="A3" s="2" t="s">
        <v>3406</v>
      </c>
    </row>
    <row r="4" spans="1:5" s="2" customFormat="1" x14ac:dyDescent="0.25">
      <c r="A4" s="2" t="s">
        <v>3429</v>
      </c>
      <c r="B4" s="2">
        <f>COUNTIFS($A$12:$A$18,"*$*",B12:B18,"")</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43" customFormat="1" x14ac:dyDescent="0.25">
      <c r="B11" s="42"/>
    </row>
    <row r="12" spans="1:5" s="2" customFormat="1" x14ac:dyDescent="0.25">
      <c r="A12" s="30" t="s">
        <v>3447</v>
      </c>
      <c r="B12" s="2" t="s">
        <v>3393</v>
      </c>
    </row>
    <row r="13" spans="1:5" s="2" customFormat="1" x14ac:dyDescent="0.25">
      <c r="A13" s="30" t="s">
        <v>3448</v>
      </c>
      <c r="B13" s="41" t="s">
        <v>3389</v>
      </c>
    </row>
    <row r="14" spans="1:5" s="2" customFormat="1" x14ac:dyDescent="0.25">
      <c r="A14" s="30" t="s">
        <v>3449</v>
      </c>
      <c r="B14" s="4" t="s">
        <v>3390</v>
      </c>
    </row>
    <row r="15" spans="1:5" s="2" customFormat="1" x14ac:dyDescent="0.25">
      <c r="A15" s="2" t="s">
        <v>80</v>
      </c>
      <c r="B15" s="4" t="s">
        <v>3391</v>
      </c>
    </row>
    <row r="16" spans="1:5" s="2" customFormat="1" x14ac:dyDescent="0.25">
      <c r="A16" s="2" t="s">
        <v>81</v>
      </c>
    </row>
    <row r="17" spans="1:2" s="2" customFormat="1" x14ac:dyDescent="0.25">
      <c r="A17" s="2" t="s">
        <v>82</v>
      </c>
    </row>
    <row r="18" spans="1:2" s="2" customFormat="1" x14ac:dyDescent="0.25">
      <c r="A18" s="2" t="s">
        <v>13</v>
      </c>
    </row>
    <row r="20" spans="1:2" ht="90" x14ac:dyDescent="0.25">
      <c r="A20" s="12" t="s">
        <v>2795</v>
      </c>
      <c r="B20" s="8" t="s">
        <v>2796</v>
      </c>
    </row>
  </sheetData>
  <dataValidations count="2">
    <dataValidation type="list" allowBlank="1" showInputMessage="1" showErrorMessage="1" sqref="C12">
      <formula1>"NIP, SIUP, TDP"</formula1>
    </dataValidation>
    <dataValidation errorStyle="information" allowBlank="1" showInputMessage="1" showErrorMessage="1" sqref="B12:B18"/>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E39"/>
  <sheetViews>
    <sheetView workbookViewId="0">
      <selection activeCell="A40" sqref="A40"/>
    </sheetView>
  </sheetViews>
  <sheetFormatPr defaultRowHeight="15" x14ac:dyDescent="0.25"/>
  <cols>
    <col min="1" max="1" width="34.5703125" style="11" bestFit="1" customWidth="1" collapsed="1"/>
    <col min="2" max="3" width="25" style="9" customWidth="1" collapsed="1"/>
  </cols>
  <sheetData>
    <row r="1" spans="1:5" s="2" customFormat="1" x14ac:dyDescent="0.25">
      <c r="A1" s="1" t="s">
        <v>3</v>
      </c>
      <c r="B1" t="s">
        <v>3370</v>
      </c>
      <c r="C1" s="2" t="s">
        <v>2794</v>
      </c>
      <c r="D1" s="2" t="s">
        <v>2794</v>
      </c>
      <c r="E1" s="2" t="s">
        <v>2794</v>
      </c>
    </row>
    <row r="2" spans="1:5" s="2" customFormat="1" x14ac:dyDescent="0.25">
      <c r="A2" s="2" t="s">
        <v>3405</v>
      </c>
      <c r="B2" t="s">
        <v>3476</v>
      </c>
    </row>
    <row r="3" spans="1:5" s="2" customFormat="1" x14ac:dyDescent="0.25">
      <c r="A3" s="2" t="s">
        <v>3406</v>
      </c>
    </row>
    <row r="4" spans="1:5" s="2" customFormat="1" x14ac:dyDescent="0.25">
      <c r="A4" s="2" t="s">
        <v>3429</v>
      </c>
      <c r="B4" s="2">
        <f>COUNTIFS($A$12:$A$39,"*$*",B12:B39,"")</f>
        <v>0</v>
      </c>
    </row>
    <row r="5" spans="1:5" s="2" customFormat="1" x14ac:dyDescent="0.25"/>
    <row r="6" spans="1:5" s="2" customFormat="1" x14ac:dyDescent="0.25"/>
    <row r="7" spans="1:5" s="2" customFormat="1" x14ac:dyDescent="0.25"/>
    <row r="8" spans="1:5" s="2" customFormat="1" x14ac:dyDescent="0.25"/>
    <row r="9" spans="1:5" s="2" customFormat="1" x14ac:dyDescent="0.25"/>
    <row r="10" spans="1:5" s="2" customFormat="1" x14ac:dyDescent="0.25"/>
    <row r="11" spans="1:5" s="55" customFormat="1" x14ac:dyDescent="0.25">
      <c r="A11" s="52" t="s">
        <v>3103</v>
      </c>
      <c r="B11" s="53"/>
      <c r="C11" s="54"/>
    </row>
    <row r="12" spans="1:5" s="2" customFormat="1" x14ac:dyDescent="0.25">
      <c r="A12" s="32" t="s">
        <v>3450</v>
      </c>
      <c r="B12" s="10" t="str">
        <f>VLOOKUP(B13,Master!$A:$B,2,FALSE)</f>
        <v>01</v>
      </c>
      <c r="C12" s="10" t="str">
        <f>VLOOKUP(C13,Master!$A:$B,2,FALSE)</f>
        <v>01</v>
      </c>
    </row>
    <row r="13" spans="1:5" s="2" customFormat="1" x14ac:dyDescent="0.25">
      <c r="A13" s="30" t="s">
        <v>3451</v>
      </c>
      <c r="B13" s="10" t="s">
        <v>97</v>
      </c>
      <c r="C13" s="10" t="s">
        <v>97</v>
      </c>
    </row>
    <row r="14" spans="1:5" s="2" customFormat="1" x14ac:dyDescent="0.25">
      <c r="A14" s="32" t="s">
        <v>3452</v>
      </c>
      <c r="B14" s="10" t="str">
        <f>VLOOKUP(B15,Master!$D:$E,2,FALSE)</f>
        <v>4</v>
      </c>
      <c r="C14" s="10" t="str">
        <f>VLOOKUP(C15,Master!$D:$E,2,FALSE)</f>
        <v>4</v>
      </c>
    </row>
    <row r="15" spans="1:5" s="2" customFormat="1" x14ac:dyDescent="0.25">
      <c r="A15" s="30" t="s">
        <v>3453</v>
      </c>
      <c r="B15" s="6" t="s">
        <v>161</v>
      </c>
      <c r="C15" s="6" t="s">
        <v>161</v>
      </c>
    </row>
    <row r="16" spans="1:5" s="2" customFormat="1" x14ac:dyDescent="0.25">
      <c r="A16" s="32" t="s">
        <v>3454</v>
      </c>
      <c r="B16" s="10" t="str">
        <f>VLOOKUP(B17,Master!$G:$H,2,FALSE)</f>
        <v>e2955</v>
      </c>
      <c r="C16" s="10" t="str">
        <f>VLOOKUP(C17,Master!$G:$H,2,FALSE)</f>
        <v>e2955</v>
      </c>
    </row>
    <row r="17" spans="1:3" s="2" customFormat="1" ht="75" x14ac:dyDescent="0.25">
      <c r="A17" s="30" t="s">
        <v>3455</v>
      </c>
      <c r="B17" s="6" t="s">
        <v>3392</v>
      </c>
      <c r="C17" s="6" t="s">
        <v>3392</v>
      </c>
    </row>
    <row r="18" spans="1:3" s="2" customFormat="1" x14ac:dyDescent="0.25">
      <c r="A18" s="32" t="s">
        <v>3456</v>
      </c>
      <c r="B18" s="10" t="str">
        <f>VLOOKUP(B19,Master!$J:$K,2,FALSE)</f>
        <v>e3820</v>
      </c>
      <c r="C18" s="10" t="str">
        <f>VLOOKUP(C19,Master!$J:$K,2,FALSE)</f>
        <v>e3820</v>
      </c>
    </row>
    <row r="19" spans="1:3" s="2" customFormat="1" x14ac:dyDescent="0.25">
      <c r="A19" s="30" t="s">
        <v>3457</v>
      </c>
      <c r="B19" s="6" t="s">
        <v>123</v>
      </c>
      <c r="C19" s="6" t="s">
        <v>123</v>
      </c>
    </row>
    <row r="20" spans="1:3" s="47" customFormat="1" x14ac:dyDescent="0.25">
      <c r="A20" s="44" t="s">
        <v>3104</v>
      </c>
      <c r="B20" s="45"/>
      <c r="C20" s="45"/>
    </row>
    <row r="21" spans="1:3" s="2" customFormat="1" x14ac:dyDescent="0.25">
      <c r="A21" s="1" t="s">
        <v>86</v>
      </c>
      <c r="B21" s="6" t="s">
        <v>2786</v>
      </c>
      <c r="C21" s="6" t="s">
        <v>2786</v>
      </c>
    </row>
    <row r="22" spans="1:3" s="2" customFormat="1" x14ac:dyDescent="0.25">
      <c r="A22" s="32" t="s">
        <v>3458</v>
      </c>
      <c r="B22" s="10" t="str">
        <f>VLOOKUP(B23,Master!$M:$N,2,FALSE)</f>
        <v>0010</v>
      </c>
      <c r="C22" s="10" t="str">
        <f>VLOOKUP(C23,Master!$M:$N,2,FALSE)</f>
        <v>0010</v>
      </c>
    </row>
    <row r="23" spans="1:3" s="2" customFormat="1" ht="30" x14ac:dyDescent="0.25">
      <c r="A23" s="30" t="s">
        <v>3459</v>
      </c>
      <c r="B23" s="6" t="s">
        <v>103</v>
      </c>
      <c r="C23" s="6" t="s">
        <v>103</v>
      </c>
    </row>
    <row r="24" spans="1:3" s="2" customFormat="1" x14ac:dyDescent="0.25">
      <c r="A24" s="1" t="s">
        <v>87</v>
      </c>
      <c r="B24" s="6" t="s">
        <v>2786</v>
      </c>
      <c r="C24" s="6" t="s">
        <v>2786</v>
      </c>
    </row>
    <row r="25" spans="1:3" s="2" customFormat="1" x14ac:dyDescent="0.25">
      <c r="A25" s="1" t="s">
        <v>88</v>
      </c>
      <c r="B25" s="6" t="s">
        <v>2786</v>
      </c>
      <c r="C25" s="6" t="s">
        <v>2786</v>
      </c>
    </row>
    <row r="26" spans="1:3" s="2" customFormat="1" x14ac:dyDescent="0.25">
      <c r="A26" s="1" t="s">
        <v>89</v>
      </c>
      <c r="B26" s="6"/>
      <c r="C26" s="6"/>
    </row>
    <row r="27" spans="1:3" s="2" customFormat="1" x14ac:dyDescent="0.25">
      <c r="A27" s="32" t="s">
        <v>3460</v>
      </c>
      <c r="B27" s="10" t="e">
        <f>VLOOKUP(B28,Master!$AN:$AO,2,FALSE)</f>
        <v>#N/A</v>
      </c>
      <c r="C27" s="10" t="e">
        <f>VLOOKUP(C28,Master!$AN:$AO,2,FALSE)</f>
        <v>#N/A</v>
      </c>
    </row>
    <row r="28" spans="1:3" s="2" customFormat="1" x14ac:dyDescent="0.25">
      <c r="A28" s="1" t="s">
        <v>90</v>
      </c>
      <c r="B28" s="6"/>
      <c r="C28" s="6"/>
    </row>
    <row r="29" spans="1:3" s="2" customFormat="1" x14ac:dyDescent="0.25">
      <c r="A29" s="1" t="s">
        <v>91</v>
      </c>
      <c r="B29" s="38"/>
      <c r="C29" s="38"/>
    </row>
    <row r="30" spans="1:3" s="2" customFormat="1" x14ac:dyDescent="0.25">
      <c r="A30" s="32" t="s">
        <v>3461</v>
      </c>
      <c r="B30" s="10" t="str">
        <f>VLOOKUP(B31,Master!$P:$Q,2,FALSE)</f>
        <v>0110</v>
      </c>
      <c r="C30" s="10" t="str">
        <f>VLOOKUP(C31,Master!$P:$Q,2,FALSE)</f>
        <v>0110</v>
      </c>
    </row>
    <row r="31" spans="1:3" s="2" customFormat="1" ht="30" x14ac:dyDescent="0.25">
      <c r="A31" s="30" t="s">
        <v>3463</v>
      </c>
      <c r="B31" s="6" t="s">
        <v>105</v>
      </c>
      <c r="C31" s="6" t="s">
        <v>105</v>
      </c>
    </row>
    <row r="32" spans="1:3" s="2" customFormat="1" x14ac:dyDescent="0.25">
      <c r="A32" s="30" t="s">
        <v>3464</v>
      </c>
      <c r="B32" s="6" t="s">
        <v>2786</v>
      </c>
      <c r="C32" s="6" t="s">
        <v>2786</v>
      </c>
    </row>
    <row r="33" spans="1:3" s="2" customFormat="1" x14ac:dyDescent="0.25">
      <c r="A33" s="32" t="s">
        <v>3462</v>
      </c>
      <c r="B33" s="10" t="str">
        <f>VLOOKUP(B34,Master!$V:$W,2,FALSE)</f>
        <v>00055</v>
      </c>
      <c r="C33" s="10" t="str">
        <f>VLOOKUP(C34,Master!$V:$W,2,FALSE)</f>
        <v>00055</v>
      </c>
    </row>
    <row r="34" spans="1:3" s="2" customFormat="1" x14ac:dyDescent="0.25">
      <c r="A34" s="30" t="s">
        <v>3465</v>
      </c>
      <c r="B34" s="6" t="s">
        <v>109</v>
      </c>
      <c r="C34" s="6" t="s">
        <v>109</v>
      </c>
    </row>
    <row r="35" spans="1:3" s="2" customFormat="1" ht="30" x14ac:dyDescent="0.25">
      <c r="A35" s="32" t="s">
        <v>3467</v>
      </c>
      <c r="B35" s="10" t="str">
        <f>VLOOKUP(B36,Master!$Y:$Z,2,FALSE)</f>
        <v>PAYMENT_TYPEX_AUTOPAYMENT</v>
      </c>
      <c r="C35" s="10" t="str">
        <f>VLOOKUP(C36,Master!$Y:$Z,2,FALSE)</f>
        <v>PAYMENT_TYPEX_AUTOPAYMENT</v>
      </c>
    </row>
    <row r="36" spans="1:3" s="2" customFormat="1" x14ac:dyDescent="0.25">
      <c r="A36" s="30" t="s">
        <v>3466</v>
      </c>
      <c r="B36" s="6" t="s">
        <v>111</v>
      </c>
      <c r="C36" s="6" t="s">
        <v>111</v>
      </c>
    </row>
    <row r="37" spans="1:3" s="2" customFormat="1" x14ac:dyDescent="0.25">
      <c r="A37" s="32" t="s">
        <v>3469</v>
      </c>
      <c r="B37" s="10" t="str">
        <f>VLOOKUP(B38,Master!$AE:$AF,2,FALSE)</f>
        <v>BISNIS_SENDIRI</v>
      </c>
      <c r="C37" s="10" t="str">
        <f>VLOOKUP(C38,Master!$AE:$AF,2,FALSE)</f>
        <v>BISNIS_SENDIRI</v>
      </c>
    </row>
    <row r="38" spans="1:3" s="2" customFormat="1" x14ac:dyDescent="0.25">
      <c r="A38" s="30" t="s">
        <v>3468</v>
      </c>
      <c r="B38" s="6" t="s">
        <v>115</v>
      </c>
      <c r="C38" s="6" t="s">
        <v>115</v>
      </c>
    </row>
    <row r="39" spans="1:3" s="2" customFormat="1" x14ac:dyDescent="0.25">
      <c r="A39" s="30" t="s">
        <v>3470</v>
      </c>
      <c r="B39" s="38" t="s">
        <v>3400</v>
      </c>
      <c r="C39" s="38" t="s">
        <v>3407</v>
      </c>
    </row>
  </sheetData>
  <mergeCells count="1">
    <mergeCell ref="A11:XFD11"/>
  </mergeCells>
  <dataValidations count="12">
    <dataValidation type="list" errorStyle="information" allowBlank="1" showInputMessage="1" showErrorMessage="1" sqref="B13:C13">
      <formula1>ListDebtGroup</formula1>
    </dataValidation>
    <dataValidation type="list" errorStyle="information" allowBlank="1" showInputMessage="1" showErrorMessage="1" sqref="B15:C15">
      <formula1>ListDebtorBusinessScale</formula1>
    </dataValidation>
    <dataValidation type="list" errorStyle="information" allowBlank="1" showInputMessage="1" showErrorMessage="1" sqref="B17:C17">
      <formula1>ListCounterpart</formula1>
    </dataValidation>
    <dataValidation type="list" errorStyle="information" allowBlank="1" showInputMessage="1" showErrorMessage="1" sqref="B19:C19">
      <formula1>ListSusFinBus</formula1>
    </dataValidation>
    <dataValidation type="list" errorStyle="information" allowBlank="1" showInputMessage="1" showErrorMessage="1" sqref="B23:C23">
      <formula1>ListDebtGroupSLIK</formula1>
    </dataValidation>
    <dataValidation type="list" errorStyle="information" allowBlank="1" showInputMessage="1" showErrorMessage="1" sqref="B31:C31">
      <formula1>ListAfWiMult</formula1>
    </dataValidation>
    <dataValidation type="list" errorStyle="information" allowBlank="1" showInputMessage="1" showErrorMessage="1" sqref="B34:C34">
      <formula1>ListCSPUSL</formula1>
    </dataValidation>
    <dataValidation type="list" errorStyle="information" allowBlank="1" showInputMessage="1" showErrorMessage="1" sqref="B36:C36">
      <formula1>ListPaymentTypeAML</formula1>
    </dataValidation>
    <dataValidation type="list" errorStyle="information" allowBlank="1" showInputMessage="1" showErrorMessage="1" sqref="B38:C38">
      <formula1>ListBusinessSource</formula1>
    </dataValidation>
    <dataValidation type="list" errorStyle="information" allowBlank="1" showInputMessage="1" showErrorMessage="1" sqref="B28:C28">
      <formula1>ListRating</formula1>
    </dataValidation>
    <dataValidation type="list" errorStyle="information" allowBlank="1" showInputMessage="1" showErrorMessage="1" sqref="B21:C21 B24:C25 B32:C32">
      <formula1>"YES, NO"</formula1>
    </dataValidation>
    <dataValidation errorStyle="information" allowBlank="1" showInputMessage="1" showErrorMessage="1" sqref="B39:C39"/>
  </dataValidations>
  <pageMargins left="0.7" right="0.7" top="0.75" bottom="0.75" header="0.3" footer="0.3"/>
  <pageSetup paperSize="9"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CL882"/>
  <sheetViews>
    <sheetView topLeftCell="AO1" zoomScale="82" zoomScaleNormal="82" workbookViewId="0">
      <selection activeCell="BC19" sqref="BC19"/>
    </sheetView>
  </sheetViews>
  <sheetFormatPr defaultRowHeight="15" x14ac:dyDescent="0.25"/>
  <cols>
    <col min="1" max="1" width="37.140625" style="15" customWidth="1" collapsed="1"/>
    <col min="2" max="2" width="36.85546875" style="15" customWidth="1" collapsed="1"/>
    <col min="3" max="3" width="9.140625" style="15" collapsed="1"/>
    <col min="4" max="4" width="54.42578125" style="15" customWidth="1" collapsed="1"/>
    <col min="5" max="5" width="33" style="15" customWidth="1" collapsed="1"/>
    <col min="6" max="6" width="9.140625" style="15" customWidth="1" collapsed="1"/>
    <col min="7" max="7" width="255.7109375" style="15" customWidth="1" collapsed="1"/>
    <col min="8" max="8" width="22.85546875" style="15" customWidth="1" collapsed="1"/>
    <col min="10" max="10" width="142.7109375" style="23" customWidth="1" collapsed="1"/>
    <col min="11" max="11" width="21.85546875" style="15" customWidth="1" collapsed="1"/>
    <col min="12" max="12" width="9.140625" style="15" collapsed="1"/>
    <col min="13" max="13" width="115" style="24" customWidth="1" collapsed="1"/>
    <col min="14" max="14" width="44.28515625" style="18" customWidth="1" collapsed="1"/>
    <col min="15" max="15" width="9.140625" style="15" collapsed="1"/>
    <col min="16" max="16" width="108.85546875" style="24" customWidth="1" collapsed="1"/>
    <col min="17" max="17" width="14.7109375" style="18" customWidth="1" collapsed="1"/>
    <col min="19" max="19" width="105.42578125" style="15" customWidth="1" collapsed="1"/>
    <col min="20" max="20" width="40.5703125" style="15" customWidth="1" collapsed="1"/>
    <col min="21" max="21" width="9.140625" style="15" collapsed="1"/>
    <col min="22" max="22" width="38.7109375" style="15" customWidth="1" collapsed="1"/>
    <col min="23" max="23" width="46.7109375" style="18" customWidth="1" collapsed="1"/>
    <col min="24" max="24" width="9.140625" style="15" collapsed="1"/>
    <col min="25" max="25" width="34.28515625" style="15" customWidth="1" collapsed="1"/>
    <col min="26" max="26" width="38.28515625" style="15" bestFit="1" customWidth="1" collapsed="1"/>
    <col min="27" max="27" width="9.140625" style="15" collapsed="1"/>
    <col min="28" max="28" width="29.28515625" style="15" customWidth="1" collapsed="1"/>
    <col min="29" max="29" width="30.85546875" style="15" customWidth="1" collapsed="1"/>
    <col min="31" max="31" width="40.140625" style="15" customWidth="1" collapsed="1"/>
    <col min="32" max="32" width="15" style="15" customWidth="1" collapsed="1"/>
    <col min="33" max="33" width="9.140625" style="15" collapsed="1"/>
    <col min="34" max="34" width="20.28515625" style="15" customWidth="1" collapsed="1"/>
    <col min="35" max="35" width="28.7109375" style="15" customWidth="1" collapsed="1"/>
    <col min="36" max="36" width="9.140625" style="15" collapsed="1"/>
    <col min="37" max="37" width="112.5703125" style="15" customWidth="1" collapsed="1"/>
    <col min="38" max="38" width="36.85546875" style="15" customWidth="1" collapsed="1"/>
    <col min="40" max="40" width="32.42578125" customWidth="1" collapsed="1"/>
    <col min="41" max="41" width="14.7109375" customWidth="1" collapsed="1"/>
    <col min="43" max="43" width="35.5703125" customWidth="1" collapsed="1"/>
    <col min="45" max="45" width="44" customWidth="1" collapsed="1"/>
    <col min="46" max="46" width="23.140625" bestFit="1" customWidth="1" collapsed="1"/>
    <col min="48" max="48" width="15.85546875" customWidth="1" collapsed="1"/>
  </cols>
  <sheetData>
    <row r="1" spans="1:48" s="11" customFormat="1" x14ac:dyDescent="0.25">
      <c r="A1" s="17" t="s">
        <v>2797</v>
      </c>
      <c r="B1" s="17" t="s">
        <v>2798</v>
      </c>
      <c r="C1" s="14"/>
      <c r="D1" s="17" t="s">
        <v>2800</v>
      </c>
      <c r="E1" s="17" t="s">
        <v>92</v>
      </c>
      <c r="F1" s="14"/>
      <c r="G1" s="17" t="s">
        <v>2801</v>
      </c>
      <c r="H1" s="17" t="s">
        <v>2802</v>
      </c>
      <c r="J1" s="22" t="s">
        <v>93</v>
      </c>
      <c r="K1" s="22" t="s">
        <v>2803</v>
      </c>
      <c r="L1" s="14"/>
      <c r="M1" s="25" t="s">
        <v>2804</v>
      </c>
      <c r="N1" s="25" t="s">
        <v>2805</v>
      </c>
      <c r="O1" s="14"/>
      <c r="P1" s="25" t="s">
        <v>94</v>
      </c>
      <c r="Q1" s="25" t="s">
        <v>2806</v>
      </c>
      <c r="S1" s="17" t="s">
        <v>2807</v>
      </c>
      <c r="T1" s="17" t="s">
        <v>2808</v>
      </c>
      <c r="U1" s="14"/>
      <c r="V1" s="17" t="s">
        <v>95</v>
      </c>
      <c r="W1" s="17" t="s">
        <v>2809</v>
      </c>
      <c r="X1" s="14"/>
      <c r="Y1" s="17" t="s">
        <v>2810</v>
      </c>
      <c r="Z1" s="17" t="s">
        <v>2806</v>
      </c>
      <c r="AA1" s="14"/>
      <c r="AB1" s="27" t="s">
        <v>2811</v>
      </c>
      <c r="AC1" s="27" t="s">
        <v>2812</v>
      </c>
      <c r="AE1" s="17" t="s">
        <v>96</v>
      </c>
      <c r="AF1" s="17" t="s">
        <v>2806</v>
      </c>
      <c r="AG1" s="14"/>
      <c r="AH1" s="17" t="s">
        <v>2813</v>
      </c>
      <c r="AI1" s="17" t="s">
        <v>2814</v>
      </c>
      <c r="AJ1" s="14"/>
      <c r="AK1" s="17" t="s">
        <v>2815</v>
      </c>
      <c r="AL1" s="17" t="s">
        <v>2816</v>
      </c>
      <c r="AN1" s="17" t="s">
        <v>3053</v>
      </c>
      <c r="AO1" s="17" t="s">
        <v>2806</v>
      </c>
      <c r="AQ1" s="20" t="s">
        <v>3057</v>
      </c>
      <c r="AS1" s="20" t="s">
        <v>3106</v>
      </c>
      <c r="AT1" s="20" t="s">
        <v>3107</v>
      </c>
      <c r="AV1" s="20" t="s">
        <v>3368</v>
      </c>
    </row>
    <row r="2" spans="1:48" x14ac:dyDescent="0.25">
      <c r="A2" s="17" t="s">
        <v>97</v>
      </c>
      <c r="B2" s="17" t="s">
        <v>83</v>
      </c>
      <c r="D2" s="17" t="s">
        <v>98</v>
      </c>
      <c r="E2" s="17" t="s">
        <v>3045</v>
      </c>
      <c r="G2" s="17" t="s">
        <v>99</v>
      </c>
      <c r="H2" s="17" t="s">
        <v>100</v>
      </c>
      <c r="J2" s="22" t="s">
        <v>101</v>
      </c>
      <c r="K2" s="22" t="s">
        <v>102</v>
      </c>
      <c r="M2" s="25" t="s">
        <v>103</v>
      </c>
      <c r="N2" s="25" t="s">
        <v>104</v>
      </c>
      <c r="P2" s="25" t="s">
        <v>105</v>
      </c>
      <c r="Q2" s="25" t="s">
        <v>106</v>
      </c>
      <c r="S2" s="17" t="s">
        <v>107</v>
      </c>
      <c r="T2" s="17" t="s">
        <v>108</v>
      </c>
      <c r="V2" s="17" t="s">
        <v>109</v>
      </c>
      <c r="W2" s="17" t="s">
        <v>110</v>
      </c>
      <c r="Y2" s="17" t="s">
        <v>111</v>
      </c>
      <c r="Z2" s="17" t="s">
        <v>112</v>
      </c>
      <c r="AB2" s="27" t="s">
        <v>113</v>
      </c>
      <c r="AC2" s="27" t="s">
        <v>114</v>
      </c>
      <c r="AD2" s="7"/>
      <c r="AE2" s="17" t="s">
        <v>115</v>
      </c>
      <c r="AF2" s="29" t="s">
        <v>85</v>
      </c>
      <c r="AH2" s="17" t="s">
        <v>116</v>
      </c>
      <c r="AI2" s="17" t="s">
        <v>117</v>
      </c>
      <c r="AK2" s="17" t="s">
        <v>2817</v>
      </c>
      <c r="AL2" s="17" t="s">
        <v>2818</v>
      </c>
      <c r="AN2" s="17" t="s">
        <v>2787</v>
      </c>
      <c r="AO2" s="17" t="s">
        <v>267</v>
      </c>
      <c r="AQ2" s="26" t="s">
        <v>3058</v>
      </c>
      <c r="AS2" s="26" t="s">
        <v>3108</v>
      </c>
      <c r="AT2" s="26" t="s">
        <v>3109</v>
      </c>
      <c r="AV2" s="26" t="s">
        <v>3372</v>
      </c>
    </row>
    <row r="3" spans="1:48" x14ac:dyDescent="0.25">
      <c r="A3" s="17" t="s">
        <v>119</v>
      </c>
      <c r="B3" s="17" t="s">
        <v>84</v>
      </c>
      <c r="D3" s="17" t="s">
        <v>120</v>
      </c>
      <c r="E3" s="17" t="s">
        <v>3046</v>
      </c>
      <c r="G3" s="21" t="s">
        <v>121</v>
      </c>
      <c r="H3" s="17" t="s">
        <v>122</v>
      </c>
      <c r="J3" s="22" t="s">
        <v>123</v>
      </c>
      <c r="K3" s="22" t="s">
        <v>124</v>
      </c>
      <c r="M3" s="25" t="s">
        <v>125</v>
      </c>
      <c r="N3" s="25" t="s">
        <v>126</v>
      </c>
      <c r="P3" s="25" t="s">
        <v>127</v>
      </c>
      <c r="Q3" s="25" t="s">
        <v>128</v>
      </c>
      <c r="S3" s="17" t="s">
        <v>129</v>
      </c>
      <c r="T3" s="17" t="s">
        <v>130</v>
      </c>
      <c r="V3" s="17" t="s">
        <v>131</v>
      </c>
      <c r="W3" s="17" t="s">
        <v>132</v>
      </c>
      <c r="Y3" s="17" t="s">
        <v>133</v>
      </c>
      <c r="Z3" s="17" t="s">
        <v>134</v>
      </c>
      <c r="AB3" s="27" t="s">
        <v>135</v>
      </c>
      <c r="AC3" s="27" t="s">
        <v>136</v>
      </c>
      <c r="AE3" s="28"/>
      <c r="AH3" s="17" t="s">
        <v>15</v>
      </c>
      <c r="AI3" s="17" t="s">
        <v>137</v>
      </c>
      <c r="AK3" s="17" t="s">
        <v>2819</v>
      </c>
      <c r="AL3" s="17" t="s">
        <v>2820</v>
      </c>
      <c r="AN3" s="17" t="s">
        <v>2788</v>
      </c>
      <c r="AO3" s="17" t="s">
        <v>384</v>
      </c>
      <c r="AQ3" s="26" t="s">
        <v>3059</v>
      </c>
      <c r="AS3" s="26" t="s">
        <v>3110</v>
      </c>
      <c r="AT3" s="26" t="s">
        <v>3111</v>
      </c>
      <c r="AV3" s="26" t="s">
        <v>3373</v>
      </c>
    </row>
    <row r="4" spans="1:48" x14ac:dyDescent="0.25">
      <c r="A4" s="17" t="s">
        <v>139</v>
      </c>
      <c r="B4" s="17" t="s">
        <v>140</v>
      </c>
      <c r="D4" s="17" t="s">
        <v>141</v>
      </c>
      <c r="E4" s="17" t="s">
        <v>3054</v>
      </c>
      <c r="G4" s="21" t="s">
        <v>142</v>
      </c>
      <c r="H4" s="17" t="s">
        <v>143</v>
      </c>
      <c r="J4" s="22" t="s">
        <v>144</v>
      </c>
      <c r="K4" s="22" t="s">
        <v>145</v>
      </c>
      <c r="M4" s="25" t="s">
        <v>146</v>
      </c>
      <c r="N4" s="25" t="s">
        <v>147</v>
      </c>
      <c r="P4" s="25" t="s">
        <v>148</v>
      </c>
      <c r="Q4" s="25" t="s">
        <v>149</v>
      </c>
      <c r="S4" s="17" t="s">
        <v>150</v>
      </c>
      <c r="T4" s="17" t="s">
        <v>151</v>
      </c>
      <c r="V4" s="17" t="s">
        <v>152</v>
      </c>
      <c r="W4" s="17" t="s">
        <v>153</v>
      </c>
      <c r="AB4" s="27" t="s">
        <v>154</v>
      </c>
      <c r="AC4" s="27" t="s">
        <v>155</v>
      </c>
      <c r="AH4" s="17" t="s">
        <v>156</v>
      </c>
      <c r="AI4" s="17" t="s">
        <v>157</v>
      </c>
      <c r="AK4" s="17" t="s">
        <v>2821</v>
      </c>
      <c r="AL4" s="17" t="s">
        <v>2822</v>
      </c>
      <c r="AN4" s="17" t="s">
        <v>2789</v>
      </c>
      <c r="AO4" s="17" t="s">
        <v>483</v>
      </c>
      <c r="AQ4" s="26" t="s">
        <v>3060</v>
      </c>
      <c r="AS4" s="26" t="s">
        <v>3112</v>
      </c>
      <c r="AT4" s="26" t="s">
        <v>3113</v>
      </c>
      <c r="AV4" s="26" t="s">
        <v>3374</v>
      </c>
    </row>
    <row r="5" spans="1:48" x14ac:dyDescent="0.25">
      <c r="A5" s="17" t="s">
        <v>159</v>
      </c>
      <c r="B5" s="17" t="s">
        <v>160</v>
      </c>
      <c r="D5" s="17" t="s">
        <v>161</v>
      </c>
      <c r="E5" s="17" t="s">
        <v>3055</v>
      </c>
      <c r="G5" s="21" t="s">
        <v>162</v>
      </c>
      <c r="H5" s="17" t="s">
        <v>163</v>
      </c>
      <c r="J5" s="22" t="s">
        <v>164</v>
      </c>
      <c r="K5" s="22" t="s">
        <v>165</v>
      </c>
      <c r="M5" s="25" t="s">
        <v>166</v>
      </c>
      <c r="N5" s="25" t="s">
        <v>167</v>
      </c>
      <c r="P5" s="25" t="s">
        <v>168</v>
      </c>
      <c r="Q5" s="25" t="s">
        <v>169</v>
      </c>
      <c r="S5" s="17" t="s">
        <v>170</v>
      </c>
      <c r="T5" s="17" t="s">
        <v>171</v>
      </c>
      <c r="V5" s="17" t="s">
        <v>172</v>
      </c>
      <c r="W5" s="17" t="s">
        <v>173</v>
      </c>
      <c r="AB5" s="27" t="s">
        <v>174</v>
      </c>
      <c r="AC5" s="27" t="s">
        <v>175</v>
      </c>
      <c r="AH5" s="17" t="s">
        <v>176</v>
      </c>
      <c r="AI5" s="17" t="s">
        <v>177</v>
      </c>
      <c r="AK5" s="17" t="s">
        <v>2823</v>
      </c>
      <c r="AL5" s="17" t="s">
        <v>2824</v>
      </c>
      <c r="AN5" s="17" t="s">
        <v>2790</v>
      </c>
      <c r="AO5" s="17" t="s">
        <v>582</v>
      </c>
      <c r="AQ5" s="26" t="s">
        <v>3061</v>
      </c>
      <c r="AS5" s="26" t="s">
        <v>3114</v>
      </c>
      <c r="AT5" s="26" t="s">
        <v>3115</v>
      </c>
      <c r="AV5" s="26" t="s">
        <v>3375</v>
      </c>
    </row>
    <row r="6" spans="1:48" x14ac:dyDescent="0.25">
      <c r="A6" s="17" t="s">
        <v>179</v>
      </c>
      <c r="B6" s="17" t="s">
        <v>180</v>
      </c>
      <c r="D6" s="17" t="s">
        <v>181</v>
      </c>
      <c r="E6" s="17" t="s">
        <v>3056</v>
      </c>
      <c r="G6" s="21" t="s">
        <v>182</v>
      </c>
      <c r="H6" s="17" t="s">
        <v>183</v>
      </c>
      <c r="J6" s="22" t="s">
        <v>184</v>
      </c>
      <c r="K6" s="22" t="s">
        <v>185</v>
      </c>
      <c r="M6" s="25" t="s">
        <v>186</v>
      </c>
      <c r="N6" s="25" t="s">
        <v>187</v>
      </c>
      <c r="P6" s="25" t="s">
        <v>188</v>
      </c>
      <c r="Q6" s="25" t="s">
        <v>189</v>
      </c>
      <c r="S6" s="17" t="s">
        <v>190</v>
      </c>
      <c r="T6" s="17" t="s">
        <v>191</v>
      </c>
      <c r="V6" s="17" t="s">
        <v>192</v>
      </c>
      <c r="W6" s="17" t="s">
        <v>193</v>
      </c>
      <c r="AB6" s="27" t="s">
        <v>194</v>
      </c>
      <c r="AC6" s="27" t="s">
        <v>195</v>
      </c>
      <c r="AH6" s="17" t="s">
        <v>196</v>
      </c>
      <c r="AI6" s="17" t="s">
        <v>196</v>
      </c>
      <c r="AK6" s="17" t="s">
        <v>2825</v>
      </c>
      <c r="AL6" s="17" t="s">
        <v>2826</v>
      </c>
      <c r="AN6" s="17" t="s">
        <v>2791</v>
      </c>
      <c r="AO6" s="17" t="s">
        <v>681</v>
      </c>
      <c r="AQ6" s="26" t="s">
        <v>3062</v>
      </c>
      <c r="AS6" s="26" t="s">
        <v>3116</v>
      </c>
      <c r="AT6" s="26" t="s">
        <v>3117</v>
      </c>
      <c r="AV6" s="26" t="s">
        <v>3376</v>
      </c>
    </row>
    <row r="7" spans="1:48" x14ac:dyDescent="0.25">
      <c r="A7" s="17" t="s">
        <v>198</v>
      </c>
      <c r="B7" s="17" t="s">
        <v>199</v>
      </c>
      <c r="G7" s="21" t="s">
        <v>200</v>
      </c>
      <c r="H7" s="17" t="s">
        <v>201</v>
      </c>
      <c r="J7" s="22" t="s">
        <v>202</v>
      </c>
      <c r="K7" s="22" t="s">
        <v>203</v>
      </c>
      <c r="M7" s="25" t="s">
        <v>204</v>
      </c>
      <c r="N7" s="25" t="s">
        <v>205</v>
      </c>
      <c r="P7" s="25" t="s">
        <v>206</v>
      </c>
      <c r="Q7" s="25" t="s">
        <v>207</v>
      </c>
      <c r="S7" s="17" t="s">
        <v>208</v>
      </c>
      <c r="T7" s="17" t="s">
        <v>209</v>
      </c>
      <c r="V7" s="17" t="s">
        <v>210</v>
      </c>
      <c r="W7" s="17" t="s">
        <v>211</v>
      </c>
      <c r="AB7" s="27" t="s">
        <v>212</v>
      </c>
      <c r="AC7" s="27" t="s">
        <v>213</v>
      </c>
      <c r="AH7" s="17" t="s">
        <v>14</v>
      </c>
      <c r="AI7" s="17" t="s">
        <v>214</v>
      </c>
      <c r="AK7" s="17" t="s">
        <v>2827</v>
      </c>
      <c r="AL7" s="17" t="s">
        <v>2828</v>
      </c>
      <c r="AN7" s="17" t="s">
        <v>2792</v>
      </c>
      <c r="AO7" s="17" t="s">
        <v>780</v>
      </c>
      <c r="AQ7" s="26" t="s">
        <v>3063</v>
      </c>
      <c r="AS7" s="26" t="s">
        <v>3118</v>
      </c>
      <c r="AT7" s="26" t="s">
        <v>3119</v>
      </c>
      <c r="AV7" s="26" t="s">
        <v>3377</v>
      </c>
    </row>
    <row r="8" spans="1:48" x14ac:dyDescent="0.25">
      <c r="A8" s="17" t="s">
        <v>216</v>
      </c>
      <c r="B8" s="17" t="s">
        <v>217</v>
      </c>
      <c r="G8" s="21" t="s">
        <v>218</v>
      </c>
      <c r="H8" s="17" t="s">
        <v>219</v>
      </c>
      <c r="J8" s="22" t="s">
        <v>220</v>
      </c>
      <c r="K8" s="22" t="s">
        <v>221</v>
      </c>
      <c r="M8" s="25" t="s">
        <v>222</v>
      </c>
      <c r="N8" s="25" t="s">
        <v>223</v>
      </c>
      <c r="P8" s="25" t="s">
        <v>224</v>
      </c>
      <c r="Q8" s="25" t="s">
        <v>225</v>
      </c>
      <c r="S8" s="17" t="s">
        <v>226</v>
      </c>
      <c r="T8" s="17" t="s">
        <v>227</v>
      </c>
      <c r="V8" s="17" t="s">
        <v>228</v>
      </c>
      <c r="W8" s="17" t="s">
        <v>229</v>
      </c>
      <c r="AB8" s="27" t="s">
        <v>150</v>
      </c>
      <c r="AC8" s="27" t="s">
        <v>230</v>
      </c>
      <c r="AH8" s="17" t="s">
        <v>231</v>
      </c>
      <c r="AI8" s="17" t="s">
        <v>232</v>
      </c>
      <c r="AK8" s="17" t="s">
        <v>118</v>
      </c>
      <c r="AL8" s="17" t="s">
        <v>2829</v>
      </c>
      <c r="AN8" s="19" t="s">
        <v>2793</v>
      </c>
      <c r="AO8" s="19" t="s">
        <v>2437</v>
      </c>
      <c r="AQ8" s="26" t="s">
        <v>3064</v>
      </c>
      <c r="AS8" s="26" t="s">
        <v>3120</v>
      </c>
      <c r="AT8" s="26" t="s">
        <v>3121</v>
      </c>
      <c r="AV8" s="26" t="s">
        <v>3378</v>
      </c>
    </row>
    <row r="9" spans="1:48" x14ac:dyDescent="0.25">
      <c r="A9" s="17" t="s">
        <v>234</v>
      </c>
      <c r="B9" s="17" t="s">
        <v>235</v>
      </c>
      <c r="G9" s="21" t="s">
        <v>236</v>
      </c>
      <c r="H9" s="17" t="s">
        <v>237</v>
      </c>
      <c r="J9" s="22" t="s">
        <v>238</v>
      </c>
      <c r="K9" s="22" t="s">
        <v>239</v>
      </c>
      <c r="M9" s="25" t="s">
        <v>240</v>
      </c>
      <c r="N9" s="25" t="s">
        <v>241</v>
      </c>
      <c r="P9" s="25" t="s">
        <v>242</v>
      </c>
      <c r="Q9" s="25" t="s">
        <v>243</v>
      </c>
      <c r="S9" s="17" t="s">
        <v>244</v>
      </c>
      <c r="T9" s="17" t="s">
        <v>245</v>
      </c>
      <c r="V9" s="17" t="s">
        <v>246</v>
      </c>
      <c r="W9" s="17" t="s">
        <v>247</v>
      </c>
      <c r="AB9" s="27" t="s">
        <v>248</v>
      </c>
      <c r="AC9" s="27" t="s">
        <v>249</v>
      </c>
      <c r="AK9" s="17" t="s">
        <v>138</v>
      </c>
      <c r="AL9" s="17" t="s">
        <v>2830</v>
      </c>
      <c r="AN9" s="15"/>
      <c r="AQ9" s="26" t="s">
        <v>3065</v>
      </c>
      <c r="AS9" s="26" t="s">
        <v>3122</v>
      </c>
      <c r="AT9" s="26" t="s">
        <v>3123</v>
      </c>
      <c r="AV9" s="26" t="s">
        <v>3369</v>
      </c>
    </row>
    <row r="10" spans="1:48" x14ac:dyDescent="0.25">
      <c r="A10" s="17" t="s">
        <v>251</v>
      </c>
      <c r="B10" s="17" t="s">
        <v>252</v>
      </c>
      <c r="G10" s="21" t="s">
        <v>253</v>
      </c>
      <c r="H10" s="17" t="s">
        <v>254</v>
      </c>
      <c r="J10" s="22" t="s">
        <v>255</v>
      </c>
      <c r="K10" s="22" t="s">
        <v>256</v>
      </c>
      <c r="M10" s="25" t="s">
        <v>257</v>
      </c>
      <c r="N10" s="25" t="s">
        <v>258</v>
      </c>
      <c r="P10" s="25" t="s">
        <v>259</v>
      </c>
      <c r="Q10" s="25" t="s">
        <v>260</v>
      </c>
      <c r="S10" s="17" t="s">
        <v>261</v>
      </c>
      <c r="T10" s="17" t="s">
        <v>262</v>
      </c>
      <c r="V10" s="17" t="s">
        <v>263</v>
      </c>
      <c r="W10" s="17" t="s">
        <v>264</v>
      </c>
      <c r="AK10" s="17" t="s">
        <v>158</v>
      </c>
      <c r="AL10" s="17" t="s">
        <v>2831</v>
      </c>
      <c r="AQ10" s="26" t="s">
        <v>16</v>
      </c>
      <c r="AS10" s="26" t="s">
        <v>3124</v>
      </c>
      <c r="AT10" s="26" t="s">
        <v>3125</v>
      </c>
      <c r="AV10" s="26" t="s">
        <v>3379</v>
      </c>
    </row>
    <row r="11" spans="1:48" x14ac:dyDescent="0.25">
      <c r="A11" s="17" t="s">
        <v>266</v>
      </c>
      <c r="B11" s="17" t="s">
        <v>267</v>
      </c>
      <c r="G11" s="21" t="s">
        <v>268</v>
      </c>
      <c r="H11" s="17" t="s">
        <v>269</v>
      </c>
      <c r="J11" s="22" t="s">
        <v>270</v>
      </c>
      <c r="K11" s="22" t="s">
        <v>271</v>
      </c>
      <c r="M11" s="25" t="s">
        <v>272</v>
      </c>
      <c r="N11" s="25" t="s">
        <v>273</v>
      </c>
      <c r="P11" s="25" t="s">
        <v>274</v>
      </c>
      <c r="Q11" s="25" t="s">
        <v>275</v>
      </c>
      <c r="S11" s="17" t="s">
        <v>276</v>
      </c>
      <c r="T11" s="17" t="s">
        <v>277</v>
      </c>
      <c r="AK11" s="17" t="s">
        <v>178</v>
      </c>
      <c r="AL11" s="17" t="s">
        <v>2832</v>
      </c>
      <c r="AQ11" s="26" t="s">
        <v>3066</v>
      </c>
      <c r="AS11" s="26" t="s">
        <v>3126</v>
      </c>
      <c r="AT11" s="26" t="s">
        <v>3127</v>
      </c>
    </row>
    <row r="12" spans="1:48" x14ac:dyDescent="0.25">
      <c r="A12" s="17" t="s">
        <v>279</v>
      </c>
      <c r="B12" s="17" t="s">
        <v>280</v>
      </c>
      <c r="G12" s="21" t="s">
        <v>281</v>
      </c>
      <c r="H12" s="17" t="s">
        <v>282</v>
      </c>
      <c r="J12" s="22" t="s">
        <v>283</v>
      </c>
      <c r="K12" s="22" t="s">
        <v>284</v>
      </c>
      <c r="M12" s="25" t="s">
        <v>285</v>
      </c>
      <c r="N12" s="25" t="s">
        <v>106</v>
      </c>
      <c r="P12" s="25" t="s">
        <v>286</v>
      </c>
      <c r="Q12" s="25" t="s">
        <v>287</v>
      </c>
      <c r="S12" s="17" t="s">
        <v>288</v>
      </c>
      <c r="T12" s="17" t="s">
        <v>289</v>
      </c>
      <c r="AK12" s="17" t="s">
        <v>197</v>
      </c>
      <c r="AL12" s="17" t="s">
        <v>2833</v>
      </c>
      <c r="AQ12" s="26" t="s">
        <v>18</v>
      </c>
      <c r="AS12" s="26" t="s">
        <v>3128</v>
      </c>
      <c r="AT12" s="26" t="s">
        <v>3129</v>
      </c>
    </row>
    <row r="13" spans="1:48" x14ac:dyDescent="0.25">
      <c r="A13" s="17" t="s">
        <v>291</v>
      </c>
      <c r="B13" s="17" t="s">
        <v>292</v>
      </c>
      <c r="G13" s="21" t="s">
        <v>293</v>
      </c>
      <c r="H13" s="17" t="s">
        <v>294</v>
      </c>
      <c r="J13" s="22" t="s">
        <v>295</v>
      </c>
      <c r="K13" s="22" t="s">
        <v>296</v>
      </c>
      <c r="M13" s="25" t="s">
        <v>297</v>
      </c>
      <c r="N13" s="25" t="s">
        <v>128</v>
      </c>
      <c r="P13" s="25" t="s">
        <v>298</v>
      </c>
      <c r="Q13" s="25" t="s">
        <v>299</v>
      </c>
      <c r="S13" s="17" t="s">
        <v>300</v>
      </c>
      <c r="T13" s="17" t="s">
        <v>301</v>
      </c>
      <c r="AK13" s="17" t="s">
        <v>215</v>
      </c>
      <c r="AL13" s="17" t="s">
        <v>2834</v>
      </c>
      <c r="AQ13" s="26" t="s">
        <v>3067</v>
      </c>
      <c r="AS13" s="26" t="s">
        <v>3130</v>
      </c>
      <c r="AT13" s="26" t="s">
        <v>3131</v>
      </c>
    </row>
    <row r="14" spans="1:48" x14ac:dyDescent="0.25">
      <c r="A14" s="17" t="s">
        <v>303</v>
      </c>
      <c r="B14" s="17" t="s">
        <v>304</v>
      </c>
      <c r="G14" s="21" t="s">
        <v>305</v>
      </c>
      <c r="H14" s="17" t="s">
        <v>306</v>
      </c>
      <c r="J14" s="22" t="s">
        <v>307</v>
      </c>
      <c r="K14" s="22" t="s">
        <v>308</v>
      </c>
      <c r="M14" s="25" t="s">
        <v>309</v>
      </c>
      <c r="N14" s="25" t="s">
        <v>310</v>
      </c>
      <c r="P14" s="25" t="s">
        <v>311</v>
      </c>
      <c r="Q14" s="25" t="s">
        <v>312</v>
      </c>
      <c r="S14" s="17" t="s">
        <v>313</v>
      </c>
      <c r="T14" s="17" t="s">
        <v>314</v>
      </c>
      <c r="AK14" s="17" t="s">
        <v>233</v>
      </c>
      <c r="AL14" s="17" t="s">
        <v>2835</v>
      </c>
      <c r="AQ14" s="26" t="s">
        <v>3068</v>
      </c>
      <c r="AS14" s="26" t="s">
        <v>3132</v>
      </c>
      <c r="AT14" s="26" t="s">
        <v>3133</v>
      </c>
    </row>
    <row r="15" spans="1:48" x14ac:dyDescent="0.25">
      <c r="A15" s="17" t="s">
        <v>316</v>
      </c>
      <c r="B15" s="17" t="s">
        <v>317</v>
      </c>
      <c r="G15" s="21" t="s">
        <v>318</v>
      </c>
      <c r="H15" s="17" t="s">
        <v>319</v>
      </c>
      <c r="M15" s="25" t="s">
        <v>320</v>
      </c>
      <c r="N15" s="25" t="s">
        <v>321</v>
      </c>
      <c r="P15" s="25" t="s">
        <v>322</v>
      </c>
      <c r="Q15" s="25" t="s">
        <v>323</v>
      </c>
      <c r="S15" s="17" t="s">
        <v>324</v>
      </c>
      <c r="T15" s="17" t="s">
        <v>325</v>
      </c>
      <c r="AK15" s="17" t="s">
        <v>250</v>
      </c>
      <c r="AL15" s="17" t="s">
        <v>2836</v>
      </c>
      <c r="AQ15" s="26" t="s">
        <v>19</v>
      </c>
      <c r="AS15" s="26" t="s">
        <v>3134</v>
      </c>
      <c r="AT15" s="26" t="s">
        <v>3135</v>
      </c>
    </row>
    <row r="16" spans="1:48" x14ac:dyDescent="0.25">
      <c r="A16" s="17" t="s">
        <v>327</v>
      </c>
      <c r="B16" s="17" t="s">
        <v>328</v>
      </c>
      <c r="G16" s="21" t="s">
        <v>329</v>
      </c>
      <c r="H16" s="17" t="s">
        <v>330</v>
      </c>
      <c r="M16" s="25" t="s">
        <v>331</v>
      </c>
      <c r="N16" s="25" t="s">
        <v>332</v>
      </c>
      <c r="P16" s="25" t="s">
        <v>333</v>
      </c>
      <c r="Q16" s="25" t="s">
        <v>334</v>
      </c>
      <c r="S16" s="17" t="s">
        <v>335</v>
      </c>
      <c r="T16" s="17" t="s">
        <v>336</v>
      </c>
      <c r="AK16" s="17" t="s">
        <v>265</v>
      </c>
      <c r="AL16" s="17" t="s">
        <v>2837</v>
      </c>
      <c r="AQ16" s="26" t="s">
        <v>3069</v>
      </c>
      <c r="AS16" s="26" t="s">
        <v>3136</v>
      </c>
      <c r="AT16" s="26" t="s">
        <v>3137</v>
      </c>
    </row>
    <row r="17" spans="1:46" x14ac:dyDescent="0.25">
      <c r="A17" s="17" t="s">
        <v>338</v>
      </c>
      <c r="B17" s="17" t="s">
        <v>339</v>
      </c>
      <c r="G17" s="21" t="s">
        <v>340</v>
      </c>
      <c r="H17" s="17" t="s">
        <v>341</v>
      </c>
      <c r="M17" s="25" t="s">
        <v>342</v>
      </c>
      <c r="N17" s="25" t="s">
        <v>343</v>
      </c>
      <c r="S17" s="17" t="s">
        <v>344</v>
      </c>
      <c r="T17" s="17" t="s">
        <v>345</v>
      </c>
      <c r="AK17" s="17" t="s">
        <v>278</v>
      </c>
      <c r="AL17" s="17" t="s">
        <v>2838</v>
      </c>
      <c r="AQ17" s="26" t="s">
        <v>3070</v>
      </c>
      <c r="AS17" s="26" t="s">
        <v>3138</v>
      </c>
      <c r="AT17" s="26" t="s">
        <v>3139</v>
      </c>
    </row>
    <row r="18" spans="1:46" x14ac:dyDescent="0.25">
      <c r="A18" s="17" t="s">
        <v>347</v>
      </c>
      <c r="B18" s="17" t="s">
        <v>348</v>
      </c>
      <c r="G18" s="21" t="s">
        <v>349</v>
      </c>
      <c r="H18" s="17" t="s">
        <v>350</v>
      </c>
      <c r="M18" s="25" t="s">
        <v>351</v>
      </c>
      <c r="N18" s="25" t="s">
        <v>352</v>
      </c>
      <c r="S18" s="17" t="s">
        <v>353</v>
      </c>
      <c r="T18" s="17" t="s">
        <v>354</v>
      </c>
      <c r="AK18" s="17" t="s">
        <v>290</v>
      </c>
      <c r="AL18" s="17" t="s">
        <v>2839</v>
      </c>
      <c r="AQ18" s="26" t="s">
        <v>3071</v>
      </c>
      <c r="AS18" s="26" t="s">
        <v>3140</v>
      </c>
      <c r="AT18" s="26" t="s">
        <v>3141</v>
      </c>
    </row>
    <row r="19" spans="1:46" x14ac:dyDescent="0.25">
      <c r="A19" s="17" t="s">
        <v>356</v>
      </c>
      <c r="B19" s="17" t="s">
        <v>357</v>
      </c>
      <c r="G19" s="21" t="s">
        <v>358</v>
      </c>
      <c r="H19" s="17" t="s">
        <v>359</v>
      </c>
      <c r="M19" s="25" t="s">
        <v>360</v>
      </c>
      <c r="N19" s="25" t="s">
        <v>361</v>
      </c>
      <c r="S19" s="17" t="s">
        <v>362</v>
      </c>
      <c r="T19" s="17" t="s">
        <v>363</v>
      </c>
      <c r="AK19" s="17" t="s">
        <v>302</v>
      </c>
      <c r="AL19" s="17" t="s">
        <v>2840</v>
      </c>
      <c r="AQ19" s="26" t="s">
        <v>3072</v>
      </c>
      <c r="AS19" s="26" t="s">
        <v>3142</v>
      </c>
      <c r="AT19" s="26" t="s">
        <v>3143</v>
      </c>
    </row>
    <row r="20" spans="1:46" x14ac:dyDescent="0.25">
      <c r="A20" s="17" t="s">
        <v>365</v>
      </c>
      <c r="B20" s="17" t="s">
        <v>366</v>
      </c>
      <c r="G20" s="21" t="s">
        <v>367</v>
      </c>
      <c r="H20" s="17" t="s">
        <v>368</v>
      </c>
      <c r="M20" s="25" t="s">
        <v>369</v>
      </c>
      <c r="N20" s="25" t="s">
        <v>370</v>
      </c>
      <c r="S20" s="17" t="s">
        <v>371</v>
      </c>
      <c r="T20" s="17" t="s">
        <v>372</v>
      </c>
      <c r="AK20" s="17" t="s">
        <v>315</v>
      </c>
      <c r="AL20" s="17" t="s">
        <v>2841</v>
      </c>
      <c r="AQ20" s="26" t="s">
        <v>3073</v>
      </c>
      <c r="AS20" s="26" t="s">
        <v>3144</v>
      </c>
      <c r="AT20" s="26" t="s">
        <v>3145</v>
      </c>
    </row>
    <row r="21" spans="1:46" x14ac:dyDescent="0.25">
      <c r="A21" s="17" t="s">
        <v>374</v>
      </c>
      <c r="B21" s="17" t="s">
        <v>375</v>
      </c>
      <c r="G21" s="21" t="s">
        <v>376</v>
      </c>
      <c r="H21" s="17" t="s">
        <v>377</v>
      </c>
      <c r="M21" s="25" t="s">
        <v>378</v>
      </c>
      <c r="N21" s="25" t="s">
        <v>379</v>
      </c>
      <c r="S21" s="17" t="s">
        <v>380</v>
      </c>
      <c r="T21" s="17" t="s">
        <v>381</v>
      </c>
      <c r="AK21" s="17" t="s">
        <v>326</v>
      </c>
      <c r="AL21" s="17" t="s">
        <v>2842</v>
      </c>
      <c r="AQ21" s="26" t="s">
        <v>3074</v>
      </c>
      <c r="AS21" s="26" t="s">
        <v>3146</v>
      </c>
      <c r="AT21" s="26" t="s">
        <v>3147</v>
      </c>
    </row>
    <row r="22" spans="1:46" x14ac:dyDescent="0.25">
      <c r="A22" s="17" t="s">
        <v>383</v>
      </c>
      <c r="B22" s="17" t="s">
        <v>384</v>
      </c>
      <c r="G22" s="21" t="s">
        <v>385</v>
      </c>
      <c r="H22" s="17" t="s">
        <v>386</v>
      </c>
      <c r="M22" s="25" t="s">
        <v>387</v>
      </c>
      <c r="N22" s="25" t="s">
        <v>388</v>
      </c>
      <c r="S22" s="17" t="s">
        <v>389</v>
      </c>
      <c r="T22" s="17" t="s">
        <v>390</v>
      </c>
      <c r="AK22" s="17" t="s">
        <v>337</v>
      </c>
      <c r="AL22" s="17" t="s">
        <v>2843</v>
      </c>
      <c r="AQ22" s="26" t="s">
        <v>3075</v>
      </c>
      <c r="AS22" s="26" t="s">
        <v>3148</v>
      </c>
      <c r="AT22" s="26" t="s">
        <v>3149</v>
      </c>
    </row>
    <row r="23" spans="1:46" x14ac:dyDescent="0.25">
      <c r="A23" s="17" t="s">
        <v>392</v>
      </c>
      <c r="B23" s="17" t="s">
        <v>393</v>
      </c>
      <c r="G23" s="21" t="s">
        <v>394</v>
      </c>
      <c r="H23" s="17" t="s">
        <v>395</v>
      </c>
      <c r="M23" s="25" t="s">
        <v>396</v>
      </c>
      <c r="N23" s="25" t="s">
        <v>397</v>
      </c>
      <c r="S23" s="17" t="s">
        <v>398</v>
      </c>
      <c r="T23" s="17" t="s">
        <v>399</v>
      </c>
      <c r="AK23" s="17" t="s">
        <v>346</v>
      </c>
      <c r="AL23" s="17" t="s">
        <v>2844</v>
      </c>
      <c r="AQ23" s="26" t="s">
        <v>3076</v>
      </c>
      <c r="AS23" s="26" t="s">
        <v>3150</v>
      </c>
      <c r="AT23" s="26" t="s">
        <v>3151</v>
      </c>
    </row>
    <row r="24" spans="1:46" x14ac:dyDescent="0.25">
      <c r="A24" s="17" t="s">
        <v>401</v>
      </c>
      <c r="B24" s="17" t="s">
        <v>402</v>
      </c>
      <c r="G24" s="21" t="s">
        <v>403</v>
      </c>
      <c r="H24" s="17" t="s">
        <v>404</v>
      </c>
      <c r="M24" s="25" t="s">
        <v>405</v>
      </c>
      <c r="N24" s="25" t="s">
        <v>406</v>
      </c>
      <c r="S24" s="17" t="s">
        <v>407</v>
      </c>
      <c r="T24" s="17" t="s">
        <v>408</v>
      </c>
      <c r="AK24" s="17" t="s">
        <v>355</v>
      </c>
      <c r="AL24" s="17" t="s">
        <v>2845</v>
      </c>
      <c r="AQ24" s="26" t="s">
        <v>3077</v>
      </c>
      <c r="AS24" s="26" t="s">
        <v>3152</v>
      </c>
      <c r="AT24" s="26" t="s">
        <v>3153</v>
      </c>
    </row>
    <row r="25" spans="1:46" x14ac:dyDescent="0.25">
      <c r="A25" s="17" t="s">
        <v>410</v>
      </c>
      <c r="B25" s="17" t="s">
        <v>411</v>
      </c>
      <c r="G25" s="21" t="s">
        <v>412</v>
      </c>
      <c r="H25" s="17" t="s">
        <v>413</v>
      </c>
      <c r="M25" s="25" t="s">
        <v>414</v>
      </c>
      <c r="N25" s="25" t="s">
        <v>415</v>
      </c>
      <c r="S25" s="17" t="s">
        <v>416</v>
      </c>
      <c r="T25" s="17" t="s">
        <v>417</v>
      </c>
      <c r="AK25" s="17" t="s">
        <v>364</v>
      </c>
      <c r="AL25" s="17" t="s">
        <v>2846</v>
      </c>
      <c r="AQ25" s="26" t="s">
        <v>3078</v>
      </c>
      <c r="AS25" s="26" t="s">
        <v>3154</v>
      </c>
      <c r="AT25" s="26" t="s">
        <v>3155</v>
      </c>
    </row>
    <row r="26" spans="1:46" x14ac:dyDescent="0.25">
      <c r="A26" s="17" t="s">
        <v>419</v>
      </c>
      <c r="B26" s="17" t="s">
        <v>420</v>
      </c>
      <c r="G26" s="21" t="s">
        <v>421</v>
      </c>
      <c r="H26" s="17" t="s">
        <v>422</v>
      </c>
      <c r="M26" s="25" t="s">
        <v>423</v>
      </c>
      <c r="N26" s="25" t="s">
        <v>424</v>
      </c>
      <c r="S26" s="17" t="s">
        <v>425</v>
      </c>
      <c r="T26" s="17" t="s">
        <v>426</v>
      </c>
      <c r="AK26" s="17" t="s">
        <v>373</v>
      </c>
      <c r="AL26" s="17" t="s">
        <v>2847</v>
      </c>
      <c r="AQ26" s="26" t="s">
        <v>3079</v>
      </c>
      <c r="AS26" s="26" t="s">
        <v>3156</v>
      </c>
      <c r="AT26" s="26" t="s">
        <v>3157</v>
      </c>
    </row>
    <row r="27" spans="1:46" x14ac:dyDescent="0.25">
      <c r="A27" s="17" t="s">
        <v>428</v>
      </c>
      <c r="B27" s="17" t="s">
        <v>429</v>
      </c>
      <c r="G27" s="21" t="s">
        <v>430</v>
      </c>
      <c r="H27" s="17" t="s">
        <v>431</v>
      </c>
      <c r="M27" s="25" t="s">
        <v>432</v>
      </c>
      <c r="N27" s="25" t="s">
        <v>433</v>
      </c>
      <c r="S27" s="17" t="s">
        <v>434</v>
      </c>
      <c r="T27" s="17" t="s">
        <v>435</v>
      </c>
      <c r="AK27" s="17" t="s">
        <v>382</v>
      </c>
      <c r="AL27" s="17" t="s">
        <v>2848</v>
      </c>
      <c r="AQ27" s="26" t="s">
        <v>3080</v>
      </c>
      <c r="AS27" s="26" t="s">
        <v>3158</v>
      </c>
      <c r="AT27" s="26" t="s">
        <v>3159</v>
      </c>
    </row>
    <row r="28" spans="1:46" x14ac:dyDescent="0.25">
      <c r="A28" s="17" t="s">
        <v>437</v>
      </c>
      <c r="B28" s="17" t="s">
        <v>438</v>
      </c>
      <c r="G28" s="21" t="s">
        <v>439</v>
      </c>
      <c r="H28" s="17" t="s">
        <v>440</v>
      </c>
      <c r="M28" s="25" t="s">
        <v>441</v>
      </c>
      <c r="N28" s="25" t="s">
        <v>442</v>
      </c>
      <c r="S28" s="17" t="s">
        <v>443</v>
      </c>
      <c r="T28" s="17" t="s">
        <v>444</v>
      </c>
      <c r="AK28" s="17" t="s">
        <v>391</v>
      </c>
      <c r="AL28" s="17" t="s">
        <v>2849</v>
      </c>
      <c r="AQ28" s="26" t="s">
        <v>3081</v>
      </c>
      <c r="AS28" s="26" t="s">
        <v>3160</v>
      </c>
      <c r="AT28" s="26" t="s">
        <v>3161</v>
      </c>
    </row>
    <row r="29" spans="1:46" x14ac:dyDescent="0.25">
      <c r="A29" s="17" t="s">
        <v>446</v>
      </c>
      <c r="B29" s="17" t="s">
        <v>447</v>
      </c>
      <c r="G29" s="21" t="s">
        <v>448</v>
      </c>
      <c r="H29" s="17" t="s">
        <v>449</v>
      </c>
      <c r="M29" s="25" t="s">
        <v>450</v>
      </c>
      <c r="N29" s="25" t="s">
        <v>451</v>
      </c>
      <c r="S29" s="17" t="s">
        <v>452</v>
      </c>
      <c r="T29" s="17" t="s">
        <v>453</v>
      </c>
      <c r="AK29" s="17" t="s">
        <v>400</v>
      </c>
      <c r="AL29" s="17" t="s">
        <v>2850</v>
      </c>
      <c r="AQ29" s="26" t="s">
        <v>3082</v>
      </c>
      <c r="AS29" s="26" t="s">
        <v>3162</v>
      </c>
      <c r="AT29" s="26" t="s">
        <v>3163</v>
      </c>
    </row>
    <row r="30" spans="1:46" x14ac:dyDescent="0.25">
      <c r="A30" s="17" t="s">
        <v>455</v>
      </c>
      <c r="B30" s="17" t="s">
        <v>456</v>
      </c>
      <c r="G30" s="21" t="s">
        <v>457</v>
      </c>
      <c r="H30" s="17" t="s">
        <v>458</v>
      </c>
      <c r="M30" s="25" t="s">
        <v>459</v>
      </c>
      <c r="N30" s="25" t="s">
        <v>460</v>
      </c>
      <c r="S30" s="17" t="s">
        <v>461</v>
      </c>
      <c r="T30" s="17" t="s">
        <v>462</v>
      </c>
      <c r="AK30" s="17" t="s">
        <v>409</v>
      </c>
      <c r="AL30" s="17" t="s">
        <v>2851</v>
      </c>
      <c r="AQ30" s="26" t="s">
        <v>3083</v>
      </c>
      <c r="AS30" s="26" t="s">
        <v>3164</v>
      </c>
      <c r="AT30" s="26" t="s">
        <v>3165</v>
      </c>
    </row>
    <row r="31" spans="1:46" x14ac:dyDescent="0.25">
      <c r="A31" s="17" t="s">
        <v>464</v>
      </c>
      <c r="B31" s="17" t="s">
        <v>465</v>
      </c>
      <c r="G31" s="21" t="s">
        <v>466</v>
      </c>
      <c r="H31" s="17" t="s">
        <v>467</v>
      </c>
      <c r="M31" s="25" t="s">
        <v>468</v>
      </c>
      <c r="N31" s="25" t="s">
        <v>469</v>
      </c>
      <c r="S31" s="17" t="s">
        <v>470</v>
      </c>
      <c r="T31" s="17" t="s">
        <v>471</v>
      </c>
      <c r="AK31" s="17" t="s">
        <v>418</v>
      </c>
      <c r="AL31" s="17" t="s">
        <v>2852</v>
      </c>
      <c r="AS31" s="26" t="s">
        <v>3166</v>
      </c>
      <c r="AT31" s="26" t="s">
        <v>3167</v>
      </c>
    </row>
    <row r="32" spans="1:46" x14ac:dyDescent="0.25">
      <c r="A32" s="17" t="s">
        <v>473</v>
      </c>
      <c r="B32" s="17" t="s">
        <v>474</v>
      </c>
      <c r="G32" s="21" t="s">
        <v>475</v>
      </c>
      <c r="H32" s="17" t="s">
        <v>476</v>
      </c>
      <c r="M32" s="25" t="s">
        <v>477</v>
      </c>
      <c r="N32" s="25" t="s">
        <v>478</v>
      </c>
      <c r="S32" s="17" t="s">
        <v>479</v>
      </c>
      <c r="T32" s="17" t="s">
        <v>480</v>
      </c>
      <c r="AK32" s="17" t="s">
        <v>427</v>
      </c>
      <c r="AL32" s="17" t="s">
        <v>2853</v>
      </c>
      <c r="AS32" s="26" t="s">
        <v>3168</v>
      </c>
      <c r="AT32" s="26" t="s">
        <v>3169</v>
      </c>
    </row>
    <row r="33" spans="1:46" x14ac:dyDescent="0.25">
      <c r="A33" s="17" t="s">
        <v>482</v>
      </c>
      <c r="B33" s="17" t="s">
        <v>483</v>
      </c>
      <c r="G33" s="21" t="s">
        <v>484</v>
      </c>
      <c r="H33" s="17" t="s">
        <v>485</v>
      </c>
      <c r="M33" s="25" t="s">
        <v>486</v>
      </c>
      <c r="N33" s="25" t="s">
        <v>487</v>
      </c>
      <c r="S33" s="17" t="s">
        <v>488</v>
      </c>
      <c r="T33" s="17" t="s">
        <v>489</v>
      </c>
      <c r="AK33" s="17" t="s">
        <v>436</v>
      </c>
      <c r="AL33" s="17" t="s">
        <v>2854</v>
      </c>
      <c r="AS33" s="26" t="s">
        <v>3170</v>
      </c>
      <c r="AT33" s="26" t="s">
        <v>3171</v>
      </c>
    </row>
    <row r="34" spans="1:46" x14ac:dyDescent="0.25">
      <c r="A34" s="17" t="s">
        <v>491</v>
      </c>
      <c r="B34" s="17" t="s">
        <v>492</v>
      </c>
      <c r="G34" s="21" t="s">
        <v>493</v>
      </c>
      <c r="H34" s="17" t="s">
        <v>494</v>
      </c>
      <c r="M34" s="25" t="s">
        <v>495</v>
      </c>
      <c r="N34" s="25" t="s">
        <v>496</v>
      </c>
      <c r="S34" s="17" t="s">
        <v>497</v>
      </c>
      <c r="T34" s="17" t="s">
        <v>498</v>
      </c>
      <c r="AK34" s="17" t="s">
        <v>445</v>
      </c>
      <c r="AL34" s="17" t="s">
        <v>2855</v>
      </c>
      <c r="AS34" s="26" t="s">
        <v>3172</v>
      </c>
      <c r="AT34" s="26" t="s">
        <v>3173</v>
      </c>
    </row>
    <row r="35" spans="1:46" x14ac:dyDescent="0.25">
      <c r="A35" s="17" t="s">
        <v>500</v>
      </c>
      <c r="B35" s="17" t="s">
        <v>501</v>
      </c>
      <c r="G35" s="21" t="s">
        <v>502</v>
      </c>
      <c r="H35" s="17" t="s">
        <v>503</v>
      </c>
      <c r="M35" s="25" t="s">
        <v>504</v>
      </c>
      <c r="N35" s="25" t="s">
        <v>505</v>
      </c>
      <c r="S35" s="17" t="s">
        <v>506</v>
      </c>
      <c r="T35" s="17" t="s">
        <v>507</v>
      </c>
      <c r="AK35" s="17" t="s">
        <v>454</v>
      </c>
      <c r="AL35" s="17" t="s">
        <v>2856</v>
      </c>
      <c r="AS35" s="26" t="s">
        <v>3174</v>
      </c>
      <c r="AT35" s="26" t="s">
        <v>3175</v>
      </c>
    </row>
    <row r="36" spans="1:46" x14ac:dyDescent="0.25">
      <c r="A36" s="17" t="s">
        <v>509</v>
      </c>
      <c r="B36" s="17" t="s">
        <v>510</v>
      </c>
      <c r="G36" s="21" t="s">
        <v>511</v>
      </c>
      <c r="H36" s="17" t="s">
        <v>512</v>
      </c>
      <c r="M36" s="25" t="s">
        <v>513</v>
      </c>
      <c r="N36" s="25" t="s">
        <v>514</v>
      </c>
      <c r="S36" s="17" t="s">
        <v>515</v>
      </c>
      <c r="T36" s="17" t="s">
        <v>516</v>
      </c>
      <c r="AK36" s="17" t="s">
        <v>463</v>
      </c>
      <c r="AL36" s="17" t="s">
        <v>2857</v>
      </c>
      <c r="AS36" s="26" t="s">
        <v>3176</v>
      </c>
      <c r="AT36" s="26" t="s">
        <v>3177</v>
      </c>
    </row>
    <row r="37" spans="1:46" x14ac:dyDescent="0.25">
      <c r="A37" s="17" t="s">
        <v>518</v>
      </c>
      <c r="B37" s="17" t="s">
        <v>519</v>
      </c>
      <c r="G37" s="21" t="s">
        <v>520</v>
      </c>
      <c r="H37" s="17" t="s">
        <v>521</v>
      </c>
      <c r="M37" s="25" t="s">
        <v>522</v>
      </c>
      <c r="N37" s="25" t="s">
        <v>523</v>
      </c>
      <c r="S37" s="17" t="s">
        <v>524</v>
      </c>
      <c r="T37" s="17" t="s">
        <v>525</v>
      </c>
      <c r="AK37" s="17" t="s">
        <v>472</v>
      </c>
      <c r="AL37" s="17" t="s">
        <v>2858</v>
      </c>
      <c r="AS37" s="26" t="s">
        <v>3178</v>
      </c>
      <c r="AT37" s="26" t="s">
        <v>3179</v>
      </c>
    </row>
    <row r="38" spans="1:46" x14ac:dyDescent="0.25">
      <c r="A38" s="17" t="s">
        <v>527</v>
      </c>
      <c r="B38" s="17" t="s">
        <v>528</v>
      </c>
      <c r="G38" s="21" t="s">
        <v>529</v>
      </c>
      <c r="H38" s="17" t="s">
        <v>530</v>
      </c>
      <c r="M38" s="25" t="s">
        <v>531</v>
      </c>
      <c r="N38" s="25" t="s">
        <v>532</v>
      </c>
      <c r="S38" s="17" t="s">
        <v>533</v>
      </c>
      <c r="T38" s="17" t="s">
        <v>534</v>
      </c>
      <c r="AK38" s="17" t="s">
        <v>481</v>
      </c>
      <c r="AL38" s="17" t="s">
        <v>2859</v>
      </c>
      <c r="AS38" s="26" t="s">
        <v>3180</v>
      </c>
      <c r="AT38" s="26" t="s">
        <v>3181</v>
      </c>
    </row>
    <row r="39" spans="1:46" x14ac:dyDescent="0.25">
      <c r="A39" s="17" t="s">
        <v>536</v>
      </c>
      <c r="B39" s="17" t="s">
        <v>537</v>
      </c>
      <c r="G39" s="21" t="s">
        <v>538</v>
      </c>
      <c r="H39" s="17" t="s">
        <v>539</v>
      </c>
      <c r="M39" s="25" t="s">
        <v>540</v>
      </c>
      <c r="N39" s="25" t="s">
        <v>541</v>
      </c>
      <c r="S39" s="17" t="s">
        <v>542</v>
      </c>
      <c r="T39" s="17" t="s">
        <v>543</v>
      </c>
      <c r="AK39" s="17" t="s">
        <v>490</v>
      </c>
      <c r="AL39" s="17" t="s">
        <v>2860</v>
      </c>
      <c r="AS39" s="26" t="s">
        <v>3182</v>
      </c>
      <c r="AT39" s="26" t="s">
        <v>3183</v>
      </c>
    </row>
    <row r="40" spans="1:46" x14ac:dyDescent="0.25">
      <c r="A40" s="17" t="s">
        <v>545</v>
      </c>
      <c r="B40" s="17" t="s">
        <v>546</v>
      </c>
      <c r="G40" s="21" t="s">
        <v>547</v>
      </c>
      <c r="H40" s="17" t="s">
        <v>548</v>
      </c>
      <c r="M40" s="25" t="s">
        <v>549</v>
      </c>
      <c r="N40" s="25" t="s">
        <v>550</v>
      </c>
      <c r="S40" s="17" t="s">
        <v>551</v>
      </c>
      <c r="T40" s="17" t="s">
        <v>552</v>
      </c>
      <c r="AK40" s="17" t="s">
        <v>499</v>
      </c>
      <c r="AL40" s="17" t="s">
        <v>2861</v>
      </c>
      <c r="AS40" s="26" t="s">
        <v>3184</v>
      </c>
      <c r="AT40" s="26" t="s">
        <v>3185</v>
      </c>
    </row>
    <row r="41" spans="1:46" x14ac:dyDescent="0.25">
      <c r="A41" s="17" t="s">
        <v>554</v>
      </c>
      <c r="B41" s="17" t="s">
        <v>555</v>
      </c>
      <c r="G41" s="21" t="s">
        <v>556</v>
      </c>
      <c r="H41" s="17" t="s">
        <v>557</v>
      </c>
      <c r="M41" s="25" t="s">
        <v>558</v>
      </c>
      <c r="N41" s="25" t="s">
        <v>559</v>
      </c>
      <c r="S41" s="17" t="s">
        <v>560</v>
      </c>
      <c r="T41" s="17" t="s">
        <v>561</v>
      </c>
      <c r="AK41" s="17" t="s">
        <v>508</v>
      </c>
      <c r="AL41" s="17" t="s">
        <v>2862</v>
      </c>
      <c r="AS41" s="26" t="s">
        <v>3186</v>
      </c>
      <c r="AT41" s="26" t="s">
        <v>3187</v>
      </c>
    </row>
    <row r="42" spans="1:46" x14ac:dyDescent="0.25">
      <c r="A42" s="17" t="s">
        <v>563</v>
      </c>
      <c r="B42" s="17" t="s">
        <v>564</v>
      </c>
      <c r="G42" s="21" t="s">
        <v>565</v>
      </c>
      <c r="H42" s="17" t="s">
        <v>566</v>
      </c>
      <c r="M42" s="25" t="s">
        <v>567</v>
      </c>
      <c r="N42" s="25" t="s">
        <v>568</v>
      </c>
      <c r="S42" s="17" t="s">
        <v>569</v>
      </c>
      <c r="T42" s="17" t="s">
        <v>570</v>
      </c>
      <c r="AK42" s="17" t="s">
        <v>517</v>
      </c>
      <c r="AL42" s="17" t="s">
        <v>2863</v>
      </c>
      <c r="AS42" s="26" t="s">
        <v>3188</v>
      </c>
      <c r="AT42" s="26" t="s">
        <v>3189</v>
      </c>
    </row>
    <row r="43" spans="1:46" x14ac:dyDescent="0.25">
      <c r="A43" s="17" t="s">
        <v>572</v>
      </c>
      <c r="B43" s="17" t="s">
        <v>573</v>
      </c>
      <c r="G43" s="21" t="s">
        <v>574</v>
      </c>
      <c r="H43" s="17" t="s">
        <v>575</v>
      </c>
      <c r="M43" s="25" t="s">
        <v>576</v>
      </c>
      <c r="N43" s="25" t="s">
        <v>577</v>
      </c>
      <c r="S43" s="17" t="s">
        <v>578</v>
      </c>
      <c r="T43" s="17" t="s">
        <v>579</v>
      </c>
      <c r="AK43" s="17" t="s">
        <v>526</v>
      </c>
      <c r="AL43" s="17" t="s">
        <v>2864</v>
      </c>
      <c r="AS43" s="26" t="s">
        <v>3190</v>
      </c>
      <c r="AT43" s="26" t="s">
        <v>3191</v>
      </c>
    </row>
    <row r="44" spans="1:46" x14ac:dyDescent="0.25">
      <c r="A44" s="17" t="s">
        <v>581</v>
      </c>
      <c r="B44" s="17" t="s">
        <v>582</v>
      </c>
      <c r="G44" s="21" t="s">
        <v>583</v>
      </c>
      <c r="H44" s="17" t="s">
        <v>584</v>
      </c>
      <c r="M44" s="25" t="s">
        <v>585</v>
      </c>
      <c r="N44" s="25" t="s">
        <v>586</v>
      </c>
      <c r="S44" s="17" t="s">
        <v>587</v>
      </c>
      <c r="T44" s="17" t="s">
        <v>588</v>
      </c>
      <c r="AK44" s="17" t="s">
        <v>535</v>
      </c>
      <c r="AL44" s="17" t="s">
        <v>2865</v>
      </c>
      <c r="AS44" s="26" t="s">
        <v>3192</v>
      </c>
      <c r="AT44" s="26" t="s">
        <v>3193</v>
      </c>
    </row>
    <row r="45" spans="1:46" x14ac:dyDescent="0.25">
      <c r="A45" s="17" t="s">
        <v>590</v>
      </c>
      <c r="B45" s="17" t="s">
        <v>591</v>
      </c>
      <c r="G45" s="21" t="s">
        <v>592</v>
      </c>
      <c r="H45" s="17" t="s">
        <v>593</v>
      </c>
      <c r="M45" s="25" t="s">
        <v>594</v>
      </c>
      <c r="N45" s="25" t="s">
        <v>595</v>
      </c>
      <c r="S45" s="17" t="s">
        <v>596</v>
      </c>
      <c r="T45" s="17" t="s">
        <v>597</v>
      </c>
      <c r="AK45" s="17" t="s">
        <v>544</v>
      </c>
      <c r="AL45" s="17" t="s">
        <v>2866</v>
      </c>
      <c r="AS45" s="26" t="s">
        <v>3194</v>
      </c>
      <c r="AT45" s="26" t="s">
        <v>3195</v>
      </c>
    </row>
    <row r="46" spans="1:46" x14ac:dyDescent="0.25">
      <c r="A46" s="17" t="s">
        <v>599</v>
      </c>
      <c r="B46" s="17" t="s">
        <v>600</v>
      </c>
      <c r="G46" s="21" t="s">
        <v>601</v>
      </c>
      <c r="H46" s="17" t="s">
        <v>602</v>
      </c>
      <c r="M46" s="25" t="s">
        <v>603</v>
      </c>
      <c r="N46" s="25" t="s">
        <v>604</v>
      </c>
      <c r="S46" s="17" t="s">
        <v>605</v>
      </c>
      <c r="T46" s="17" t="s">
        <v>606</v>
      </c>
      <c r="AK46" s="17" t="s">
        <v>553</v>
      </c>
      <c r="AL46" s="17" t="s">
        <v>2867</v>
      </c>
      <c r="AS46" s="26" t="s">
        <v>3196</v>
      </c>
      <c r="AT46" s="26" t="s">
        <v>3197</v>
      </c>
    </row>
    <row r="47" spans="1:46" x14ac:dyDescent="0.25">
      <c r="A47" s="17" t="s">
        <v>608</v>
      </c>
      <c r="B47" s="17" t="s">
        <v>609</v>
      </c>
      <c r="G47" s="21" t="s">
        <v>610</v>
      </c>
      <c r="H47" s="17" t="s">
        <v>611</v>
      </c>
      <c r="M47" s="25" t="s">
        <v>612</v>
      </c>
      <c r="N47" s="25" t="s">
        <v>613</v>
      </c>
      <c r="S47" s="17" t="s">
        <v>614</v>
      </c>
      <c r="T47" s="17" t="s">
        <v>615</v>
      </c>
      <c r="AK47" s="17" t="s">
        <v>562</v>
      </c>
      <c r="AL47" s="17" t="s">
        <v>2868</v>
      </c>
      <c r="AS47" s="26" t="s">
        <v>3198</v>
      </c>
      <c r="AT47" s="26" t="s">
        <v>3199</v>
      </c>
    </row>
    <row r="48" spans="1:46" x14ac:dyDescent="0.25">
      <c r="A48" s="17" t="s">
        <v>617</v>
      </c>
      <c r="B48" s="17" t="s">
        <v>618</v>
      </c>
      <c r="G48" s="21" t="s">
        <v>619</v>
      </c>
      <c r="H48" s="17" t="s">
        <v>620</v>
      </c>
      <c r="M48" s="25" t="s">
        <v>621</v>
      </c>
      <c r="N48" s="25" t="s">
        <v>622</v>
      </c>
      <c r="S48" s="17" t="s">
        <v>623</v>
      </c>
      <c r="T48" s="17" t="s">
        <v>624</v>
      </c>
      <c r="AK48" s="17" t="s">
        <v>571</v>
      </c>
      <c r="AL48" s="17" t="s">
        <v>2869</v>
      </c>
      <c r="AS48" s="26" t="s">
        <v>3200</v>
      </c>
      <c r="AT48" s="26" t="s">
        <v>3201</v>
      </c>
    </row>
    <row r="49" spans="1:46" x14ac:dyDescent="0.25">
      <c r="A49" s="17" t="s">
        <v>626</v>
      </c>
      <c r="B49" s="17" t="s">
        <v>627</v>
      </c>
      <c r="G49" s="21" t="s">
        <v>628</v>
      </c>
      <c r="H49" s="17" t="s">
        <v>629</v>
      </c>
      <c r="M49" s="25" t="s">
        <v>630</v>
      </c>
      <c r="N49" s="25" t="s">
        <v>631</v>
      </c>
      <c r="S49" s="17" t="s">
        <v>632</v>
      </c>
      <c r="T49" s="17" t="s">
        <v>633</v>
      </c>
      <c r="AK49" s="17" t="s">
        <v>580</v>
      </c>
      <c r="AL49" s="17" t="s">
        <v>2870</v>
      </c>
      <c r="AS49" s="26" t="s">
        <v>3202</v>
      </c>
      <c r="AT49" s="26" t="s">
        <v>3203</v>
      </c>
    </row>
    <row r="50" spans="1:46" x14ac:dyDescent="0.25">
      <c r="A50" s="17" t="s">
        <v>635</v>
      </c>
      <c r="B50" s="17" t="s">
        <v>636</v>
      </c>
      <c r="G50" s="21" t="s">
        <v>637</v>
      </c>
      <c r="H50" s="17" t="s">
        <v>638</v>
      </c>
      <c r="M50" s="25" t="s">
        <v>639</v>
      </c>
      <c r="N50" s="25" t="s">
        <v>640</v>
      </c>
      <c r="S50" s="17" t="s">
        <v>641</v>
      </c>
      <c r="T50" s="17" t="s">
        <v>642</v>
      </c>
      <c r="AK50" s="17" t="s">
        <v>589</v>
      </c>
      <c r="AL50" s="17" t="s">
        <v>2871</v>
      </c>
      <c r="AS50" s="26" t="s">
        <v>3204</v>
      </c>
      <c r="AT50" s="26" t="s">
        <v>3205</v>
      </c>
    </row>
    <row r="51" spans="1:46" x14ac:dyDescent="0.25">
      <c r="A51" s="17" t="s">
        <v>644</v>
      </c>
      <c r="B51" s="17" t="s">
        <v>645</v>
      </c>
      <c r="G51" s="21" t="s">
        <v>646</v>
      </c>
      <c r="H51" s="17" t="s">
        <v>647</v>
      </c>
      <c r="M51" s="25" t="s">
        <v>648</v>
      </c>
      <c r="N51" s="25" t="s">
        <v>649</v>
      </c>
      <c r="S51" s="17" t="s">
        <v>650</v>
      </c>
      <c r="T51" s="17" t="s">
        <v>651</v>
      </c>
      <c r="AK51" s="17" t="s">
        <v>598</v>
      </c>
      <c r="AL51" s="17" t="s">
        <v>2872</v>
      </c>
      <c r="AS51" s="26" t="s">
        <v>3206</v>
      </c>
      <c r="AT51" s="26" t="s">
        <v>3207</v>
      </c>
    </row>
    <row r="52" spans="1:46" x14ac:dyDescent="0.25">
      <c r="A52" s="17" t="s">
        <v>653</v>
      </c>
      <c r="B52" s="17" t="s">
        <v>654</v>
      </c>
      <c r="G52" s="21" t="s">
        <v>655</v>
      </c>
      <c r="H52" s="17" t="s">
        <v>656</v>
      </c>
      <c r="M52" s="25" t="s">
        <v>657</v>
      </c>
      <c r="N52" s="25" t="s">
        <v>658</v>
      </c>
      <c r="S52" s="17" t="s">
        <v>659</v>
      </c>
      <c r="T52" s="17" t="s">
        <v>660</v>
      </c>
      <c r="AK52" s="17" t="s">
        <v>607</v>
      </c>
      <c r="AL52" s="17" t="s">
        <v>2873</v>
      </c>
      <c r="AS52" s="26" t="s">
        <v>3208</v>
      </c>
      <c r="AT52" s="26" t="s">
        <v>3209</v>
      </c>
    </row>
    <row r="53" spans="1:46" x14ac:dyDescent="0.25">
      <c r="A53" s="17" t="s">
        <v>662</v>
      </c>
      <c r="B53" s="17" t="s">
        <v>663</v>
      </c>
      <c r="G53" s="21" t="s">
        <v>664</v>
      </c>
      <c r="H53" s="17" t="s">
        <v>665</v>
      </c>
      <c r="M53" s="25" t="s">
        <v>666</v>
      </c>
      <c r="N53" s="25" t="s">
        <v>667</v>
      </c>
      <c r="S53" s="17" t="s">
        <v>668</v>
      </c>
      <c r="T53" s="17" t="s">
        <v>669</v>
      </c>
      <c r="AK53" s="17" t="s">
        <v>616</v>
      </c>
      <c r="AL53" s="17" t="s">
        <v>2874</v>
      </c>
      <c r="AS53" s="26" t="s">
        <v>3210</v>
      </c>
      <c r="AT53" s="26" t="s">
        <v>3211</v>
      </c>
    </row>
    <row r="54" spans="1:46" x14ac:dyDescent="0.25">
      <c r="A54" s="17" t="s">
        <v>671</v>
      </c>
      <c r="B54" s="17" t="s">
        <v>672</v>
      </c>
      <c r="G54" s="21" t="s">
        <v>673</v>
      </c>
      <c r="H54" s="17" t="s">
        <v>674</v>
      </c>
      <c r="M54" s="25" t="s">
        <v>675</v>
      </c>
      <c r="N54" s="25" t="s">
        <v>676</v>
      </c>
      <c r="S54" s="17" t="s">
        <v>677</v>
      </c>
      <c r="T54" s="17" t="s">
        <v>678</v>
      </c>
      <c r="AK54" s="17" t="s">
        <v>625</v>
      </c>
      <c r="AL54" s="17" t="s">
        <v>2875</v>
      </c>
      <c r="AS54" s="26" t="s">
        <v>3212</v>
      </c>
      <c r="AT54" s="26" t="s">
        <v>393</v>
      </c>
    </row>
    <row r="55" spans="1:46" x14ac:dyDescent="0.25">
      <c r="A55" s="17" t="s">
        <v>680</v>
      </c>
      <c r="B55" s="17" t="s">
        <v>681</v>
      </c>
      <c r="G55" s="21" t="s">
        <v>682</v>
      </c>
      <c r="H55" s="17" t="s">
        <v>683</v>
      </c>
      <c r="M55" s="25" t="s">
        <v>684</v>
      </c>
      <c r="N55" s="25" t="s">
        <v>685</v>
      </c>
      <c r="S55" s="17" t="s">
        <v>686</v>
      </c>
      <c r="T55" s="17" t="s">
        <v>687</v>
      </c>
      <c r="AK55" s="17" t="s">
        <v>634</v>
      </c>
      <c r="AL55" s="17" t="s">
        <v>2876</v>
      </c>
      <c r="AS55" s="26" t="s">
        <v>3213</v>
      </c>
      <c r="AT55" s="26" t="s">
        <v>402</v>
      </c>
    </row>
    <row r="56" spans="1:46" x14ac:dyDescent="0.25">
      <c r="A56" s="17" t="s">
        <v>689</v>
      </c>
      <c r="B56" s="17" t="s">
        <v>690</v>
      </c>
      <c r="G56" s="21" t="s">
        <v>691</v>
      </c>
      <c r="H56" s="17" t="s">
        <v>692</v>
      </c>
      <c r="M56" s="25" t="s">
        <v>693</v>
      </c>
      <c r="N56" s="25" t="s">
        <v>694</v>
      </c>
      <c r="S56" s="17" t="s">
        <v>695</v>
      </c>
      <c r="T56" s="17" t="s">
        <v>696</v>
      </c>
      <c r="AK56" s="17" t="s">
        <v>643</v>
      </c>
      <c r="AL56" s="17" t="s">
        <v>847</v>
      </c>
      <c r="AS56" s="26" t="s">
        <v>3214</v>
      </c>
      <c r="AT56" s="26" t="s">
        <v>429</v>
      </c>
    </row>
    <row r="57" spans="1:46" x14ac:dyDescent="0.25">
      <c r="A57" s="17" t="s">
        <v>698</v>
      </c>
      <c r="B57" s="17" t="s">
        <v>699</v>
      </c>
      <c r="G57" s="21" t="s">
        <v>700</v>
      </c>
      <c r="H57" s="17" t="s">
        <v>701</v>
      </c>
      <c r="M57" s="25" t="s">
        <v>702</v>
      </c>
      <c r="N57" s="25" t="s">
        <v>703</v>
      </c>
      <c r="S57" s="17" t="s">
        <v>704</v>
      </c>
      <c r="T57" s="17" t="s">
        <v>705</v>
      </c>
      <c r="AK57" s="17" t="s">
        <v>652</v>
      </c>
      <c r="AL57" s="17" t="s">
        <v>856</v>
      </c>
      <c r="AS57" s="26" t="s">
        <v>3215</v>
      </c>
      <c r="AT57" s="26" t="s">
        <v>456</v>
      </c>
    </row>
    <row r="58" spans="1:46" x14ac:dyDescent="0.25">
      <c r="A58" s="17" t="s">
        <v>707</v>
      </c>
      <c r="B58" s="17" t="s">
        <v>708</v>
      </c>
      <c r="G58" s="21" t="s">
        <v>709</v>
      </c>
      <c r="H58" s="17" t="s">
        <v>710</v>
      </c>
      <c r="M58" s="25" t="s">
        <v>711</v>
      </c>
      <c r="N58" s="25" t="s">
        <v>712</v>
      </c>
      <c r="S58" s="17" t="s">
        <v>713</v>
      </c>
      <c r="T58" s="17" t="s">
        <v>714</v>
      </c>
      <c r="AK58" s="17" t="s">
        <v>661</v>
      </c>
      <c r="AL58" s="17" t="s">
        <v>2877</v>
      </c>
      <c r="AS58" s="26" t="s">
        <v>3216</v>
      </c>
      <c r="AT58" s="26" t="s">
        <v>465</v>
      </c>
    </row>
    <row r="59" spans="1:46" x14ac:dyDescent="0.25">
      <c r="A59" s="17" t="s">
        <v>716</v>
      </c>
      <c r="B59" s="17" t="s">
        <v>717</v>
      </c>
      <c r="G59" s="21" t="s">
        <v>718</v>
      </c>
      <c r="H59" s="17" t="s">
        <v>719</v>
      </c>
      <c r="M59" s="25" t="s">
        <v>720</v>
      </c>
      <c r="N59" s="25" t="s">
        <v>721</v>
      </c>
      <c r="S59" s="17" t="s">
        <v>722</v>
      </c>
      <c r="T59" s="17" t="s">
        <v>723</v>
      </c>
      <c r="AK59" s="17" t="s">
        <v>670</v>
      </c>
      <c r="AL59" s="17" t="s">
        <v>2878</v>
      </c>
      <c r="AS59" s="26" t="s">
        <v>3217</v>
      </c>
      <c r="AT59" s="26" t="s">
        <v>492</v>
      </c>
    </row>
    <row r="60" spans="1:46" x14ac:dyDescent="0.25">
      <c r="A60" s="17" t="s">
        <v>725</v>
      </c>
      <c r="B60" s="17" t="s">
        <v>726</v>
      </c>
      <c r="G60" s="21" t="s">
        <v>727</v>
      </c>
      <c r="H60" s="17" t="s">
        <v>728</v>
      </c>
      <c r="M60" s="25" t="s">
        <v>729</v>
      </c>
      <c r="N60" s="25" t="s">
        <v>730</v>
      </c>
      <c r="S60" s="17" t="s">
        <v>731</v>
      </c>
      <c r="T60" s="17" t="s">
        <v>732</v>
      </c>
      <c r="AK60" s="17" t="s">
        <v>679</v>
      </c>
      <c r="AL60" s="17" t="s">
        <v>2879</v>
      </c>
      <c r="AS60" s="26" t="s">
        <v>3218</v>
      </c>
      <c r="AT60" s="26" t="s">
        <v>573</v>
      </c>
    </row>
    <row r="61" spans="1:46" x14ac:dyDescent="0.25">
      <c r="A61" s="17" t="s">
        <v>734</v>
      </c>
      <c r="B61" s="17" t="s">
        <v>735</v>
      </c>
      <c r="G61" s="21" t="s">
        <v>736</v>
      </c>
      <c r="H61" s="17" t="s">
        <v>737</v>
      </c>
      <c r="M61" s="25" t="s">
        <v>738</v>
      </c>
      <c r="N61" s="25" t="s">
        <v>739</v>
      </c>
      <c r="S61" s="17" t="s">
        <v>740</v>
      </c>
      <c r="T61" s="17" t="s">
        <v>741</v>
      </c>
      <c r="AK61" s="17" t="s">
        <v>688</v>
      </c>
      <c r="AL61" s="17" t="s">
        <v>2880</v>
      </c>
      <c r="AS61" s="26" t="s">
        <v>3219</v>
      </c>
      <c r="AT61" s="26" t="s">
        <v>735</v>
      </c>
    </row>
    <row r="62" spans="1:46" x14ac:dyDescent="0.25">
      <c r="A62" s="17" t="s">
        <v>743</v>
      </c>
      <c r="B62" s="17" t="s">
        <v>744</v>
      </c>
      <c r="G62" s="21" t="s">
        <v>745</v>
      </c>
      <c r="H62" s="17" t="s">
        <v>746</v>
      </c>
      <c r="M62" s="25" t="s">
        <v>747</v>
      </c>
      <c r="N62" s="25" t="s">
        <v>748</v>
      </c>
      <c r="S62" s="17" t="s">
        <v>749</v>
      </c>
      <c r="T62" s="17" t="s">
        <v>750</v>
      </c>
      <c r="AK62" s="17" t="s">
        <v>697</v>
      </c>
      <c r="AL62" s="17" t="s">
        <v>2881</v>
      </c>
      <c r="AS62" s="26" t="s">
        <v>3220</v>
      </c>
      <c r="AT62" s="26" t="s">
        <v>753</v>
      </c>
    </row>
    <row r="63" spans="1:46" x14ac:dyDescent="0.25">
      <c r="A63" s="17" t="s">
        <v>752</v>
      </c>
      <c r="B63" s="17" t="s">
        <v>753</v>
      </c>
      <c r="G63" s="21" t="s">
        <v>754</v>
      </c>
      <c r="H63" s="17" t="s">
        <v>755</v>
      </c>
      <c r="M63" s="25" t="s">
        <v>756</v>
      </c>
      <c r="N63" s="25" t="s">
        <v>757</v>
      </c>
      <c r="S63" s="17" t="s">
        <v>758</v>
      </c>
      <c r="T63" s="17" t="s">
        <v>759</v>
      </c>
      <c r="AK63" s="17" t="s">
        <v>706</v>
      </c>
      <c r="AL63" s="17" t="s">
        <v>2882</v>
      </c>
      <c r="AS63" s="26" t="s">
        <v>3221</v>
      </c>
      <c r="AT63" s="26" t="s">
        <v>798</v>
      </c>
    </row>
    <row r="64" spans="1:46" x14ac:dyDescent="0.25">
      <c r="A64" s="17" t="s">
        <v>761</v>
      </c>
      <c r="B64" s="17" t="s">
        <v>762</v>
      </c>
      <c r="G64" s="21" t="s">
        <v>763</v>
      </c>
      <c r="H64" s="17" t="s">
        <v>764</v>
      </c>
      <c r="M64" s="25" t="s">
        <v>765</v>
      </c>
      <c r="N64" s="25" t="s">
        <v>766</v>
      </c>
      <c r="S64" s="17" t="s">
        <v>767</v>
      </c>
      <c r="T64" s="17" t="s">
        <v>768</v>
      </c>
      <c r="AK64" s="17" t="s">
        <v>715</v>
      </c>
      <c r="AL64" s="17" t="s">
        <v>2883</v>
      </c>
      <c r="AS64" s="26" t="s">
        <v>3222</v>
      </c>
      <c r="AT64" s="26" t="s">
        <v>807</v>
      </c>
    </row>
    <row r="65" spans="1:46" x14ac:dyDescent="0.25">
      <c r="A65" s="17" t="s">
        <v>770</v>
      </c>
      <c r="B65" s="17" t="s">
        <v>771</v>
      </c>
      <c r="G65" s="21" t="s">
        <v>772</v>
      </c>
      <c r="H65" s="17" t="s">
        <v>773</v>
      </c>
      <c r="M65" s="25" t="s">
        <v>774</v>
      </c>
      <c r="N65" s="25" t="s">
        <v>775</v>
      </c>
      <c r="S65" s="17" t="s">
        <v>776</v>
      </c>
      <c r="T65" s="17" t="s">
        <v>777</v>
      </c>
      <c r="AK65" s="17" t="s">
        <v>724</v>
      </c>
      <c r="AL65" s="17" t="s">
        <v>2884</v>
      </c>
      <c r="AS65" s="26" t="s">
        <v>3223</v>
      </c>
      <c r="AT65" s="26" t="s">
        <v>816</v>
      </c>
    </row>
    <row r="66" spans="1:46" x14ac:dyDescent="0.25">
      <c r="A66" s="17" t="s">
        <v>779</v>
      </c>
      <c r="B66" s="17" t="s">
        <v>780</v>
      </c>
      <c r="G66" s="21" t="s">
        <v>781</v>
      </c>
      <c r="H66" s="17" t="s">
        <v>782</v>
      </c>
      <c r="M66" s="25" t="s">
        <v>783</v>
      </c>
      <c r="N66" s="25" t="s">
        <v>784</v>
      </c>
      <c r="S66" s="17" t="s">
        <v>785</v>
      </c>
      <c r="T66" s="17" t="s">
        <v>786</v>
      </c>
      <c r="AK66" s="17" t="s">
        <v>733</v>
      </c>
      <c r="AL66" s="17" t="s">
        <v>2885</v>
      </c>
      <c r="AS66" s="26" t="s">
        <v>3224</v>
      </c>
      <c r="AT66" s="26" t="s">
        <v>852</v>
      </c>
    </row>
    <row r="67" spans="1:46" x14ac:dyDescent="0.25">
      <c r="A67" s="17" t="s">
        <v>788</v>
      </c>
      <c r="B67" s="17" t="s">
        <v>789</v>
      </c>
      <c r="G67" s="21" t="s">
        <v>790</v>
      </c>
      <c r="H67" s="17" t="s">
        <v>791</v>
      </c>
      <c r="M67" s="25" t="s">
        <v>792</v>
      </c>
      <c r="N67" s="25" t="s">
        <v>793</v>
      </c>
      <c r="S67" s="17" t="s">
        <v>794</v>
      </c>
      <c r="T67" s="17" t="s">
        <v>795</v>
      </c>
      <c r="AK67" s="17" t="s">
        <v>742</v>
      </c>
      <c r="AL67" s="17" t="s">
        <v>2886</v>
      </c>
      <c r="AS67" s="26" t="s">
        <v>3225</v>
      </c>
      <c r="AT67" s="26" t="s">
        <v>861</v>
      </c>
    </row>
    <row r="68" spans="1:46" x14ac:dyDescent="0.25">
      <c r="A68" s="17" t="s">
        <v>797</v>
      </c>
      <c r="B68" s="17" t="s">
        <v>798</v>
      </c>
      <c r="G68" s="21" t="s">
        <v>799</v>
      </c>
      <c r="H68" s="17" t="s">
        <v>800</v>
      </c>
      <c r="M68" s="25" t="s">
        <v>801</v>
      </c>
      <c r="N68" s="25" t="s">
        <v>802</v>
      </c>
      <c r="S68" s="17" t="s">
        <v>803</v>
      </c>
      <c r="T68" s="17" t="s">
        <v>804</v>
      </c>
      <c r="AK68" s="17" t="s">
        <v>751</v>
      </c>
      <c r="AL68" s="17" t="s">
        <v>2887</v>
      </c>
      <c r="AS68" s="26" t="s">
        <v>3226</v>
      </c>
      <c r="AT68" s="26" t="s">
        <v>897</v>
      </c>
    </row>
    <row r="69" spans="1:46" x14ac:dyDescent="0.25">
      <c r="A69" s="17" t="s">
        <v>806</v>
      </c>
      <c r="B69" s="17" t="s">
        <v>807</v>
      </c>
      <c r="G69" s="21" t="s">
        <v>808</v>
      </c>
      <c r="H69" s="17" t="s">
        <v>809</v>
      </c>
      <c r="M69" s="25" t="s">
        <v>810</v>
      </c>
      <c r="N69" s="25" t="s">
        <v>811</v>
      </c>
      <c r="S69" s="17" t="s">
        <v>812</v>
      </c>
      <c r="T69" s="17" t="s">
        <v>813</v>
      </c>
      <c r="AK69" s="17" t="s">
        <v>760</v>
      </c>
      <c r="AL69" s="17" t="s">
        <v>2888</v>
      </c>
      <c r="AS69" s="26" t="s">
        <v>3227</v>
      </c>
      <c r="AT69" s="26" t="s">
        <v>906</v>
      </c>
    </row>
    <row r="70" spans="1:46" x14ac:dyDescent="0.25">
      <c r="A70" s="17" t="s">
        <v>815</v>
      </c>
      <c r="B70" s="17" t="s">
        <v>816</v>
      </c>
      <c r="G70" s="21" t="s">
        <v>817</v>
      </c>
      <c r="H70" s="17" t="s">
        <v>818</v>
      </c>
      <c r="M70" s="25" t="s">
        <v>819</v>
      </c>
      <c r="N70" s="25" t="s">
        <v>820</v>
      </c>
      <c r="S70" s="17" t="s">
        <v>821</v>
      </c>
      <c r="T70" s="17" t="s">
        <v>822</v>
      </c>
      <c r="AK70" s="17" t="s">
        <v>769</v>
      </c>
      <c r="AL70" s="17" t="s">
        <v>2889</v>
      </c>
      <c r="AS70" s="26" t="s">
        <v>3228</v>
      </c>
      <c r="AT70" s="26" t="s">
        <v>951</v>
      </c>
    </row>
    <row r="71" spans="1:46" x14ac:dyDescent="0.25">
      <c r="A71" s="17" t="s">
        <v>824</v>
      </c>
      <c r="B71" s="17" t="s">
        <v>825</v>
      </c>
      <c r="G71" s="21" t="s">
        <v>826</v>
      </c>
      <c r="H71" s="17" t="s">
        <v>827</v>
      </c>
      <c r="M71" s="25" t="s">
        <v>828</v>
      </c>
      <c r="N71" s="25" t="s">
        <v>829</v>
      </c>
      <c r="S71" s="17" t="s">
        <v>830</v>
      </c>
      <c r="T71" s="17" t="s">
        <v>831</v>
      </c>
      <c r="AK71" s="17" t="s">
        <v>778</v>
      </c>
      <c r="AL71" s="17" t="s">
        <v>2890</v>
      </c>
      <c r="AS71" s="26" t="s">
        <v>3229</v>
      </c>
      <c r="AT71" s="26" t="s">
        <v>1283</v>
      </c>
    </row>
    <row r="72" spans="1:46" x14ac:dyDescent="0.25">
      <c r="A72" s="17" t="s">
        <v>833</v>
      </c>
      <c r="B72" s="17" t="s">
        <v>834</v>
      </c>
      <c r="G72" s="21" t="s">
        <v>835</v>
      </c>
      <c r="H72" s="17" t="s">
        <v>836</v>
      </c>
      <c r="M72" s="25" t="s">
        <v>837</v>
      </c>
      <c r="N72" s="25" t="s">
        <v>838</v>
      </c>
      <c r="S72" s="17" t="s">
        <v>839</v>
      </c>
      <c r="T72" s="17" t="s">
        <v>840</v>
      </c>
      <c r="AK72" s="17" t="s">
        <v>787</v>
      </c>
      <c r="AL72" s="17" t="s">
        <v>2891</v>
      </c>
      <c r="AS72" s="26" t="s">
        <v>3230</v>
      </c>
      <c r="AT72" s="26" t="s">
        <v>3231</v>
      </c>
    </row>
    <row r="73" spans="1:46" x14ac:dyDescent="0.25">
      <c r="A73" s="17" t="s">
        <v>842</v>
      </c>
      <c r="B73" s="17" t="s">
        <v>843</v>
      </c>
      <c r="G73" s="21" t="s">
        <v>844</v>
      </c>
      <c r="H73" s="17" t="s">
        <v>845</v>
      </c>
      <c r="M73" s="25" t="s">
        <v>846</v>
      </c>
      <c r="N73" s="25" t="s">
        <v>847</v>
      </c>
      <c r="S73" s="17" t="s">
        <v>848</v>
      </c>
      <c r="T73" s="17" t="s">
        <v>849</v>
      </c>
      <c r="AK73" s="17" t="s">
        <v>796</v>
      </c>
      <c r="AL73" s="17" t="s">
        <v>2892</v>
      </c>
      <c r="AS73" s="26" t="s">
        <v>3232</v>
      </c>
      <c r="AT73" s="26" t="s">
        <v>3233</v>
      </c>
    </row>
    <row r="74" spans="1:46" x14ac:dyDescent="0.25">
      <c r="A74" s="17" t="s">
        <v>851</v>
      </c>
      <c r="B74" s="17" t="s">
        <v>852</v>
      </c>
      <c r="G74" s="21" t="s">
        <v>853</v>
      </c>
      <c r="H74" s="17" t="s">
        <v>854</v>
      </c>
      <c r="M74" s="25" t="s">
        <v>855</v>
      </c>
      <c r="N74" s="25" t="s">
        <v>856</v>
      </c>
      <c r="S74" s="17" t="s">
        <v>857</v>
      </c>
      <c r="T74" s="17" t="s">
        <v>858</v>
      </c>
      <c r="AK74" s="17" t="s">
        <v>805</v>
      </c>
      <c r="AL74" s="17" t="s">
        <v>2893</v>
      </c>
      <c r="AS74" s="26" t="s">
        <v>3234</v>
      </c>
      <c r="AT74" s="26" t="s">
        <v>3235</v>
      </c>
    </row>
    <row r="75" spans="1:46" x14ac:dyDescent="0.25">
      <c r="A75" s="17" t="s">
        <v>860</v>
      </c>
      <c r="B75" s="17" t="s">
        <v>861</v>
      </c>
      <c r="G75" s="21" t="s">
        <v>862</v>
      </c>
      <c r="H75" s="17" t="s">
        <v>863</v>
      </c>
      <c r="M75" s="25" t="s">
        <v>864</v>
      </c>
      <c r="N75" s="25" t="s">
        <v>865</v>
      </c>
      <c r="S75" s="17" t="s">
        <v>866</v>
      </c>
      <c r="T75" s="17" t="s">
        <v>867</v>
      </c>
      <c r="AK75" s="17" t="s">
        <v>814</v>
      </c>
      <c r="AL75" s="17" t="s">
        <v>2894</v>
      </c>
      <c r="AS75" s="26" t="s">
        <v>3236</v>
      </c>
      <c r="AT75" s="26" t="s">
        <v>3237</v>
      </c>
    </row>
    <row r="76" spans="1:46" x14ac:dyDescent="0.25">
      <c r="A76" s="17" t="s">
        <v>869</v>
      </c>
      <c r="B76" s="17" t="s">
        <v>870</v>
      </c>
      <c r="G76" s="21" t="s">
        <v>871</v>
      </c>
      <c r="H76" s="17" t="s">
        <v>872</v>
      </c>
      <c r="M76" s="25" t="s">
        <v>873</v>
      </c>
      <c r="N76" s="25" t="s">
        <v>874</v>
      </c>
      <c r="S76" s="17" t="s">
        <v>875</v>
      </c>
      <c r="T76" s="17" t="s">
        <v>876</v>
      </c>
      <c r="AK76" s="17" t="s">
        <v>823</v>
      </c>
      <c r="AL76" s="17" t="s">
        <v>2895</v>
      </c>
      <c r="AS76" s="26" t="s">
        <v>3238</v>
      </c>
      <c r="AT76" s="26" t="s">
        <v>3239</v>
      </c>
    </row>
    <row r="77" spans="1:46" x14ac:dyDescent="0.25">
      <c r="A77" s="17" t="s">
        <v>878</v>
      </c>
      <c r="B77" s="17" t="s">
        <v>879</v>
      </c>
      <c r="G77" s="21" t="s">
        <v>880</v>
      </c>
      <c r="H77" s="17" t="s">
        <v>881</v>
      </c>
      <c r="M77" s="25" t="s">
        <v>882</v>
      </c>
      <c r="N77" s="25" t="s">
        <v>883</v>
      </c>
      <c r="S77" s="17" t="s">
        <v>884</v>
      </c>
      <c r="T77" s="17" t="s">
        <v>885</v>
      </c>
      <c r="AK77" s="17" t="s">
        <v>832</v>
      </c>
      <c r="AL77" s="17" t="s">
        <v>2896</v>
      </c>
      <c r="AS77" s="26" t="s">
        <v>3240</v>
      </c>
      <c r="AT77" s="26" t="s">
        <v>3241</v>
      </c>
    </row>
    <row r="78" spans="1:46" x14ac:dyDescent="0.25">
      <c r="A78" s="17" t="s">
        <v>887</v>
      </c>
      <c r="B78" s="17" t="s">
        <v>888</v>
      </c>
      <c r="G78" s="21" t="s">
        <v>889</v>
      </c>
      <c r="H78" s="17" t="s">
        <v>890</v>
      </c>
      <c r="M78" s="25" t="s">
        <v>891</v>
      </c>
      <c r="N78" s="25" t="s">
        <v>892</v>
      </c>
      <c r="S78" s="17" t="s">
        <v>893</v>
      </c>
      <c r="T78" s="17" t="s">
        <v>894</v>
      </c>
      <c r="AK78" s="17" t="s">
        <v>841</v>
      </c>
      <c r="AL78" s="17" t="s">
        <v>2897</v>
      </c>
      <c r="AS78" s="26" t="s">
        <v>3242</v>
      </c>
      <c r="AT78" s="26" t="s">
        <v>3243</v>
      </c>
    </row>
    <row r="79" spans="1:46" x14ac:dyDescent="0.25">
      <c r="A79" s="17" t="s">
        <v>896</v>
      </c>
      <c r="B79" s="17" t="s">
        <v>897</v>
      </c>
      <c r="G79" s="21" t="s">
        <v>898</v>
      </c>
      <c r="H79" s="17" t="s">
        <v>899</v>
      </c>
      <c r="M79" s="25" t="s">
        <v>900</v>
      </c>
      <c r="N79" s="25" t="s">
        <v>901</v>
      </c>
      <c r="S79" s="17" t="s">
        <v>902</v>
      </c>
      <c r="T79" s="17" t="s">
        <v>903</v>
      </c>
      <c r="AK79" s="17" t="s">
        <v>850</v>
      </c>
      <c r="AL79" s="17" t="s">
        <v>2898</v>
      </c>
      <c r="AS79" s="26" t="s">
        <v>3244</v>
      </c>
      <c r="AT79" s="26" t="s">
        <v>3245</v>
      </c>
    </row>
    <row r="80" spans="1:46" x14ac:dyDescent="0.25">
      <c r="A80" s="17" t="s">
        <v>905</v>
      </c>
      <c r="B80" s="17" t="s">
        <v>906</v>
      </c>
      <c r="G80" s="21" t="s">
        <v>907</v>
      </c>
      <c r="H80" s="17" t="s">
        <v>908</v>
      </c>
      <c r="M80" s="25" t="s">
        <v>909</v>
      </c>
      <c r="N80" s="25" t="s">
        <v>910</v>
      </c>
      <c r="S80" s="17" t="s">
        <v>911</v>
      </c>
      <c r="T80" s="17" t="s">
        <v>912</v>
      </c>
      <c r="AK80" s="17" t="s">
        <v>859</v>
      </c>
      <c r="AL80" s="17" t="s">
        <v>2899</v>
      </c>
      <c r="AS80" s="26" t="s">
        <v>3246</v>
      </c>
      <c r="AT80" s="26" t="s">
        <v>3247</v>
      </c>
    </row>
    <row r="81" spans="1:46" x14ac:dyDescent="0.25">
      <c r="A81" s="17" t="s">
        <v>914</v>
      </c>
      <c r="B81" s="17" t="s">
        <v>915</v>
      </c>
      <c r="G81" s="21" t="s">
        <v>916</v>
      </c>
      <c r="H81" s="17" t="s">
        <v>917</v>
      </c>
      <c r="M81" s="25" t="s">
        <v>918</v>
      </c>
      <c r="N81" s="25" t="s">
        <v>919</v>
      </c>
      <c r="S81" s="17" t="s">
        <v>920</v>
      </c>
      <c r="T81" s="17" t="s">
        <v>921</v>
      </c>
      <c r="AK81" s="17" t="s">
        <v>868</v>
      </c>
      <c r="AL81" s="17" t="s">
        <v>2900</v>
      </c>
      <c r="AS81" s="26" t="s">
        <v>3248</v>
      </c>
      <c r="AT81" s="26" t="s">
        <v>3249</v>
      </c>
    </row>
    <row r="82" spans="1:46" x14ac:dyDescent="0.25">
      <c r="A82" s="17" t="s">
        <v>923</v>
      </c>
      <c r="B82" s="17" t="s">
        <v>924</v>
      </c>
      <c r="G82" s="21" t="s">
        <v>925</v>
      </c>
      <c r="H82" s="17" t="s">
        <v>926</v>
      </c>
      <c r="M82" s="25" t="s">
        <v>927</v>
      </c>
      <c r="N82" s="25" t="s">
        <v>928</v>
      </c>
      <c r="S82" s="17" t="s">
        <v>929</v>
      </c>
      <c r="T82" s="17" t="s">
        <v>930</v>
      </c>
      <c r="AK82" s="17" t="s">
        <v>877</v>
      </c>
      <c r="AL82" s="17" t="s">
        <v>2901</v>
      </c>
      <c r="AS82" s="26" t="s">
        <v>3250</v>
      </c>
      <c r="AT82" s="26" t="s">
        <v>3251</v>
      </c>
    </row>
    <row r="83" spans="1:46" x14ac:dyDescent="0.25">
      <c r="A83" s="17" t="s">
        <v>932</v>
      </c>
      <c r="B83" s="17" t="s">
        <v>933</v>
      </c>
      <c r="G83" s="21" t="s">
        <v>934</v>
      </c>
      <c r="H83" s="17" t="s">
        <v>935</v>
      </c>
      <c r="M83" s="25" t="s">
        <v>936</v>
      </c>
      <c r="N83" s="25" t="s">
        <v>937</v>
      </c>
      <c r="S83" s="17" t="s">
        <v>938</v>
      </c>
      <c r="T83" s="17" t="s">
        <v>939</v>
      </c>
      <c r="AK83" s="17" t="s">
        <v>886</v>
      </c>
      <c r="AL83" s="17" t="s">
        <v>2902</v>
      </c>
      <c r="AS83" s="26" t="s">
        <v>3252</v>
      </c>
      <c r="AT83" s="26" t="s">
        <v>3253</v>
      </c>
    </row>
    <row r="84" spans="1:46" x14ac:dyDescent="0.25">
      <c r="A84" s="17" t="s">
        <v>941</v>
      </c>
      <c r="B84" s="17" t="s">
        <v>942</v>
      </c>
      <c r="G84" s="21" t="s">
        <v>943</v>
      </c>
      <c r="H84" s="17" t="s">
        <v>944</v>
      </c>
      <c r="M84" s="25" t="s">
        <v>945</v>
      </c>
      <c r="N84" s="25" t="s">
        <v>946</v>
      </c>
      <c r="S84" s="17" t="s">
        <v>947</v>
      </c>
      <c r="T84" s="17" t="s">
        <v>948</v>
      </c>
      <c r="AK84" s="17" t="s">
        <v>895</v>
      </c>
      <c r="AL84" s="17" t="s">
        <v>2903</v>
      </c>
      <c r="AS84" s="26" t="s">
        <v>3254</v>
      </c>
      <c r="AT84" s="26" t="s">
        <v>3255</v>
      </c>
    </row>
    <row r="85" spans="1:46" x14ac:dyDescent="0.25">
      <c r="A85" s="17" t="s">
        <v>950</v>
      </c>
      <c r="B85" s="17" t="s">
        <v>951</v>
      </c>
      <c r="G85" s="21" t="s">
        <v>952</v>
      </c>
      <c r="H85" s="17" t="s">
        <v>953</v>
      </c>
      <c r="M85" s="25" t="s">
        <v>954</v>
      </c>
      <c r="N85" s="25" t="s">
        <v>955</v>
      </c>
      <c r="S85" s="17" t="s">
        <v>956</v>
      </c>
      <c r="T85" s="17" t="s">
        <v>957</v>
      </c>
      <c r="AK85" s="17" t="s">
        <v>904</v>
      </c>
      <c r="AL85" s="17" t="s">
        <v>2904</v>
      </c>
      <c r="AS85" s="26" t="s">
        <v>3256</v>
      </c>
      <c r="AT85" s="26" t="s">
        <v>3257</v>
      </c>
    </row>
    <row r="86" spans="1:46" x14ac:dyDescent="0.25">
      <c r="A86" s="17" t="s">
        <v>959</v>
      </c>
      <c r="B86" s="17" t="s">
        <v>960</v>
      </c>
      <c r="G86" s="21" t="s">
        <v>961</v>
      </c>
      <c r="H86" s="17" t="s">
        <v>962</v>
      </c>
      <c r="M86" s="25" t="s">
        <v>963</v>
      </c>
      <c r="N86" s="25" t="s">
        <v>964</v>
      </c>
      <c r="S86" s="17" t="s">
        <v>965</v>
      </c>
      <c r="T86" s="17" t="s">
        <v>966</v>
      </c>
      <c r="AK86" s="17" t="s">
        <v>913</v>
      </c>
      <c r="AL86" s="17" t="s">
        <v>2905</v>
      </c>
      <c r="AS86" s="26" t="s">
        <v>3258</v>
      </c>
      <c r="AT86" s="26" t="s">
        <v>3259</v>
      </c>
    </row>
    <row r="87" spans="1:46" x14ac:dyDescent="0.25">
      <c r="A87" s="17" t="s">
        <v>968</v>
      </c>
      <c r="B87" s="17" t="s">
        <v>969</v>
      </c>
      <c r="G87" s="21" t="s">
        <v>970</v>
      </c>
      <c r="H87" s="17" t="s">
        <v>971</v>
      </c>
      <c r="M87" s="25" t="s">
        <v>972</v>
      </c>
      <c r="N87" s="25" t="s">
        <v>973</v>
      </c>
      <c r="S87" s="17" t="s">
        <v>974</v>
      </c>
      <c r="T87" s="17" t="s">
        <v>975</v>
      </c>
      <c r="AK87" s="17" t="s">
        <v>922</v>
      </c>
      <c r="AL87" s="17" t="s">
        <v>2906</v>
      </c>
      <c r="AS87" s="26" t="s">
        <v>3260</v>
      </c>
      <c r="AT87" s="26" t="s">
        <v>3261</v>
      </c>
    </row>
    <row r="88" spans="1:46" x14ac:dyDescent="0.25">
      <c r="A88" s="17" t="s">
        <v>977</v>
      </c>
      <c r="B88" s="17" t="s">
        <v>978</v>
      </c>
      <c r="G88" s="21" t="s">
        <v>979</v>
      </c>
      <c r="H88" s="17" t="s">
        <v>980</v>
      </c>
      <c r="M88" s="25" t="s">
        <v>981</v>
      </c>
      <c r="N88" s="25" t="s">
        <v>982</v>
      </c>
      <c r="S88" s="17" t="s">
        <v>983</v>
      </c>
      <c r="T88" s="17" t="s">
        <v>984</v>
      </c>
      <c r="AK88" s="17" t="s">
        <v>931</v>
      </c>
      <c r="AL88" s="17" t="s">
        <v>2907</v>
      </c>
      <c r="AS88" s="26" t="s">
        <v>3262</v>
      </c>
      <c r="AT88" s="26" t="s">
        <v>3263</v>
      </c>
    </row>
    <row r="89" spans="1:46" x14ac:dyDescent="0.25">
      <c r="A89" s="17" t="s">
        <v>986</v>
      </c>
      <c r="B89" s="17" t="s">
        <v>987</v>
      </c>
      <c r="G89" s="21" t="s">
        <v>988</v>
      </c>
      <c r="H89" s="17" t="s">
        <v>989</v>
      </c>
      <c r="M89" s="25" t="s">
        <v>990</v>
      </c>
      <c r="N89" s="25" t="s">
        <v>991</v>
      </c>
      <c r="S89" s="17" t="s">
        <v>992</v>
      </c>
      <c r="T89" s="17" t="s">
        <v>993</v>
      </c>
      <c r="AK89" s="17" t="s">
        <v>940</v>
      </c>
      <c r="AL89" s="17" t="s">
        <v>2908</v>
      </c>
      <c r="AS89" s="26" t="s">
        <v>3264</v>
      </c>
      <c r="AT89" s="26" t="s">
        <v>3265</v>
      </c>
    </row>
    <row r="90" spans="1:46" x14ac:dyDescent="0.25">
      <c r="A90" s="17" t="s">
        <v>995</v>
      </c>
      <c r="B90" s="17" t="s">
        <v>996</v>
      </c>
      <c r="G90" s="21" t="s">
        <v>997</v>
      </c>
      <c r="H90" s="17" t="s">
        <v>998</v>
      </c>
      <c r="M90" s="25" t="s">
        <v>999</v>
      </c>
      <c r="N90" s="25" t="s">
        <v>1000</v>
      </c>
      <c r="S90" s="17" t="s">
        <v>1001</v>
      </c>
      <c r="T90" s="17" t="s">
        <v>1002</v>
      </c>
      <c r="AK90" s="17" t="s">
        <v>949</v>
      </c>
      <c r="AL90" s="17" t="s">
        <v>2909</v>
      </c>
      <c r="AS90" s="26" t="s">
        <v>3266</v>
      </c>
      <c r="AT90" s="26" t="s">
        <v>3267</v>
      </c>
    </row>
    <row r="91" spans="1:46" x14ac:dyDescent="0.25">
      <c r="A91" s="17" t="s">
        <v>1004</v>
      </c>
      <c r="B91" s="17" t="s">
        <v>1005</v>
      </c>
      <c r="G91" s="21" t="s">
        <v>1006</v>
      </c>
      <c r="H91" s="17" t="s">
        <v>1007</v>
      </c>
      <c r="M91" s="25" t="s">
        <v>1008</v>
      </c>
      <c r="N91" s="25" t="s">
        <v>1009</v>
      </c>
      <c r="S91" s="17" t="s">
        <v>1010</v>
      </c>
      <c r="T91" s="17" t="s">
        <v>1011</v>
      </c>
      <c r="AK91" s="17" t="s">
        <v>958</v>
      </c>
      <c r="AL91" s="17" t="s">
        <v>2910</v>
      </c>
      <c r="AS91" s="26" t="s">
        <v>3268</v>
      </c>
      <c r="AT91" s="26" t="s">
        <v>3269</v>
      </c>
    </row>
    <row r="92" spans="1:46" x14ac:dyDescent="0.25">
      <c r="A92" s="17" t="s">
        <v>1013</v>
      </c>
      <c r="B92" s="17" t="s">
        <v>1014</v>
      </c>
      <c r="G92" s="21" t="s">
        <v>1015</v>
      </c>
      <c r="H92" s="17" t="s">
        <v>1016</v>
      </c>
      <c r="M92" s="25" t="s">
        <v>1017</v>
      </c>
      <c r="N92" s="25" t="s">
        <v>1018</v>
      </c>
      <c r="S92" s="17" t="s">
        <v>1019</v>
      </c>
      <c r="T92" s="17" t="s">
        <v>1020</v>
      </c>
      <c r="AK92" s="17" t="s">
        <v>967</v>
      </c>
      <c r="AL92" s="17" t="s">
        <v>2911</v>
      </c>
      <c r="AS92" s="26" t="s">
        <v>3270</v>
      </c>
      <c r="AT92" s="26" t="s">
        <v>3271</v>
      </c>
    </row>
    <row r="93" spans="1:46" x14ac:dyDescent="0.25">
      <c r="A93" s="17" t="s">
        <v>1022</v>
      </c>
      <c r="B93" s="17" t="s">
        <v>1023</v>
      </c>
      <c r="G93" s="21" t="s">
        <v>1024</v>
      </c>
      <c r="H93" s="17" t="s">
        <v>1025</v>
      </c>
      <c r="M93" s="25" t="s">
        <v>1026</v>
      </c>
      <c r="N93" s="25" t="s">
        <v>1027</v>
      </c>
      <c r="S93" s="17" t="s">
        <v>1028</v>
      </c>
      <c r="T93" s="17" t="s">
        <v>1029</v>
      </c>
      <c r="AK93" s="17" t="s">
        <v>976</v>
      </c>
      <c r="AL93" s="17" t="s">
        <v>2912</v>
      </c>
      <c r="AS93" s="26" t="s">
        <v>3272</v>
      </c>
      <c r="AT93" s="26" t="s">
        <v>3273</v>
      </c>
    </row>
    <row r="94" spans="1:46" x14ac:dyDescent="0.25">
      <c r="A94" s="17" t="s">
        <v>1031</v>
      </c>
      <c r="B94" s="17" t="s">
        <v>1032</v>
      </c>
      <c r="G94" s="21" t="s">
        <v>1033</v>
      </c>
      <c r="H94" s="17" t="s">
        <v>1034</v>
      </c>
      <c r="M94" s="25" t="s">
        <v>1035</v>
      </c>
      <c r="N94" s="25" t="s">
        <v>1036</v>
      </c>
      <c r="S94" s="17" t="s">
        <v>1037</v>
      </c>
      <c r="T94" s="17" t="s">
        <v>1038</v>
      </c>
      <c r="AK94" s="17" t="s">
        <v>985</v>
      </c>
      <c r="AL94" s="17" t="s">
        <v>2913</v>
      </c>
      <c r="AS94" s="26" t="s">
        <v>3274</v>
      </c>
      <c r="AT94" s="26" t="s">
        <v>3275</v>
      </c>
    </row>
    <row r="95" spans="1:46" x14ac:dyDescent="0.25">
      <c r="A95" s="17" t="s">
        <v>1040</v>
      </c>
      <c r="B95" s="17" t="s">
        <v>1041</v>
      </c>
      <c r="G95" s="21" t="s">
        <v>1042</v>
      </c>
      <c r="H95" s="17" t="s">
        <v>1043</v>
      </c>
      <c r="M95" s="25" t="s">
        <v>1044</v>
      </c>
      <c r="N95" s="25" t="s">
        <v>1045</v>
      </c>
      <c r="S95" s="17" t="s">
        <v>1046</v>
      </c>
      <c r="T95" s="17" t="s">
        <v>1047</v>
      </c>
      <c r="AK95" s="17" t="s">
        <v>994</v>
      </c>
      <c r="AL95" s="17" t="s">
        <v>2914</v>
      </c>
      <c r="AS95" s="26" t="s">
        <v>3276</v>
      </c>
      <c r="AT95" s="26" t="s">
        <v>3277</v>
      </c>
    </row>
    <row r="96" spans="1:46" x14ac:dyDescent="0.25">
      <c r="A96" s="17" t="s">
        <v>1049</v>
      </c>
      <c r="B96" s="17" t="s">
        <v>1050</v>
      </c>
      <c r="G96" s="21" t="s">
        <v>1051</v>
      </c>
      <c r="H96" s="17" t="s">
        <v>1052</v>
      </c>
      <c r="M96" s="25" t="s">
        <v>1053</v>
      </c>
      <c r="N96" s="25" t="s">
        <v>1054</v>
      </c>
      <c r="S96" s="17" t="s">
        <v>1055</v>
      </c>
      <c r="T96" s="17" t="s">
        <v>1056</v>
      </c>
      <c r="AK96" s="17" t="s">
        <v>1003</v>
      </c>
      <c r="AL96" s="17" t="s">
        <v>2915</v>
      </c>
      <c r="AS96" s="26" t="s">
        <v>3278</v>
      </c>
      <c r="AT96" s="26" t="s">
        <v>3279</v>
      </c>
    </row>
    <row r="97" spans="1:90" x14ac:dyDescent="0.25">
      <c r="A97" s="17" t="s">
        <v>1058</v>
      </c>
      <c r="B97" s="17" t="s">
        <v>1059</v>
      </c>
      <c r="G97" s="21" t="s">
        <v>1060</v>
      </c>
      <c r="H97" s="17" t="s">
        <v>1061</v>
      </c>
      <c r="M97" s="25" t="s">
        <v>1062</v>
      </c>
      <c r="N97" s="25" t="s">
        <v>1063</v>
      </c>
      <c r="S97" s="17" t="s">
        <v>1064</v>
      </c>
      <c r="T97" s="17" t="s">
        <v>1065</v>
      </c>
      <c r="AK97" s="17" t="s">
        <v>1012</v>
      </c>
      <c r="AL97" s="17" t="s">
        <v>2916</v>
      </c>
      <c r="AS97" s="26" t="s">
        <v>3112</v>
      </c>
      <c r="AT97" s="26" t="s">
        <v>3280</v>
      </c>
    </row>
    <row r="98" spans="1:90" x14ac:dyDescent="0.25">
      <c r="A98" s="17" t="s">
        <v>1067</v>
      </c>
      <c r="B98" s="17" t="s">
        <v>1068</v>
      </c>
      <c r="G98" s="21" t="s">
        <v>1069</v>
      </c>
      <c r="H98" s="17" t="s">
        <v>1070</v>
      </c>
      <c r="M98" s="25" t="s">
        <v>1071</v>
      </c>
      <c r="N98" s="25" t="s">
        <v>1072</v>
      </c>
      <c r="S98" s="17" t="s">
        <v>1073</v>
      </c>
      <c r="T98" s="17" t="s">
        <v>1074</v>
      </c>
      <c r="AK98" s="17" t="s">
        <v>1021</v>
      </c>
      <c r="AL98" s="17" t="s">
        <v>2917</v>
      </c>
      <c r="AS98" s="26" t="s">
        <v>3114</v>
      </c>
      <c r="AT98" s="26" t="s">
        <v>3281</v>
      </c>
    </row>
    <row r="99" spans="1:90" x14ac:dyDescent="0.25">
      <c r="A99" s="17" t="s">
        <v>1076</v>
      </c>
      <c r="B99" s="17" t="s">
        <v>1077</v>
      </c>
      <c r="G99" s="21" t="s">
        <v>1078</v>
      </c>
      <c r="H99" s="17" t="s">
        <v>1079</v>
      </c>
      <c r="M99" s="25" t="s">
        <v>1080</v>
      </c>
      <c r="N99" s="25" t="s">
        <v>1081</v>
      </c>
      <c r="S99" s="17" t="s">
        <v>1082</v>
      </c>
      <c r="T99" s="17" t="s">
        <v>1083</v>
      </c>
      <c r="AK99" s="17" t="s">
        <v>1030</v>
      </c>
      <c r="AL99" s="17" t="s">
        <v>2918</v>
      </c>
      <c r="AS99" s="26" t="s">
        <v>3282</v>
      </c>
      <c r="AT99" s="26" t="s">
        <v>3283</v>
      </c>
    </row>
    <row r="100" spans="1:90" x14ac:dyDescent="0.25">
      <c r="A100" s="17" t="s">
        <v>1085</v>
      </c>
      <c r="B100" s="17" t="s">
        <v>1086</v>
      </c>
      <c r="G100" s="21" t="s">
        <v>1087</v>
      </c>
      <c r="H100" s="17" t="s">
        <v>1088</v>
      </c>
      <c r="M100" s="25" t="s">
        <v>1089</v>
      </c>
      <c r="N100" s="25" t="s">
        <v>1090</v>
      </c>
      <c r="S100" s="17" t="s">
        <v>1091</v>
      </c>
      <c r="T100" s="17" t="s">
        <v>1092</v>
      </c>
      <c r="AK100" s="17" t="s">
        <v>1039</v>
      </c>
      <c r="AL100" s="17" t="s">
        <v>2919</v>
      </c>
      <c r="AS100" s="26" t="s">
        <v>3284</v>
      </c>
      <c r="AT100" s="26" t="s">
        <v>3285</v>
      </c>
    </row>
    <row r="101" spans="1:90" x14ac:dyDescent="0.25">
      <c r="A101" s="17" t="s">
        <v>1094</v>
      </c>
      <c r="B101" s="17" t="s">
        <v>1095</v>
      </c>
      <c r="G101" s="21" t="s">
        <v>1096</v>
      </c>
      <c r="H101" s="17" t="s">
        <v>1097</v>
      </c>
      <c r="M101" s="25" t="s">
        <v>1098</v>
      </c>
      <c r="N101" s="25" t="s">
        <v>1099</v>
      </c>
      <c r="S101" s="17" t="s">
        <v>1100</v>
      </c>
      <c r="T101" s="17" t="s">
        <v>1101</v>
      </c>
      <c r="AK101" s="17" t="s">
        <v>1048</v>
      </c>
      <c r="AL101" s="17" t="s">
        <v>2920</v>
      </c>
      <c r="AS101" s="26" t="s">
        <v>3286</v>
      </c>
      <c r="AT101" s="26" t="s">
        <v>3287</v>
      </c>
    </row>
    <row r="102" spans="1:90" x14ac:dyDescent="0.25">
      <c r="A102" s="17" t="s">
        <v>1103</v>
      </c>
      <c r="B102" s="17" t="s">
        <v>1104</v>
      </c>
      <c r="G102" s="21" t="s">
        <v>1105</v>
      </c>
      <c r="H102" s="17" t="s">
        <v>1106</v>
      </c>
      <c r="M102" s="25" t="s">
        <v>1107</v>
      </c>
      <c r="N102" s="25" t="s">
        <v>1108</v>
      </c>
      <c r="S102" s="17" t="s">
        <v>1109</v>
      </c>
      <c r="T102" s="17" t="s">
        <v>1110</v>
      </c>
      <c r="AK102" s="17" t="s">
        <v>1057</v>
      </c>
      <c r="AL102" s="17" t="s">
        <v>2921</v>
      </c>
      <c r="AS102" s="26" t="s">
        <v>3288</v>
      </c>
      <c r="AT102" s="26" t="s">
        <v>3289</v>
      </c>
      <c r="BU102" t="s">
        <v>2799</v>
      </c>
      <c r="BV102" t="s">
        <v>2799</v>
      </c>
      <c r="CK102" t="s">
        <v>2799</v>
      </c>
      <c r="CL102" t="s">
        <v>2799</v>
      </c>
    </row>
    <row r="103" spans="1:90" x14ac:dyDescent="0.25">
      <c r="A103" s="17" t="s">
        <v>1112</v>
      </c>
      <c r="B103" s="17" t="s">
        <v>1113</v>
      </c>
      <c r="G103" s="17" t="s">
        <v>1114</v>
      </c>
      <c r="H103" s="17" t="s">
        <v>1115</v>
      </c>
      <c r="M103" s="25" t="s">
        <v>1116</v>
      </c>
      <c r="N103" s="25" t="s">
        <v>1117</v>
      </c>
      <c r="S103" s="17" t="s">
        <v>1118</v>
      </c>
      <c r="T103" s="17" t="s">
        <v>1119</v>
      </c>
      <c r="AK103" s="17" t="s">
        <v>1066</v>
      </c>
      <c r="AL103" s="17" t="s">
        <v>2922</v>
      </c>
      <c r="AS103" s="26" t="s">
        <v>3290</v>
      </c>
      <c r="AT103" s="26" t="s">
        <v>3291</v>
      </c>
    </row>
    <row r="104" spans="1:90" x14ac:dyDescent="0.25">
      <c r="A104" s="17" t="s">
        <v>1121</v>
      </c>
      <c r="B104" s="17" t="s">
        <v>1122</v>
      </c>
      <c r="G104" s="17" t="s">
        <v>1123</v>
      </c>
      <c r="H104" s="17" t="s">
        <v>1124</v>
      </c>
      <c r="M104" s="25" t="s">
        <v>1125</v>
      </c>
      <c r="N104" s="25" t="s">
        <v>1126</v>
      </c>
      <c r="S104" s="17" t="s">
        <v>1127</v>
      </c>
      <c r="T104" s="17" t="s">
        <v>1128</v>
      </c>
      <c r="AK104" s="17" t="s">
        <v>1075</v>
      </c>
      <c r="AL104" s="17" t="s">
        <v>2923</v>
      </c>
      <c r="AS104" s="26" t="s">
        <v>3124</v>
      </c>
      <c r="AT104" s="26" t="s">
        <v>3292</v>
      </c>
    </row>
    <row r="105" spans="1:90" x14ac:dyDescent="0.25">
      <c r="A105" s="17" t="s">
        <v>1130</v>
      </c>
      <c r="B105" s="17" t="s">
        <v>1131</v>
      </c>
      <c r="G105" s="17" t="s">
        <v>1132</v>
      </c>
      <c r="H105" s="17" t="s">
        <v>1133</v>
      </c>
      <c r="M105" s="25" t="s">
        <v>1134</v>
      </c>
      <c r="N105" s="25" t="s">
        <v>1135</v>
      </c>
      <c r="S105" s="17" t="s">
        <v>1136</v>
      </c>
      <c r="T105" s="17" t="s">
        <v>1137</v>
      </c>
      <c r="AK105" s="17" t="s">
        <v>1084</v>
      </c>
      <c r="AL105" s="17" t="s">
        <v>2924</v>
      </c>
      <c r="AS105" s="26" t="s">
        <v>3293</v>
      </c>
      <c r="AT105" s="26" t="s">
        <v>3294</v>
      </c>
    </row>
    <row r="106" spans="1:90" x14ac:dyDescent="0.25">
      <c r="A106" s="17" t="s">
        <v>1139</v>
      </c>
      <c r="B106" s="17" t="s">
        <v>1140</v>
      </c>
      <c r="G106" s="17" t="s">
        <v>1141</v>
      </c>
      <c r="H106" s="17" t="s">
        <v>1142</v>
      </c>
      <c r="M106" s="25" t="s">
        <v>1143</v>
      </c>
      <c r="N106" s="25" t="s">
        <v>1144</v>
      </c>
      <c r="S106" s="17" t="s">
        <v>1145</v>
      </c>
      <c r="T106" s="17" t="s">
        <v>1146</v>
      </c>
      <c r="AK106" s="17" t="s">
        <v>1093</v>
      </c>
      <c r="AL106" s="17" t="s">
        <v>2925</v>
      </c>
      <c r="AS106" s="26" t="s">
        <v>3295</v>
      </c>
      <c r="AT106" s="26" t="s">
        <v>3296</v>
      </c>
    </row>
    <row r="107" spans="1:90" x14ac:dyDescent="0.25">
      <c r="A107" s="17" t="s">
        <v>1148</v>
      </c>
      <c r="B107" s="17" t="s">
        <v>1149</v>
      </c>
      <c r="G107" s="17" t="s">
        <v>1150</v>
      </c>
      <c r="H107" s="17" t="s">
        <v>1151</v>
      </c>
      <c r="M107" s="25" t="s">
        <v>1152</v>
      </c>
      <c r="N107" s="25" t="s">
        <v>1153</v>
      </c>
      <c r="S107" s="17" t="s">
        <v>1154</v>
      </c>
      <c r="T107" s="17" t="s">
        <v>1155</v>
      </c>
      <c r="AK107" s="17" t="s">
        <v>1102</v>
      </c>
      <c r="AL107" s="17" t="s">
        <v>2926</v>
      </c>
      <c r="AS107" s="26" t="s">
        <v>3297</v>
      </c>
      <c r="AT107" s="26" t="s">
        <v>3298</v>
      </c>
    </row>
    <row r="108" spans="1:90" x14ac:dyDescent="0.25">
      <c r="A108" s="17" t="s">
        <v>1157</v>
      </c>
      <c r="B108" s="17" t="s">
        <v>1158</v>
      </c>
      <c r="G108" s="17" t="s">
        <v>1159</v>
      </c>
      <c r="H108" s="17" t="s">
        <v>1160</v>
      </c>
      <c r="M108" s="25" t="s">
        <v>1161</v>
      </c>
      <c r="N108" s="25" t="s">
        <v>1162</v>
      </c>
      <c r="S108" s="17" t="s">
        <v>1163</v>
      </c>
      <c r="T108" s="17" t="s">
        <v>1164</v>
      </c>
      <c r="AK108" s="17" t="s">
        <v>1111</v>
      </c>
      <c r="AL108" s="17" t="s">
        <v>2927</v>
      </c>
      <c r="AS108" s="26" t="s">
        <v>3299</v>
      </c>
      <c r="AT108" s="26" t="s">
        <v>3300</v>
      </c>
    </row>
    <row r="109" spans="1:90" x14ac:dyDescent="0.25">
      <c r="A109" s="17" t="s">
        <v>1166</v>
      </c>
      <c r="B109" s="17" t="s">
        <v>1167</v>
      </c>
      <c r="G109" s="17" t="s">
        <v>1168</v>
      </c>
      <c r="H109" s="17" t="s">
        <v>1169</v>
      </c>
      <c r="M109" s="25" t="s">
        <v>1170</v>
      </c>
      <c r="N109" s="25" t="s">
        <v>1171</v>
      </c>
      <c r="S109" s="17" t="s">
        <v>1172</v>
      </c>
      <c r="T109" s="17" t="s">
        <v>1173</v>
      </c>
      <c r="AK109" s="17" t="s">
        <v>1120</v>
      </c>
      <c r="AL109" s="17" t="s">
        <v>2928</v>
      </c>
      <c r="AS109" s="26" t="s">
        <v>3164</v>
      </c>
      <c r="AT109" s="26" t="s">
        <v>3301</v>
      </c>
    </row>
    <row r="110" spans="1:90" x14ac:dyDescent="0.25">
      <c r="A110" s="17" t="s">
        <v>1175</v>
      </c>
      <c r="B110" s="17" t="s">
        <v>1176</v>
      </c>
      <c r="G110" s="17" t="s">
        <v>1177</v>
      </c>
      <c r="H110" s="17" t="s">
        <v>1178</v>
      </c>
      <c r="M110" s="25" t="s">
        <v>1179</v>
      </c>
      <c r="N110" s="25" t="s">
        <v>1180</v>
      </c>
      <c r="S110" s="17" t="s">
        <v>1181</v>
      </c>
      <c r="T110" s="17" t="s">
        <v>1182</v>
      </c>
      <c r="AK110" s="17" t="s">
        <v>1129</v>
      </c>
      <c r="AL110" s="17" t="s">
        <v>2929</v>
      </c>
      <c r="AS110" s="26" t="s">
        <v>3215</v>
      </c>
      <c r="AT110" s="26" t="s">
        <v>3302</v>
      </c>
    </row>
    <row r="111" spans="1:90" x14ac:dyDescent="0.25">
      <c r="A111" s="17" t="s">
        <v>1184</v>
      </c>
      <c r="B111" s="17" t="s">
        <v>1185</v>
      </c>
      <c r="G111" s="17" t="s">
        <v>1186</v>
      </c>
      <c r="H111" s="17" t="s">
        <v>1187</v>
      </c>
      <c r="M111" s="25" t="s">
        <v>1188</v>
      </c>
      <c r="N111" s="25" t="s">
        <v>1189</v>
      </c>
      <c r="S111" s="17" t="s">
        <v>1190</v>
      </c>
      <c r="T111" s="17" t="s">
        <v>1191</v>
      </c>
      <c r="AK111" s="17" t="s">
        <v>1138</v>
      </c>
      <c r="AL111" s="17" t="s">
        <v>2930</v>
      </c>
      <c r="AS111" s="26" t="s">
        <v>3303</v>
      </c>
      <c r="AT111" s="26" t="s">
        <v>3304</v>
      </c>
    </row>
    <row r="112" spans="1:90" x14ac:dyDescent="0.25">
      <c r="A112" s="17" t="s">
        <v>1193</v>
      </c>
      <c r="B112" s="17" t="s">
        <v>1194</v>
      </c>
      <c r="G112" s="17" t="s">
        <v>1195</v>
      </c>
      <c r="H112" s="17" t="s">
        <v>1196</v>
      </c>
      <c r="M112" s="25" t="s">
        <v>1197</v>
      </c>
      <c r="N112" s="25" t="s">
        <v>1198</v>
      </c>
      <c r="S112" s="17" t="s">
        <v>1199</v>
      </c>
      <c r="T112" s="17" t="s">
        <v>1200</v>
      </c>
      <c r="AK112" s="17" t="s">
        <v>1147</v>
      </c>
      <c r="AL112" s="17" t="s">
        <v>2931</v>
      </c>
      <c r="AS112" s="26" t="s">
        <v>3305</v>
      </c>
      <c r="AT112" s="26" t="s">
        <v>3306</v>
      </c>
    </row>
    <row r="113" spans="1:46" x14ac:dyDescent="0.25">
      <c r="A113" s="17" t="s">
        <v>1202</v>
      </c>
      <c r="B113" s="17" t="s">
        <v>1203</v>
      </c>
      <c r="G113" s="17" t="s">
        <v>1204</v>
      </c>
      <c r="H113" s="17" t="s">
        <v>1205</v>
      </c>
      <c r="M113" s="25" t="s">
        <v>1206</v>
      </c>
      <c r="N113" s="25" t="s">
        <v>1207</v>
      </c>
      <c r="S113" s="17" t="s">
        <v>1208</v>
      </c>
      <c r="T113" s="17" t="s">
        <v>1209</v>
      </c>
      <c r="AK113" s="17" t="s">
        <v>1156</v>
      </c>
      <c r="AL113" s="17" t="s">
        <v>2932</v>
      </c>
      <c r="AS113" s="26" t="s">
        <v>3307</v>
      </c>
      <c r="AT113" s="26" t="s">
        <v>3308</v>
      </c>
    </row>
    <row r="114" spans="1:46" x14ac:dyDescent="0.25">
      <c r="A114" s="17" t="s">
        <v>1211</v>
      </c>
      <c r="B114" s="17" t="s">
        <v>1212</v>
      </c>
      <c r="G114" s="17" t="s">
        <v>1213</v>
      </c>
      <c r="H114" s="17" t="s">
        <v>1214</v>
      </c>
      <c r="M114" s="25" t="s">
        <v>1215</v>
      </c>
      <c r="N114" s="25" t="s">
        <v>1216</v>
      </c>
      <c r="S114" s="17" t="s">
        <v>1208</v>
      </c>
      <c r="T114" s="17" t="s">
        <v>1217</v>
      </c>
      <c r="AK114" s="17" t="s">
        <v>1165</v>
      </c>
      <c r="AL114" s="17" t="s">
        <v>2933</v>
      </c>
      <c r="AS114" s="26" t="s">
        <v>3234</v>
      </c>
      <c r="AT114" s="26" t="s">
        <v>3309</v>
      </c>
    </row>
    <row r="115" spans="1:46" x14ac:dyDescent="0.25">
      <c r="A115" s="17" t="s">
        <v>1219</v>
      </c>
      <c r="B115" s="17" t="s">
        <v>1220</v>
      </c>
      <c r="G115" s="17" t="s">
        <v>1221</v>
      </c>
      <c r="H115" s="17" t="s">
        <v>1222</v>
      </c>
      <c r="M115" s="25" t="s">
        <v>1223</v>
      </c>
      <c r="N115" s="25" t="s">
        <v>1224</v>
      </c>
      <c r="S115" s="17" t="s">
        <v>1225</v>
      </c>
      <c r="T115" s="17" t="s">
        <v>1226</v>
      </c>
      <c r="AK115" s="17" t="s">
        <v>1174</v>
      </c>
      <c r="AL115" s="17" t="s">
        <v>2934</v>
      </c>
      <c r="AS115" s="26" t="s">
        <v>3310</v>
      </c>
      <c r="AT115" s="26" t="s">
        <v>3311</v>
      </c>
    </row>
    <row r="116" spans="1:46" x14ac:dyDescent="0.25">
      <c r="A116" s="17" t="s">
        <v>1228</v>
      </c>
      <c r="B116" s="17" t="s">
        <v>1229</v>
      </c>
      <c r="G116" s="17" t="s">
        <v>1230</v>
      </c>
      <c r="H116" s="17" t="s">
        <v>1231</v>
      </c>
      <c r="M116" s="25" t="s">
        <v>1232</v>
      </c>
      <c r="N116" s="25" t="s">
        <v>1233</v>
      </c>
      <c r="S116" s="17" t="s">
        <v>1234</v>
      </c>
      <c r="T116" s="17" t="s">
        <v>1235</v>
      </c>
      <c r="AK116" s="17" t="s">
        <v>1183</v>
      </c>
      <c r="AL116" s="17" t="s">
        <v>2935</v>
      </c>
      <c r="AS116" s="26" t="s">
        <v>3312</v>
      </c>
      <c r="AT116" s="26" t="s">
        <v>3313</v>
      </c>
    </row>
    <row r="117" spans="1:46" x14ac:dyDescent="0.25">
      <c r="A117" s="17" t="s">
        <v>1237</v>
      </c>
      <c r="B117" s="17" t="s">
        <v>1238</v>
      </c>
      <c r="G117" s="17" t="s">
        <v>1239</v>
      </c>
      <c r="H117" s="17" t="s">
        <v>1240</v>
      </c>
      <c r="M117" s="25" t="s">
        <v>1241</v>
      </c>
      <c r="N117" s="25" t="s">
        <v>1242</v>
      </c>
      <c r="S117" s="17" t="s">
        <v>1243</v>
      </c>
      <c r="T117" s="17" t="s">
        <v>1244</v>
      </c>
      <c r="AK117" s="17" t="s">
        <v>1192</v>
      </c>
      <c r="AL117" s="17" t="s">
        <v>2936</v>
      </c>
      <c r="AS117" s="26" t="s">
        <v>3314</v>
      </c>
      <c r="AT117" s="26" t="s">
        <v>3315</v>
      </c>
    </row>
    <row r="118" spans="1:46" x14ac:dyDescent="0.25">
      <c r="A118" s="17" t="s">
        <v>1246</v>
      </c>
      <c r="B118" s="17" t="s">
        <v>1247</v>
      </c>
      <c r="G118" s="17" t="s">
        <v>1248</v>
      </c>
      <c r="H118" s="17" t="s">
        <v>1249</v>
      </c>
      <c r="M118" s="25" t="s">
        <v>1250</v>
      </c>
      <c r="N118" s="25" t="s">
        <v>1251</v>
      </c>
      <c r="S118" s="17" t="s">
        <v>1252</v>
      </c>
      <c r="T118" s="17" t="s">
        <v>1253</v>
      </c>
      <c r="AK118" s="17" t="s">
        <v>1201</v>
      </c>
      <c r="AL118" s="17" t="s">
        <v>2937</v>
      </c>
      <c r="AS118" s="26" t="s">
        <v>3316</v>
      </c>
      <c r="AT118" s="26" t="s">
        <v>3317</v>
      </c>
    </row>
    <row r="119" spans="1:46" x14ac:dyDescent="0.25">
      <c r="A119" s="17" t="s">
        <v>1255</v>
      </c>
      <c r="B119" s="17" t="s">
        <v>1256</v>
      </c>
      <c r="G119" s="17" t="s">
        <v>1257</v>
      </c>
      <c r="H119" s="17" t="s">
        <v>1258</v>
      </c>
      <c r="M119" s="25" t="s">
        <v>1259</v>
      </c>
      <c r="N119" s="25" t="s">
        <v>1260</v>
      </c>
      <c r="S119" s="17" t="s">
        <v>1261</v>
      </c>
      <c r="T119" s="17" t="s">
        <v>1262</v>
      </c>
      <c r="AK119" s="17" t="s">
        <v>1210</v>
      </c>
      <c r="AL119" s="17" t="s">
        <v>2938</v>
      </c>
      <c r="AS119" s="26" t="s">
        <v>3278</v>
      </c>
      <c r="AT119" s="26" t="s">
        <v>3318</v>
      </c>
    </row>
    <row r="120" spans="1:46" x14ac:dyDescent="0.25">
      <c r="A120" s="17" t="s">
        <v>1264</v>
      </c>
      <c r="B120" s="17" t="s">
        <v>1265</v>
      </c>
      <c r="G120" s="17" t="s">
        <v>1266</v>
      </c>
      <c r="H120" s="17" t="s">
        <v>1267</v>
      </c>
      <c r="M120" s="25" t="s">
        <v>1268</v>
      </c>
      <c r="N120" s="25" t="s">
        <v>1269</v>
      </c>
      <c r="S120" s="17" t="s">
        <v>1270</v>
      </c>
      <c r="T120" s="17" t="s">
        <v>1271</v>
      </c>
      <c r="AK120" s="17" t="s">
        <v>1218</v>
      </c>
      <c r="AL120" s="17" t="s">
        <v>2939</v>
      </c>
      <c r="AS120" s="26" t="s">
        <v>3319</v>
      </c>
      <c r="AT120" s="26" t="s">
        <v>420</v>
      </c>
    </row>
    <row r="121" spans="1:46" x14ac:dyDescent="0.25">
      <c r="A121" s="17" t="s">
        <v>1273</v>
      </c>
      <c r="B121" s="17" t="s">
        <v>1274</v>
      </c>
      <c r="G121" s="17" t="s">
        <v>1275</v>
      </c>
      <c r="H121" s="17" t="s">
        <v>1276</v>
      </c>
      <c r="M121" s="25" t="s">
        <v>1277</v>
      </c>
      <c r="N121" s="25" t="s">
        <v>1278</v>
      </c>
      <c r="S121" s="17" t="s">
        <v>1279</v>
      </c>
      <c r="T121" s="17" t="s">
        <v>1280</v>
      </c>
      <c r="AK121" s="17" t="s">
        <v>1227</v>
      </c>
      <c r="AL121" s="17" t="s">
        <v>2940</v>
      </c>
      <c r="AS121" s="26" t="s">
        <v>3319</v>
      </c>
      <c r="AT121" s="26" t="s">
        <v>3320</v>
      </c>
    </row>
    <row r="122" spans="1:46" x14ac:dyDescent="0.25">
      <c r="A122" s="17" t="s">
        <v>1282</v>
      </c>
      <c r="B122" s="17" t="s">
        <v>1283</v>
      </c>
      <c r="G122" s="17" t="s">
        <v>1284</v>
      </c>
      <c r="H122" s="17" t="s">
        <v>1285</v>
      </c>
      <c r="M122" s="25" t="s">
        <v>1286</v>
      </c>
      <c r="N122" s="25" t="s">
        <v>1287</v>
      </c>
      <c r="S122" s="17" t="s">
        <v>1288</v>
      </c>
      <c r="T122" s="17" t="s">
        <v>1289</v>
      </c>
      <c r="AK122" s="17" t="s">
        <v>1236</v>
      </c>
      <c r="AL122" s="17" t="s">
        <v>2941</v>
      </c>
      <c r="AS122" s="26" t="s">
        <v>3321</v>
      </c>
      <c r="AT122" s="26" t="s">
        <v>3322</v>
      </c>
    </row>
    <row r="123" spans="1:46" x14ac:dyDescent="0.25">
      <c r="A123" s="17" t="s">
        <v>1291</v>
      </c>
      <c r="B123" s="17" t="s">
        <v>1292</v>
      </c>
      <c r="G123" s="17" t="s">
        <v>1293</v>
      </c>
      <c r="H123" s="17" t="s">
        <v>1294</v>
      </c>
      <c r="M123" s="25" t="s">
        <v>1295</v>
      </c>
      <c r="N123" s="25" t="s">
        <v>1296</v>
      </c>
      <c r="S123" s="17" t="s">
        <v>1297</v>
      </c>
      <c r="T123" s="17" t="s">
        <v>1298</v>
      </c>
      <c r="AK123" s="17" t="s">
        <v>1245</v>
      </c>
      <c r="AL123" s="17" t="s">
        <v>2942</v>
      </c>
      <c r="AS123" s="26" t="s">
        <v>3323</v>
      </c>
      <c r="AT123" s="26" t="s">
        <v>3324</v>
      </c>
    </row>
    <row r="124" spans="1:46" x14ac:dyDescent="0.25">
      <c r="A124" s="17" t="s">
        <v>1300</v>
      </c>
      <c r="B124" s="17" t="s">
        <v>1301</v>
      </c>
      <c r="G124" s="17" t="s">
        <v>1302</v>
      </c>
      <c r="H124" s="17" t="s">
        <v>1303</v>
      </c>
      <c r="M124" s="25" t="s">
        <v>1304</v>
      </c>
      <c r="N124" s="25" t="s">
        <v>1305</v>
      </c>
      <c r="S124" s="17" t="s">
        <v>1306</v>
      </c>
      <c r="T124" s="17" t="s">
        <v>1307</v>
      </c>
      <c r="AK124" s="17" t="s">
        <v>1254</v>
      </c>
      <c r="AL124" s="17" t="s">
        <v>2943</v>
      </c>
      <c r="AS124" s="26" t="s">
        <v>3325</v>
      </c>
      <c r="AT124" s="26" t="s">
        <v>3326</v>
      </c>
    </row>
    <row r="125" spans="1:46" x14ac:dyDescent="0.25">
      <c r="A125" s="17" t="s">
        <v>1309</v>
      </c>
      <c r="B125" s="17" t="s">
        <v>1310</v>
      </c>
      <c r="G125" s="17" t="s">
        <v>1311</v>
      </c>
      <c r="H125" s="17" t="s">
        <v>1312</v>
      </c>
      <c r="M125" s="25" t="s">
        <v>1313</v>
      </c>
      <c r="N125" s="25" t="s">
        <v>1314</v>
      </c>
      <c r="S125" s="17" t="s">
        <v>1315</v>
      </c>
      <c r="T125" s="17" t="s">
        <v>1316</v>
      </c>
      <c r="AK125" s="17" t="s">
        <v>1263</v>
      </c>
      <c r="AL125" s="17" t="s">
        <v>2944</v>
      </c>
      <c r="AS125" s="26" t="s">
        <v>3327</v>
      </c>
      <c r="AT125" s="26" t="s">
        <v>3328</v>
      </c>
    </row>
    <row r="126" spans="1:46" x14ac:dyDescent="0.25">
      <c r="A126" s="17" t="s">
        <v>1318</v>
      </c>
      <c r="B126" s="17" t="s">
        <v>1319</v>
      </c>
      <c r="G126" s="17" t="s">
        <v>1320</v>
      </c>
      <c r="H126" s="17" t="s">
        <v>1321</v>
      </c>
      <c r="M126" s="25" t="s">
        <v>1322</v>
      </c>
      <c r="N126" s="25" t="s">
        <v>1323</v>
      </c>
      <c r="S126" s="17" t="s">
        <v>1324</v>
      </c>
      <c r="T126" s="17" t="s">
        <v>1325</v>
      </c>
      <c r="AK126" s="17" t="s">
        <v>1272</v>
      </c>
      <c r="AL126" s="17" t="s">
        <v>2945</v>
      </c>
      <c r="AS126" s="26" t="s">
        <v>3329</v>
      </c>
      <c r="AT126" s="26" t="s">
        <v>3330</v>
      </c>
    </row>
    <row r="127" spans="1:46" x14ac:dyDescent="0.25">
      <c r="A127" s="17" t="s">
        <v>1327</v>
      </c>
      <c r="B127" s="17" t="s">
        <v>1328</v>
      </c>
      <c r="G127" s="17" t="s">
        <v>1329</v>
      </c>
      <c r="H127" s="17" t="s">
        <v>1330</v>
      </c>
      <c r="M127" s="25" t="s">
        <v>1331</v>
      </c>
      <c r="N127" s="25" t="s">
        <v>1332</v>
      </c>
      <c r="S127" s="17" t="s">
        <v>1333</v>
      </c>
      <c r="T127" s="17" t="s">
        <v>1334</v>
      </c>
      <c r="AK127" s="17" t="s">
        <v>1281</v>
      </c>
      <c r="AL127" s="17" t="s">
        <v>2946</v>
      </c>
      <c r="AS127" s="26" t="s">
        <v>3331</v>
      </c>
      <c r="AT127" s="26" t="s">
        <v>3332</v>
      </c>
    </row>
    <row r="128" spans="1:46" x14ac:dyDescent="0.25">
      <c r="A128" s="17" t="s">
        <v>1336</v>
      </c>
      <c r="B128" s="17" t="s">
        <v>1337</v>
      </c>
      <c r="G128" s="17" t="s">
        <v>1338</v>
      </c>
      <c r="H128" s="17" t="s">
        <v>1339</v>
      </c>
      <c r="M128" s="25" t="s">
        <v>1340</v>
      </c>
      <c r="N128" s="25" t="s">
        <v>1341</v>
      </c>
      <c r="S128" s="17" t="s">
        <v>1342</v>
      </c>
      <c r="T128" s="17" t="s">
        <v>1343</v>
      </c>
      <c r="AK128" s="17" t="s">
        <v>1290</v>
      </c>
      <c r="AL128" s="17" t="s">
        <v>2947</v>
      </c>
      <c r="AS128" s="26" t="s">
        <v>3333</v>
      </c>
      <c r="AT128" s="26" t="s">
        <v>3334</v>
      </c>
    </row>
    <row r="129" spans="1:46" x14ac:dyDescent="0.25">
      <c r="A129" s="17" t="s">
        <v>1345</v>
      </c>
      <c r="B129" s="17" t="s">
        <v>1346</v>
      </c>
      <c r="G129" s="17" t="s">
        <v>1347</v>
      </c>
      <c r="H129" s="17" t="s">
        <v>1348</v>
      </c>
      <c r="M129" s="25" t="s">
        <v>1349</v>
      </c>
      <c r="N129" s="25" t="s">
        <v>1350</v>
      </c>
      <c r="S129" s="17" t="s">
        <v>1351</v>
      </c>
      <c r="T129" s="17" t="s">
        <v>1352</v>
      </c>
      <c r="AK129" s="17" t="s">
        <v>1299</v>
      </c>
      <c r="AL129" s="17" t="s">
        <v>2948</v>
      </c>
      <c r="AS129" s="26" t="s">
        <v>3335</v>
      </c>
      <c r="AT129" s="26" t="s">
        <v>3336</v>
      </c>
    </row>
    <row r="130" spans="1:46" x14ac:dyDescent="0.25">
      <c r="A130" s="17" t="s">
        <v>1354</v>
      </c>
      <c r="B130" s="17" t="s">
        <v>1355</v>
      </c>
      <c r="G130" s="17" t="s">
        <v>1356</v>
      </c>
      <c r="H130" s="17" t="s">
        <v>1357</v>
      </c>
      <c r="M130" s="25" t="s">
        <v>1358</v>
      </c>
      <c r="N130" s="25" t="s">
        <v>1359</v>
      </c>
      <c r="S130" s="17" t="s">
        <v>1360</v>
      </c>
      <c r="T130" s="17" t="s">
        <v>1361</v>
      </c>
      <c r="AK130" s="17" t="s">
        <v>1308</v>
      </c>
      <c r="AL130" s="17" t="s">
        <v>2949</v>
      </c>
      <c r="AS130" s="26" t="s">
        <v>3337</v>
      </c>
      <c r="AT130" s="26" t="s">
        <v>3338</v>
      </c>
    </row>
    <row r="131" spans="1:46" x14ac:dyDescent="0.25">
      <c r="A131" s="17" t="s">
        <v>1363</v>
      </c>
      <c r="B131" s="17" t="s">
        <v>1364</v>
      </c>
      <c r="G131" s="17" t="s">
        <v>1365</v>
      </c>
      <c r="H131" s="17" t="s">
        <v>1366</v>
      </c>
      <c r="M131" s="25" t="s">
        <v>1367</v>
      </c>
      <c r="N131" s="25" t="s">
        <v>1368</v>
      </c>
      <c r="S131" s="17" t="s">
        <v>1369</v>
      </c>
      <c r="T131" s="17" t="s">
        <v>1370</v>
      </c>
      <c r="AK131" s="17" t="s">
        <v>1317</v>
      </c>
      <c r="AL131" s="17" t="s">
        <v>2950</v>
      </c>
      <c r="AS131" s="26" t="s">
        <v>3339</v>
      </c>
      <c r="AT131" s="26" t="s">
        <v>3340</v>
      </c>
    </row>
    <row r="132" spans="1:46" x14ac:dyDescent="0.25">
      <c r="A132" s="17" t="s">
        <v>1372</v>
      </c>
      <c r="B132" s="17" t="s">
        <v>1373</v>
      </c>
      <c r="G132" s="17" t="s">
        <v>1374</v>
      </c>
      <c r="H132" s="17" t="s">
        <v>1375</v>
      </c>
      <c r="M132" s="25" t="s">
        <v>1376</v>
      </c>
      <c r="N132" s="25" t="s">
        <v>1377</v>
      </c>
      <c r="S132" s="17" t="s">
        <v>1378</v>
      </c>
      <c r="T132" s="17" t="s">
        <v>1379</v>
      </c>
      <c r="AK132" s="17" t="s">
        <v>1326</v>
      </c>
      <c r="AL132" s="17" t="s">
        <v>2951</v>
      </c>
      <c r="AS132" s="26" t="s">
        <v>3341</v>
      </c>
      <c r="AT132" s="26" t="s">
        <v>3341</v>
      </c>
    </row>
    <row r="133" spans="1:46" x14ac:dyDescent="0.25">
      <c r="A133" s="17" t="s">
        <v>1381</v>
      </c>
      <c r="B133" s="17" t="s">
        <v>1382</v>
      </c>
      <c r="G133" s="17" t="s">
        <v>1383</v>
      </c>
      <c r="H133" s="17" t="s">
        <v>1384</v>
      </c>
      <c r="M133" s="25" t="s">
        <v>1385</v>
      </c>
      <c r="N133" s="25" t="s">
        <v>1386</v>
      </c>
      <c r="S133" s="17" t="s">
        <v>1387</v>
      </c>
      <c r="T133" s="17" t="s">
        <v>1388</v>
      </c>
      <c r="AK133" s="17" t="s">
        <v>1335</v>
      </c>
      <c r="AL133" s="17" t="s">
        <v>2952</v>
      </c>
      <c r="AS133" s="26" t="s">
        <v>3342</v>
      </c>
      <c r="AT133" s="26" t="s">
        <v>3343</v>
      </c>
    </row>
    <row r="134" spans="1:46" x14ac:dyDescent="0.25">
      <c r="A134" s="17" t="s">
        <v>1390</v>
      </c>
      <c r="B134" s="17" t="s">
        <v>1391</v>
      </c>
      <c r="G134" s="17" t="s">
        <v>1392</v>
      </c>
      <c r="H134" s="17" t="s">
        <v>1393</v>
      </c>
      <c r="M134" s="25" t="s">
        <v>1394</v>
      </c>
      <c r="N134" s="25" t="s">
        <v>1395</v>
      </c>
      <c r="S134" s="17" t="s">
        <v>1396</v>
      </c>
      <c r="T134" s="17" t="s">
        <v>1397</v>
      </c>
      <c r="AK134" s="17" t="s">
        <v>1344</v>
      </c>
      <c r="AL134" s="17" t="s">
        <v>2953</v>
      </c>
      <c r="AS134" s="26" t="s">
        <v>3344</v>
      </c>
      <c r="AT134" s="26" t="s">
        <v>3345</v>
      </c>
    </row>
    <row r="135" spans="1:46" x14ac:dyDescent="0.25">
      <c r="A135" s="17" t="s">
        <v>1399</v>
      </c>
      <c r="B135" s="17" t="s">
        <v>1400</v>
      </c>
      <c r="G135" s="17" t="s">
        <v>1401</v>
      </c>
      <c r="H135" s="17" t="s">
        <v>1402</v>
      </c>
      <c r="M135" s="25" t="s">
        <v>1403</v>
      </c>
      <c r="N135" s="25" t="s">
        <v>1404</v>
      </c>
      <c r="S135" s="17" t="s">
        <v>1405</v>
      </c>
      <c r="T135" s="17" t="s">
        <v>1406</v>
      </c>
      <c r="AK135" s="17" t="s">
        <v>1353</v>
      </c>
      <c r="AL135" s="17" t="s">
        <v>2954</v>
      </c>
      <c r="AS135" s="26" t="s">
        <v>3346</v>
      </c>
      <c r="AT135" s="26" t="s">
        <v>3347</v>
      </c>
    </row>
    <row r="136" spans="1:46" x14ac:dyDescent="0.25">
      <c r="A136" s="17" t="s">
        <v>1408</v>
      </c>
      <c r="B136" s="17" t="s">
        <v>1409</v>
      </c>
      <c r="G136" s="17" t="s">
        <v>1410</v>
      </c>
      <c r="H136" s="17" t="s">
        <v>1411</v>
      </c>
      <c r="M136" s="25" t="s">
        <v>1412</v>
      </c>
      <c r="N136" s="25" t="s">
        <v>1413</v>
      </c>
      <c r="S136" s="17" t="s">
        <v>1414</v>
      </c>
      <c r="T136" s="17" t="s">
        <v>1415</v>
      </c>
      <c r="AK136" s="17" t="s">
        <v>1362</v>
      </c>
      <c r="AL136" s="17" t="s">
        <v>2955</v>
      </c>
      <c r="AS136" s="26" t="s">
        <v>3348</v>
      </c>
      <c r="AT136" s="26" t="s">
        <v>3349</v>
      </c>
    </row>
    <row r="137" spans="1:46" x14ac:dyDescent="0.25">
      <c r="A137" s="17" t="s">
        <v>1417</v>
      </c>
      <c r="B137" s="17" t="s">
        <v>1418</v>
      </c>
      <c r="G137" s="17" t="s">
        <v>1419</v>
      </c>
      <c r="H137" s="17" t="s">
        <v>1420</v>
      </c>
      <c r="M137" s="25" t="s">
        <v>1421</v>
      </c>
      <c r="N137" s="25" t="s">
        <v>1422</v>
      </c>
      <c r="S137" s="17" t="s">
        <v>1423</v>
      </c>
      <c r="T137" s="17" t="s">
        <v>1424</v>
      </c>
      <c r="AK137" s="17" t="s">
        <v>1371</v>
      </c>
      <c r="AL137" s="17" t="s">
        <v>2956</v>
      </c>
      <c r="AS137" s="26" t="s">
        <v>3350</v>
      </c>
      <c r="AT137" s="26" t="s">
        <v>3351</v>
      </c>
    </row>
    <row r="138" spans="1:46" x14ac:dyDescent="0.25">
      <c r="A138" s="17" t="s">
        <v>1426</v>
      </c>
      <c r="B138" s="17" t="s">
        <v>1427</v>
      </c>
      <c r="G138" s="17" t="s">
        <v>1428</v>
      </c>
      <c r="H138" s="17" t="s">
        <v>1429</v>
      </c>
      <c r="M138" s="25" t="s">
        <v>1430</v>
      </c>
      <c r="N138" s="25" t="s">
        <v>1431</v>
      </c>
      <c r="S138" s="17" t="s">
        <v>1432</v>
      </c>
      <c r="T138" s="17" t="s">
        <v>1433</v>
      </c>
      <c r="AK138" s="17" t="s">
        <v>1380</v>
      </c>
      <c r="AL138" s="17" t="s">
        <v>2957</v>
      </c>
      <c r="AS138" s="26" t="s">
        <v>3352</v>
      </c>
      <c r="AT138" s="26" t="s">
        <v>3353</v>
      </c>
    </row>
    <row r="139" spans="1:46" x14ac:dyDescent="0.25">
      <c r="A139" s="17" t="s">
        <v>1435</v>
      </c>
      <c r="B139" s="17" t="s">
        <v>1436</v>
      </c>
      <c r="G139" s="17" t="s">
        <v>1437</v>
      </c>
      <c r="H139" s="17" t="s">
        <v>1438</v>
      </c>
      <c r="M139" s="25" t="s">
        <v>1439</v>
      </c>
      <c r="N139" s="25" t="s">
        <v>1440</v>
      </c>
      <c r="S139" s="17" t="s">
        <v>1441</v>
      </c>
      <c r="T139" s="17" t="s">
        <v>1442</v>
      </c>
      <c r="AK139" s="17" t="s">
        <v>1389</v>
      </c>
      <c r="AL139" s="17" t="s">
        <v>2958</v>
      </c>
      <c r="AS139" s="26" t="s">
        <v>3354</v>
      </c>
      <c r="AT139" s="26" t="s">
        <v>3355</v>
      </c>
    </row>
    <row r="140" spans="1:46" x14ac:dyDescent="0.25">
      <c r="A140" s="17" t="s">
        <v>1444</v>
      </c>
      <c r="B140" s="17" t="s">
        <v>1445</v>
      </c>
      <c r="G140" s="17" t="s">
        <v>1446</v>
      </c>
      <c r="H140" s="17" t="s">
        <v>1447</v>
      </c>
      <c r="M140" s="25" t="s">
        <v>1448</v>
      </c>
      <c r="N140" s="25" t="s">
        <v>1449</v>
      </c>
      <c r="S140" s="17" t="s">
        <v>1450</v>
      </c>
      <c r="T140" s="17" t="s">
        <v>1451</v>
      </c>
      <c r="AK140" s="17" t="s">
        <v>1398</v>
      </c>
      <c r="AL140" s="17" t="s">
        <v>2959</v>
      </c>
      <c r="AS140" s="26" t="s">
        <v>3356</v>
      </c>
      <c r="AT140" s="26" t="s">
        <v>3357</v>
      </c>
    </row>
    <row r="141" spans="1:46" x14ac:dyDescent="0.25">
      <c r="A141" s="17" t="s">
        <v>1453</v>
      </c>
      <c r="B141" s="17" t="s">
        <v>1454</v>
      </c>
      <c r="G141" s="17" t="s">
        <v>1455</v>
      </c>
      <c r="H141" s="17" t="s">
        <v>1456</v>
      </c>
      <c r="M141" s="25" t="s">
        <v>1457</v>
      </c>
      <c r="N141" s="25" t="s">
        <v>1458</v>
      </c>
      <c r="S141" s="17" t="s">
        <v>1459</v>
      </c>
      <c r="T141" s="17" t="s">
        <v>1460</v>
      </c>
      <c r="AK141" s="17" t="s">
        <v>1407</v>
      </c>
      <c r="AL141" s="17" t="s">
        <v>2960</v>
      </c>
      <c r="AS141" s="26" t="s">
        <v>3358</v>
      </c>
      <c r="AT141" s="26" t="s">
        <v>3359</v>
      </c>
    </row>
    <row r="142" spans="1:46" x14ac:dyDescent="0.25">
      <c r="A142" s="17" t="s">
        <v>1462</v>
      </c>
      <c r="B142" s="17" t="s">
        <v>1463</v>
      </c>
      <c r="G142" s="17" t="s">
        <v>1464</v>
      </c>
      <c r="H142" s="17" t="s">
        <v>1465</v>
      </c>
      <c r="M142" s="25" t="s">
        <v>1466</v>
      </c>
      <c r="N142" s="25" t="s">
        <v>1467</v>
      </c>
      <c r="S142" s="17" t="s">
        <v>1468</v>
      </c>
      <c r="T142" s="17" t="s">
        <v>1469</v>
      </c>
      <c r="AK142" s="17" t="s">
        <v>1416</v>
      </c>
      <c r="AL142" s="17" t="s">
        <v>2961</v>
      </c>
      <c r="AS142" s="26" t="s">
        <v>3360</v>
      </c>
      <c r="AT142" s="26" t="s">
        <v>1292</v>
      </c>
    </row>
    <row r="143" spans="1:46" x14ac:dyDescent="0.25">
      <c r="A143" s="17" t="s">
        <v>1471</v>
      </c>
      <c r="B143" s="17" t="s">
        <v>1472</v>
      </c>
      <c r="G143" s="17" t="s">
        <v>1473</v>
      </c>
      <c r="H143" s="17" t="s">
        <v>1474</v>
      </c>
      <c r="M143" s="25" t="s">
        <v>1475</v>
      </c>
      <c r="N143" s="25" t="s">
        <v>1476</v>
      </c>
      <c r="S143" s="17" t="s">
        <v>1477</v>
      </c>
      <c r="T143" s="17" t="s">
        <v>1478</v>
      </c>
      <c r="AK143" s="17" t="s">
        <v>1425</v>
      </c>
      <c r="AL143" s="17" t="s">
        <v>2962</v>
      </c>
      <c r="AS143" s="26" t="s">
        <v>3361</v>
      </c>
      <c r="AT143" s="26" t="s">
        <v>3362</v>
      </c>
    </row>
    <row r="144" spans="1:46" x14ac:dyDescent="0.25">
      <c r="A144" s="17" t="s">
        <v>1480</v>
      </c>
      <c r="B144" s="17" t="s">
        <v>1481</v>
      </c>
      <c r="G144" s="17" t="s">
        <v>1482</v>
      </c>
      <c r="H144" s="17" t="s">
        <v>1483</v>
      </c>
      <c r="M144" s="25" t="s">
        <v>1484</v>
      </c>
      <c r="N144" s="25" t="s">
        <v>1485</v>
      </c>
      <c r="S144" s="17" t="s">
        <v>1486</v>
      </c>
      <c r="T144" s="17" t="s">
        <v>1487</v>
      </c>
      <c r="AK144" s="17" t="s">
        <v>1434</v>
      </c>
      <c r="AL144" s="17" t="s">
        <v>2963</v>
      </c>
      <c r="AS144" s="26" t="s">
        <v>3363</v>
      </c>
      <c r="AT144" s="26" t="s">
        <v>3363</v>
      </c>
    </row>
    <row r="145" spans="1:46" x14ac:dyDescent="0.25">
      <c r="A145" s="17" t="s">
        <v>1489</v>
      </c>
      <c r="B145" s="17" t="s">
        <v>1490</v>
      </c>
      <c r="G145" s="17" t="s">
        <v>1491</v>
      </c>
      <c r="H145" s="17" t="s">
        <v>1492</v>
      </c>
      <c r="M145" s="25" t="s">
        <v>1493</v>
      </c>
      <c r="N145" s="25" t="s">
        <v>1494</v>
      </c>
      <c r="S145" s="17" t="s">
        <v>1495</v>
      </c>
      <c r="T145" s="17" t="s">
        <v>1496</v>
      </c>
      <c r="AK145" s="17" t="s">
        <v>1443</v>
      </c>
      <c r="AL145" s="17" t="s">
        <v>2964</v>
      </c>
      <c r="AS145" s="26" t="s">
        <v>3364</v>
      </c>
      <c r="AT145" s="26" t="s">
        <v>3365</v>
      </c>
    </row>
    <row r="146" spans="1:46" x14ac:dyDescent="0.25">
      <c r="A146" s="17" t="s">
        <v>1498</v>
      </c>
      <c r="B146" s="17" t="s">
        <v>1499</v>
      </c>
      <c r="G146" s="17" t="s">
        <v>1500</v>
      </c>
      <c r="H146" s="17" t="s">
        <v>1501</v>
      </c>
      <c r="M146" s="25" t="s">
        <v>1502</v>
      </c>
      <c r="N146" s="25" t="s">
        <v>1503</v>
      </c>
      <c r="S146" s="17" t="s">
        <v>1504</v>
      </c>
      <c r="T146" s="17" t="s">
        <v>1505</v>
      </c>
      <c r="AK146" s="17" t="s">
        <v>1452</v>
      </c>
      <c r="AL146" s="17" t="s">
        <v>2965</v>
      </c>
      <c r="AS146" s="26" t="s">
        <v>3051</v>
      </c>
      <c r="AT146" s="26" t="s">
        <v>3366</v>
      </c>
    </row>
    <row r="147" spans="1:46" x14ac:dyDescent="0.25">
      <c r="A147" s="17" t="s">
        <v>1507</v>
      </c>
      <c r="B147" s="17" t="s">
        <v>1508</v>
      </c>
      <c r="G147" s="17" t="s">
        <v>1509</v>
      </c>
      <c r="H147" s="17" t="s">
        <v>1510</v>
      </c>
      <c r="M147" s="25" t="s">
        <v>1511</v>
      </c>
      <c r="N147" s="25" t="s">
        <v>1512</v>
      </c>
      <c r="S147" s="17" t="s">
        <v>1513</v>
      </c>
      <c r="T147" s="17" t="s">
        <v>1514</v>
      </c>
      <c r="AK147" s="17" t="s">
        <v>1461</v>
      </c>
      <c r="AL147" s="17" t="s">
        <v>2966</v>
      </c>
      <c r="AS147" s="26" t="s">
        <v>3367</v>
      </c>
      <c r="AT147" s="26" t="s">
        <v>3367</v>
      </c>
    </row>
    <row r="148" spans="1:46" x14ac:dyDescent="0.25">
      <c r="A148" s="17" t="s">
        <v>1516</v>
      </c>
      <c r="B148" s="17" t="s">
        <v>1517</v>
      </c>
      <c r="G148" s="17" t="s">
        <v>1518</v>
      </c>
      <c r="H148" s="17" t="s">
        <v>1519</v>
      </c>
      <c r="M148" s="25" t="s">
        <v>1520</v>
      </c>
      <c r="N148" s="25" t="s">
        <v>1521</v>
      </c>
      <c r="S148" s="17" t="s">
        <v>1522</v>
      </c>
      <c r="T148" s="17" t="s">
        <v>1523</v>
      </c>
      <c r="AK148" s="17" t="s">
        <v>1470</v>
      </c>
      <c r="AL148" s="17" t="s">
        <v>2967</v>
      </c>
    </row>
    <row r="149" spans="1:46" x14ac:dyDescent="0.25">
      <c r="A149" s="17" t="s">
        <v>1525</v>
      </c>
      <c r="B149" s="17" t="s">
        <v>1526</v>
      </c>
      <c r="G149" s="17" t="s">
        <v>1527</v>
      </c>
      <c r="H149" s="17" t="s">
        <v>1528</v>
      </c>
      <c r="M149" s="25" t="s">
        <v>1529</v>
      </c>
      <c r="N149" s="25" t="s">
        <v>1530</v>
      </c>
      <c r="S149" s="17" t="s">
        <v>1531</v>
      </c>
      <c r="T149" s="17" t="s">
        <v>1532</v>
      </c>
      <c r="AK149" s="17" t="s">
        <v>1479</v>
      </c>
      <c r="AL149" s="17" t="s">
        <v>2968</v>
      </c>
    </row>
    <row r="150" spans="1:46" x14ac:dyDescent="0.25">
      <c r="A150" s="17" t="s">
        <v>1534</v>
      </c>
      <c r="B150" s="17" t="s">
        <v>1535</v>
      </c>
      <c r="G150" s="17" t="s">
        <v>1536</v>
      </c>
      <c r="H150" s="17" t="s">
        <v>1537</v>
      </c>
      <c r="M150" s="25" t="s">
        <v>1538</v>
      </c>
      <c r="N150" s="25" t="s">
        <v>1539</v>
      </c>
      <c r="S150" s="17" t="s">
        <v>1540</v>
      </c>
      <c r="T150" s="17" t="s">
        <v>1541</v>
      </c>
      <c r="AK150" s="17" t="s">
        <v>1488</v>
      </c>
      <c r="AL150" s="17" t="s">
        <v>2969</v>
      </c>
    </row>
    <row r="151" spans="1:46" x14ac:dyDescent="0.25">
      <c r="A151" s="17" t="s">
        <v>1543</v>
      </c>
      <c r="B151" s="17" t="s">
        <v>1544</v>
      </c>
      <c r="G151" s="17" t="s">
        <v>1545</v>
      </c>
      <c r="H151" s="17" t="s">
        <v>1546</v>
      </c>
      <c r="M151" s="25" t="s">
        <v>1547</v>
      </c>
      <c r="N151" s="25" t="s">
        <v>1548</v>
      </c>
      <c r="S151" s="17" t="s">
        <v>1549</v>
      </c>
      <c r="T151" s="17" t="s">
        <v>1550</v>
      </c>
      <c r="AK151" s="17" t="s">
        <v>1497</v>
      </c>
      <c r="AL151" s="17" t="s">
        <v>2970</v>
      </c>
    </row>
    <row r="152" spans="1:46" x14ac:dyDescent="0.25">
      <c r="A152" s="17" t="s">
        <v>1552</v>
      </c>
      <c r="B152" s="17" t="s">
        <v>1553</v>
      </c>
      <c r="G152" s="17" t="s">
        <v>1554</v>
      </c>
      <c r="H152" s="17" t="s">
        <v>1555</v>
      </c>
      <c r="M152" s="25" t="s">
        <v>1556</v>
      </c>
      <c r="N152" s="25" t="s">
        <v>1557</v>
      </c>
      <c r="S152" s="17" t="s">
        <v>1558</v>
      </c>
      <c r="T152" s="17" t="s">
        <v>1559</v>
      </c>
      <c r="AK152" s="17" t="s">
        <v>1506</v>
      </c>
      <c r="AL152" s="17" t="s">
        <v>2971</v>
      </c>
    </row>
    <row r="153" spans="1:46" x14ac:dyDescent="0.25">
      <c r="A153" s="17" t="s">
        <v>1561</v>
      </c>
      <c r="B153" s="17" t="s">
        <v>1562</v>
      </c>
      <c r="G153" s="17" t="s">
        <v>1563</v>
      </c>
      <c r="H153" s="17" t="s">
        <v>1564</v>
      </c>
      <c r="M153" s="25" t="s">
        <v>1565</v>
      </c>
      <c r="N153" s="25" t="s">
        <v>1566</v>
      </c>
      <c r="S153" s="17" t="s">
        <v>1567</v>
      </c>
      <c r="T153" s="17" t="s">
        <v>1568</v>
      </c>
      <c r="AK153" s="17" t="s">
        <v>1515</v>
      </c>
      <c r="AL153" s="17" t="s">
        <v>2972</v>
      </c>
    </row>
    <row r="154" spans="1:46" x14ac:dyDescent="0.25">
      <c r="A154" s="17" t="s">
        <v>1569</v>
      </c>
      <c r="B154" s="17" t="s">
        <v>1570</v>
      </c>
      <c r="G154" s="17" t="s">
        <v>1571</v>
      </c>
      <c r="H154" s="17" t="s">
        <v>1572</v>
      </c>
      <c r="M154" s="25" t="s">
        <v>1573</v>
      </c>
      <c r="N154" s="25" t="s">
        <v>1574</v>
      </c>
      <c r="S154" s="17" t="s">
        <v>1575</v>
      </c>
      <c r="T154" s="17" t="s">
        <v>1576</v>
      </c>
      <c r="AK154" s="17" t="s">
        <v>1524</v>
      </c>
      <c r="AL154" s="17" t="s">
        <v>1296</v>
      </c>
    </row>
    <row r="155" spans="1:46" x14ac:dyDescent="0.25">
      <c r="A155" s="17" t="s">
        <v>1578</v>
      </c>
      <c r="B155" s="17" t="s">
        <v>1579</v>
      </c>
      <c r="G155" s="17" t="s">
        <v>1580</v>
      </c>
      <c r="H155" s="17" t="s">
        <v>1581</v>
      </c>
      <c r="M155" s="25" t="s">
        <v>1582</v>
      </c>
      <c r="N155" s="25" t="s">
        <v>1583</v>
      </c>
      <c r="S155" s="17" t="s">
        <v>1584</v>
      </c>
      <c r="T155" s="17" t="s">
        <v>1585</v>
      </c>
      <c r="AK155" s="17" t="s">
        <v>1533</v>
      </c>
      <c r="AL155" s="17" t="s">
        <v>1377</v>
      </c>
    </row>
    <row r="156" spans="1:46" x14ac:dyDescent="0.25">
      <c r="A156" s="17" t="s">
        <v>1587</v>
      </c>
      <c r="B156" s="17" t="s">
        <v>1588</v>
      </c>
      <c r="G156" s="17" t="s">
        <v>1589</v>
      </c>
      <c r="H156" s="17" t="s">
        <v>1590</v>
      </c>
      <c r="M156" s="25" t="s">
        <v>1591</v>
      </c>
      <c r="N156" s="25" t="s">
        <v>1592</v>
      </c>
      <c r="S156" s="17" t="s">
        <v>1593</v>
      </c>
      <c r="T156" s="17" t="s">
        <v>1594</v>
      </c>
      <c r="AK156" s="17" t="s">
        <v>1542</v>
      </c>
      <c r="AL156" s="17" t="s">
        <v>1332</v>
      </c>
    </row>
    <row r="157" spans="1:46" x14ac:dyDescent="0.25">
      <c r="A157" s="17" t="s">
        <v>1596</v>
      </c>
      <c r="B157" s="17" t="s">
        <v>1597</v>
      </c>
      <c r="G157" s="17" t="s">
        <v>1598</v>
      </c>
      <c r="H157" s="17" t="s">
        <v>1599</v>
      </c>
      <c r="M157" s="25" t="s">
        <v>1600</v>
      </c>
      <c r="N157" s="25" t="s">
        <v>1601</v>
      </c>
      <c r="S157" s="17" t="s">
        <v>1602</v>
      </c>
      <c r="T157" s="17" t="s">
        <v>1603</v>
      </c>
      <c r="AK157" s="17" t="s">
        <v>1551</v>
      </c>
      <c r="AL157" s="17" t="s">
        <v>2973</v>
      </c>
    </row>
    <row r="158" spans="1:46" x14ac:dyDescent="0.25">
      <c r="A158" s="17" t="s">
        <v>1605</v>
      </c>
      <c r="B158" s="17" t="s">
        <v>1606</v>
      </c>
      <c r="G158" s="17" t="s">
        <v>1607</v>
      </c>
      <c r="H158" s="17" t="s">
        <v>1608</v>
      </c>
      <c r="M158" s="25" t="s">
        <v>1609</v>
      </c>
      <c r="N158" s="25" t="s">
        <v>1610</v>
      </c>
      <c r="S158" s="17" t="s">
        <v>1611</v>
      </c>
      <c r="T158" s="17" t="s">
        <v>1612</v>
      </c>
      <c r="AK158" s="17" t="s">
        <v>1560</v>
      </c>
      <c r="AL158" s="17" t="s">
        <v>2974</v>
      </c>
    </row>
    <row r="159" spans="1:46" x14ac:dyDescent="0.25">
      <c r="A159" s="17" t="s">
        <v>1614</v>
      </c>
      <c r="B159" s="17" t="s">
        <v>1615</v>
      </c>
      <c r="G159" s="17" t="s">
        <v>1616</v>
      </c>
      <c r="H159" s="17" t="s">
        <v>1617</v>
      </c>
      <c r="M159" s="25" t="s">
        <v>1618</v>
      </c>
      <c r="N159" s="25" t="s">
        <v>1619</v>
      </c>
      <c r="S159" s="17" t="s">
        <v>1620</v>
      </c>
      <c r="T159" s="17" t="s">
        <v>1621</v>
      </c>
      <c r="AK159" s="17" t="s">
        <v>1551</v>
      </c>
      <c r="AL159" s="17" t="s">
        <v>1700</v>
      </c>
    </row>
    <row r="160" spans="1:46" x14ac:dyDescent="0.25">
      <c r="A160" s="17" t="s">
        <v>1623</v>
      </c>
      <c r="B160" s="17" t="s">
        <v>1624</v>
      </c>
      <c r="G160" s="17" t="s">
        <v>1625</v>
      </c>
      <c r="H160" s="17" t="s">
        <v>1626</v>
      </c>
      <c r="M160" s="25" t="s">
        <v>1627</v>
      </c>
      <c r="N160" s="25" t="s">
        <v>1628</v>
      </c>
      <c r="S160" s="17" t="s">
        <v>1629</v>
      </c>
      <c r="T160" s="17" t="s">
        <v>1630</v>
      </c>
      <c r="AK160" s="17" t="s">
        <v>1577</v>
      </c>
      <c r="AL160" s="17" t="s">
        <v>1714</v>
      </c>
    </row>
    <row r="161" spans="1:38" x14ac:dyDescent="0.25">
      <c r="A161" s="17" t="s">
        <v>1632</v>
      </c>
      <c r="B161" s="17" t="s">
        <v>1633</v>
      </c>
      <c r="G161" s="17" t="s">
        <v>1634</v>
      </c>
      <c r="H161" s="17" t="s">
        <v>1635</v>
      </c>
      <c r="M161" s="25" t="s">
        <v>1636</v>
      </c>
      <c r="N161" s="25" t="s">
        <v>1637</v>
      </c>
      <c r="S161" s="17" t="s">
        <v>1638</v>
      </c>
      <c r="T161" s="17" t="s">
        <v>1639</v>
      </c>
      <c r="AK161" s="17" t="s">
        <v>1586</v>
      </c>
      <c r="AL161" s="17" t="s">
        <v>2975</v>
      </c>
    </row>
    <row r="162" spans="1:38" x14ac:dyDescent="0.25">
      <c r="A162" s="17" t="s">
        <v>1641</v>
      </c>
      <c r="B162" s="17" t="s">
        <v>1642</v>
      </c>
      <c r="G162" s="17" t="s">
        <v>1643</v>
      </c>
      <c r="H162" s="17" t="s">
        <v>1644</v>
      </c>
      <c r="M162" s="25" t="s">
        <v>1645</v>
      </c>
      <c r="N162" s="25" t="s">
        <v>1646</v>
      </c>
      <c r="S162" s="17" t="s">
        <v>1647</v>
      </c>
      <c r="T162" s="17" t="s">
        <v>1648</v>
      </c>
      <c r="AK162" s="17" t="s">
        <v>1595</v>
      </c>
      <c r="AL162" s="17" t="s">
        <v>2976</v>
      </c>
    </row>
    <row r="163" spans="1:38" x14ac:dyDescent="0.25">
      <c r="A163" s="17" t="s">
        <v>1650</v>
      </c>
      <c r="B163" s="17" t="s">
        <v>1651</v>
      </c>
      <c r="G163" s="17" t="s">
        <v>1652</v>
      </c>
      <c r="H163" s="17" t="s">
        <v>1653</v>
      </c>
      <c r="M163" s="25" t="s">
        <v>1654</v>
      </c>
      <c r="N163" s="25" t="s">
        <v>1655</v>
      </c>
      <c r="S163" s="17" t="s">
        <v>1656</v>
      </c>
      <c r="T163" s="17" t="s">
        <v>1657</v>
      </c>
      <c r="AK163" s="17" t="s">
        <v>1604</v>
      </c>
      <c r="AL163" s="17" t="s">
        <v>2977</v>
      </c>
    </row>
    <row r="164" spans="1:38" x14ac:dyDescent="0.25">
      <c r="A164" s="17" t="s">
        <v>1659</v>
      </c>
      <c r="B164" s="17" t="s">
        <v>1660</v>
      </c>
      <c r="G164" s="17" t="s">
        <v>1661</v>
      </c>
      <c r="H164" s="17" t="s">
        <v>1662</v>
      </c>
      <c r="M164" s="25" t="s">
        <v>1663</v>
      </c>
      <c r="N164" s="25" t="s">
        <v>1664</v>
      </c>
      <c r="S164" s="17" t="s">
        <v>1665</v>
      </c>
      <c r="T164" s="17" t="s">
        <v>1666</v>
      </c>
      <c r="AK164" s="17" t="s">
        <v>1613</v>
      </c>
      <c r="AL164" s="17" t="s">
        <v>2978</v>
      </c>
    </row>
    <row r="165" spans="1:38" x14ac:dyDescent="0.25">
      <c r="A165" s="17" t="s">
        <v>1668</v>
      </c>
      <c r="B165" s="17" t="s">
        <v>1669</v>
      </c>
      <c r="G165" s="17" t="s">
        <v>1670</v>
      </c>
      <c r="H165" s="17" t="s">
        <v>1671</v>
      </c>
      <c r="M165" s="25" t="s">
        <v>1672</v>
      </c>
      <c r="N165" s="25" t="s">
        <v>1673</v>
      </c>
      <c r="S165" s="17" t="s">
        <v>1674</v>
      </c>
      <c r="T165" s="17" t="s">
        <v>1675</v>
      </c>
      <c r="AK165" s="17" t="s">
        <v>1622</v>
      </c>
      <c r="AL165" s="17" t="s">
        <v>334</v>
      </c>
    </row>
    <row r="166" spans="1:38" x14ac:dyDescent="0.25">
      <c r="A166" s="17" t="s">
        <v>1677</v>
      </c>
      <c r="B166" s="17" t="s">
        <v>1678</v>
      </c>
      <c r="G166" s="17" t="s">
        <v>1679</v>
      </c>
      <c r="H166" s="17" t="s">
        <v>1680</v>
      </c>
      <c r="M166" s="25" t="s">
        <v>1681</v>
      </c>
      <c r="N166" s="25" t="s">
        <v>1682</v>
      </c>
      <c r="S166" s="17" t="s">
        <v>1683</v>
      </c>
      <c r="T166" s="17" t="s">
        <v>1684</v>
      </c>
      <c r="AK166" s="17" t="s">
        <v>1631</v>
      </c>
      <c r="AL166" s="17" t="s">
        <v>2979</v>
      </c>
    </row>
    <row r="167" spans="1:38" x14ac:dyDescent="0.25">
      <c r="A167" s="17" t="s">
        <v>1686</v>
      </c>
      <c r="B167" s="17" t="s">
        <v>1687</v>
      </c>
      <c r="G167" s="17" t="s">
        <v>1688</v>
      </c>
      <c r="H167" s="17" t="s">
        <v>1689</v>
      </c>
      <c r="M167" s="25" t="s">
        <v>1690</v>
      </c>
      <c r="N167" s="25" t="s">
        <v>1691</v>
      </c>
      <c r="S167" s="17" t="s">
        <v>1692</v>
      </c>
      <c r="T167" s="17" t="s">
        <v>1693</v>
      </c>
      <c r="AK167" s="17" t="s">
        <v>1640</v>
      </c>
      <c r="AL167" s="17" t="s">
        <v>2980</v>
      </c>
    </row>
    <row r="168" spans="1:38" x14ac:dyDescent="0.25">
      <c r="A168" s="17" t="s">
        <v>1695</v>
      </c>
      <c r="B168" s="17" t="s">
        <v>1696</v>
      </c>
      <c r="G168" s="17" t="s">
        <v>1697</v>
      </c>
      <c r="H168" s="17" t="s">
        <v>1698</v>
      </c>
      <c r="M168" s="25" t="s">
        <v>1699</v>
      </c>
      <c r="N168" s="25" t="s">
        <v>1700</v>
      </c>
      <c r="S168" s="17" t="s">
        <v>1701</v>
      </c>
      <c r="T168" s="17" t="s">
        <v>1702</v>
      </c>
      <c r="AK168" s="17" t="s">
        <v>1649</v>
      </c>
      <c r="AL168" s="17" t="s">
        <v>1707</v>
      </c>
    </row>
    <row r="169" spans="1:38" x14ac:dyDescent="0.25">
      <c r="A169" s="17" t="s">
        <v>1704</v>
      </c>
      <c r="B169" s="17" t="s">
        <v>1705</v>
      </c>
      <c r="G169" s="17" t="s">
        <v>1643</v>
      </c>
      <c r="H169" s="17" t="s">
        <v>1644</v>
      </c>
      <c r="M169" s="25" t="s">
        <v>1706</v>
      </c>
      <c r="N169" s="25" t="s">
        <v>1707</v>
      </c>
      <c r="S169" s="17" t="s">
        <v>1708</v>
      </c>
      <c r="T169" s="17" t="s">
        <v>1709</v>
      </c>
      <c r="AK169" s="17" t="s">
        <v>1658</v>
      </c>
      <c r="AL169" s="17" t="s">
        <v>964</v>
      </c>
    </row>
    <row r="170" spans="1:38" x14ac:dyDescent="0.25">
      <c r="A170" s="17" t="s">
        <v>1711</v>
      </c>
      <c r="B170" s="17" t="s">
        <v>1712</v>
      </c>
      <c r="G170" s="17" t="s">
        <v>1652</v>
      </c>
      <c r="H170" s="17" t="s">
        <v>1653</v>
      </c>
      <c r="M170" s="25" t="s">
        <v>1713</v>
      </c>
      <c r="N170" s="25" t="s">
        <v>1714</v>
      </c>
      <c r="S170" s="17" t="s">
        <v>1715</v>
      </c>
      <c r="T170" s="17" t="s">
        <v>1716</v>
      </c>
      <c r="AK170" s="17" t="s">
        <v>1667</v>
      </c>
      <c r="AL170" s="17" t="s">
        <v>973</v>
      </c>
    </row>
    <row r="171" spans="1:38" x14ac:dyDescent="0.25">
      <c r="A171" s="17" t="s">
        <v>1718</v>
      </c>
      <c r="B171" s="17" t="s">
        <v>1719</v>
      </c>
      <c r="G171" s="17" t="s">
        <v>1661</v>
      </c>
      <c r="H171" s="17" t="s">
        <v>1662</v>
      </c>
      <c r="M171" s="25" t="s">
        <v>1720</v>
      </c>
      <c r="N171" s="25" t="s">
        <v>1721</v>
      </c>
      <c r="S171" s="17" t="s">
        <v>1722</v>
      </c>
      <c r="T171" s="17" t="s">
        <v>1723</v>
      </c>
      <c r="AK171" s="17" t="s">
        <v>1676</v>
      </c>
      <c r="AL171" s="17" t="s">
        <v>982</v>
      </c>
    </row>
    <row r="172" spans="1:38" x14ac:dyDescent="0.25">
      <c r="A172" s="17" t="s">
        <v>1725</v>
      </c>
      <c r="B172" s="17" t="s">
        <v>1726</v>
      </c>
      <c r="G172" s="17" t="s">
        <v>1670</v>
      </c>
      <c r="H172" s="17" t="s">
        <v>1671</v>
      </c>
      <c r="M172" s="25" t="s">
        <v>1727</v>
      </c>
      <c r="N172" s="25" t="s">
        <v>1728</v>
      </c>
      <c r="S172" s="17" t="s">
        <v>1729</v>
      </c>
      <c r="T172" s="17" t="s">
        <v>1730</v>
      </c>
      <c r="AK172" s="17" t="s">
        <v>1685</v>
      </c>
      <c r="AL172" s="17" t="s">
        <v>991</v>
      </c>
    </row>
    <row r="173" spans="1:38" x14ac:dyDescent="0.25">
      <c r="A173" s="17" t="s">
        <v>1732</v>
      </c>
      <c r="B173" s="17" t="s">
        <v>1733</v>
      </c>
      <c r="G173" s="17" t="s">
        <v>1679</v>
      </c>
      <c r="H173" s="17" t="s">
        <v>1680</v>
      </c>
      <c r="M173" s="25" t="s">
        <v>1734</v>
      </c>
      <c r="N173" s="25" t="s">
        <v>1735</v>
      </c>
      <c r="S173" s="17" t="s">
        <v>1736</v>
      </c>
      <c r="T173" s="17" t="s">
        <v>1737</v>
      </c>
      <c r="AK173" s="17" t="s">
        <v>1694</v>
      </c>
      <c r="AL173" s="17" t="s">
        <v>2981</v>
      </c>
    </row>
    <row r="174" spans="1:38" x14ac:dyDescent="0.25">
      <c r="A174" s="17" t="s">
        <v>1739</v>
      </c>
      <c r="B174" s="17" t="s">
        <v>1740</v>
      </c>
      <c r="G174" s="17" t="s">
        <v>1688</v>
      </c>
      <c r="H174" s="17" t="s">
        <v>1689</v>
      </c>
      <c r="M174" s="25" t="s">
        <v>1741</v>
      </c>
      <c r="N174" s="25" t="s">
        <v>1742</v>
      </c>
      <c r="S174" s="17" t="s">
        <v>1743</v>
      </c>
      <c r="T174" s="17" t="s">
        <v>1744</v>
      </c>
      <c r="AK174" s="17" t="s">
        <v>1703</v>
      </c>
      <c r="AL174" s="17" t="s">
        <v>2982</v>
      </c>
    </row>
    <row r="175" spans="1:38" x14ac:dyDescent="0.25">
      <c r="A175" s="17" t="s">
        <v>1746</v>
      </c>
      <c r="B175" s="17" t="s">
        <v>1747</v>
      </c>
      <c r="G175" s="17" t="s">
        <v>1697</v>
      </c>
      <c r="H175" s="17" t="s">
        <v>1698</v>
      </c>
      <c r="M175" s="25" t="s">
        <v>1748</v>
      </c>
      <c r="N175" s="25" t="s">
        <v>1749</v>
      </c>
      <c r="S175" s="17" t="s">
        <v>1750</v>
      </c>
      <c r="T175" s="17" t="s">
        <v>1751</v>
      </c>
      <c r="AK175" s="17" t="s">
        <v>1710</v>
      </c>
      <c r="AL175" s="17" t="s">
        <v>2983</v>
      </c>
    </row>
    <row r="176" spans="1:38" x14ac:dyDescent="0.25">
      <c r="A176" s="17" t="s">
        <v>1754</v>
      </c>
      <c r="B176" s="17" t="s">
        <v>1755</v>
      </c>
      <c r="G176" s="16"/>
      <c r="M176" s="25" t="s">
        <v>1756</v>
      </c>
      <c r="N176" s="25" t="s">
        <v>1757</v>
      </c>
      <c r="S176" s="17" t="s">
        <v>1758</v>
      </c>
      <c r="T176" s="17" t="s">
        <v>1759</v>
      </c>
      <c r="AK176" s="17" t="s">
        <v>1717</v>
      </c>
      <c r="AL176" s="17" t="s">
        <v>2984</v>
      </c>
    </row>
    <row r="177" spans="1:38" x14ac:dyDescent="0.25">
      <c r="A177" s="17" t="s">
        <v>1761</v>
      </c>
      <c r="B177" s="17" t="s">
        <v>1762</v>
      </c>
      <c r="G177" s="16"/>
      <c r="M177" s="25" t="s">
        <v>1763</v>
      </c>
      <c r="N177" s="25" t="s">
        <v>1764</v>
      </c>
      <c r="S177" s="17" t="s">
        <v>1765</v>
      </c>
      <c r="T177" s="17" t="s">
        <v>1766</v>
      </c>
      <c r="AK177" s="17" t="s">
        <v>1724</v>
      </c>
      <c r="AL177" s="17" t="s">
        <v>2985</v>
      </c>
    </row>
    <row r="178" spans="1:38" x14ac:dyDescent="0.25">
      <c r="A178" s="17" t="s">
        <v>1768</v>
      </c>
      <c r="B178" s="17" t="s">
        <v>1769</v>
      </c>
      <c r="G178" s="16"/>
      <c r="M178" s="25" t="s">
        <v>1770</v>
      </c>
      <c r="N178" s="25" t="s">
        <v>1771</v>
      </c>
      <c r="S178" s="17" t="s">
        <v>1772</v>
      </c>
      <c r="T178" s="17" t="s">
        <v>1773</v>
      </c>
      <c r="AK178" s="17" t="s">
        <v>1731</v>
      </c>
      <c r="AL178" s="17" t="s">
        <v>2986</v>
      </c>
    </row>
    <row r="179" spans="1:38" x14ac:dyDescent="0.25">
      <c r="A179" s="17" t="s">
        <v>1775</v>
      </c>
      <c r="B179" s="17" t="s">
        <v>1776</v>
      </c>
      <c r="G179" s="16"/>
      <c r="M179" s="25" t="s">
        <v>1777</v>
      </c>
      <c r="N179" s="25" t="s">
        <v>1778</v>
      </c>
      <c r="S179" s="17" t="s">
        <v>1779</v>
      </c>
      <c r="T179" s="17" t="s">
        <v>1780</v>
      </c>
      <c r="AK179" s="17" t="s">
        <v>1738</v>
      </c>
      <c r="AL179" s="17" t="s">
        <v>2987</v>
      </c>
    </row>
    <row r="180" spans="1:38" x14ac:dyDescent="0.25">
      <c r="A180" s="17" t="s">
        <v>1782</v>
      </c>
      <c r="B180" s="17" t="s">
        <v>1783</v>
      </c>
      <c r="G180" s="16"/>
      <c r="M180" s="25" t="s">
        <v>1784</v>
      </c>
      <c r="N180" s="25" t="s">
        <v>1785</v>
      </c>
      <c r="S180" s="17" t="s">
        <v>1786</v>
      </c>
      <c r="T180" s="17" t="s">
        <v>1787</v>
      </c>
      <c r="AK180" s="17" t="s">
        <v>1745</v>
      </c>
      <c r="AL180" s="17" t="s">
        <v>2988</v>
      </c>
    </row>
    <row r="181" spans="1:38" x14ac:dyDescent="0.25">
      <c r="A181" s="17" t="s">
        <v>1789</v>
      </c>
      <c r="B181" s="17" t="s">
        <v>1790</v>
      </c>
      <c r="G181" s="16"/>
      <c r="M181" s="25" t="s">
        <v>1791</v>
      </c>
      <c r="N181" s="25" t="s">
        <v>1792</v>
      </c>
      <c r="S181" s="17" t="s">
        <v>1793</v>
      </c>
      <c r="T181" s="17" t="s">
        <v>1794</v>
      </c>
      <c r="AK181" s="17" t="s">
        <v>1752</v>
      </c>
      <c r="AL181" s="17" t="s">
        <v>1753</v>
      </c>
    </row>
    <row r="182" spans="1:38" x14ac:dyDescent="0.25">
      <c r="A182" s="17" t="s">
        <v>1796</v>
      </c>
      <c r="B182" s="17" t="s">
        <v>1797</v>
      </c>
      <c r="G182" s="16"/>
      <c r="M182" s="25" t="s">
        <v>1798</v>
      </c>
      <c r="N182" s="25" t="s">
        <v>1799</v>
      </c>
      <c r="S182" s="17" t="s">
        <v>1800</v>
      </c>
      <c r="T182" s="17" t="s">
        <v>1801</v>
      </c>
      <c r="AK182" s="17" t="s">
        <v>1760</v>
      </c>
      <c r="AL182" s="17" t="s">
        <v>2989</v>
      </c>
    </row>
    <row r="183" spans="1:38" x14ac:dyDescent="0.25">
      <c r="A183" s="17" t="s">
        <v>1803</v>
      </c>
      <c r="B183" s="17" t="s">
        <v>1804</v>
      </c>
      <c r="G183" s="16"/>
      <c r="M183" s="25" t="s">
        <v>1805</v>
      </c>
      <c r="N183" s="25" t="s">
        <v>1806</v>
      </c>
      <c r="S183" s="17" t="s">
        <v>1807</v>
      </c>
      <c r="T183" s="17" t="s">
        <v>1808</v>
      </c>
      <c r="AK183" s="17" t="s">
        <v>1767</v>
      </c>
      <c r="AL183" s="17" t="s">
        <v>2990</v>
      </c>
    </row>
    <row r="184" spans="1:38" x14ac:dyDescent="0.25">
      <c r="A184" s="17" t="s">
        <v>1810</v>
      </c>
      <c r="B184" s="17" t="s">
        <v>1811</v>
      </c>
      <c r="G184" s="16"/>
      <c r="M184" s="25" t="s">
        <v>1812</v>
      </c>
      <c r="N184" s="25" t="s">
        <v>1813</v>
      </c>
      <c r="S184" s="17" t="s">
        <v>1814</v>
      </c>
      <c r="T184" s="17" t="s">
        <v>1815</v>
      </c>
      <c r="AK184" s="17" t="s">
        <v>1774</v>
      </c>
      <c r="AL184" s="17" t="s">
        <v>2991</v>
      </c>
    </row>
    <row r="185" spans="1:38" x14ac:dyDescent="0.25">
      <c r="A185" s="17" t="s">
        <v>1817</v>
      </c>
      <c r="B185" s="17" t="s">
        <v>1818</v>
      </c>
      <c r="G185" s="16"/>
      <c r="M185" s="25" t="s">
        <v>1819</v>
      </c>
      <c r="N185" s="25" t="s">
        <v>1820</v>
      </c>
      <c r="S185" s="17" t="s">
        <v>1821</v>
      </c>
      <c r="T185" s="17" t="s">
        <v>1822</v>
      </c>
      <c r="AK185" s="17" t="s">
        <v>1781</v>
      </c>
      <c r="AL185" s="17" t="s">
        <v>2992</v>
      </c>
    </row>
    <row r="186" spans="1:38" x14ac:dyDescent="0.25">
      <c r="A186" s="17" t="s">
        <v>1824</v>
      </c>
      <c r="B186" s="17" t="s">
        <v>1825</v>
      </c>
      <c r="G186" s="16"/>
      <c r="M186" s="25" t="s">
        <v>1826</v>
      </c>
      <c r="N186" s="25" t="s">
        <v>1827</v>
      </c>
      <c r="S186" s="17" t="s">
        <v>1828</v>
      </c>
      <c r="T186" s="17" t="s">
        <v>1829</v>
      </c>
      <c r="AK186" s="17" t="s">
        <v>1788</v>
      </c>
      <c r="AL186" s="17" t="s">
        <v>2993</v>
      </c>
    </row>
    <row r="187" spans="1:38" x14ac:dyDescent="0.25">
      <c r="A187" s="17" t="s">
        <v>1831</v>
      </c>
      <c r="B187" s="17" t="s">
        <v>1832</v>
      </c>
      <c r="G187" s="16"/>
      <c r="M187" s="25" t="s">
        <v>1833</v>
      </c>
      <c r="N187" s="25" t="s">
        <v>1834</v>
      </c>
      <c r="S187" s="17" t="s">
        <v>1835</v>
      </c>
      <c r="T187" s="17" t="s">
        <v>1836</v>
      </c>
      <c r="AK187" s="17" t="s">
        <v>1795</v>
      </c>
      <c r="AL187" s="17" t="s">
        <v>2994</v>
      </c>
    </row>
    <row r="188" spans="1:38" x14ac:dyDescent="0.25">
      <c r="A188" s="17" t="s">
        <v>1838</v>
      </c>
      <c r="B188" s="17" t="s">
        <v>1839</v>
      </c>
      <c r="G188" s="16"/>
      <c r="M188" s="25" t="s">
        <v>1840</v>
      </c>
      <c r="N188" s="25" t="s">
        <v>1841</v>
      </c>
      <c r="S188" s="17" t="s">
        <v>1842</v>
      </c>
      <c r="T188" s="17" t="s">
        <v>1843</v>
      </c>
      <c r="AK188" s="17" t="s">
        <v>1802</v>
      </c>
      <c r="AL188" s="17" t="s">
        <v>2995</v>
      </c>
    </row>
    <row r="189" spans="1:38" x14ac:dyDescent="0.25">
      <c r="A189" s="17" t="s">
        <v>1845</v>
      </c>
      <c r="B189" s="17" t="s">
        <v>1846</v>
      </c>
      <c r="G189" s="16"/>
      <c r="M189" s="25" t="s">
        <v>1847</v>
      </c>
      <c r="N189" s="25" t="s">
        <v>1848</v>
      </c>
      <c r="S189" s="17" t="s">
        <v>1849</v>
      </c>
      <c r="T189" s="17" t="s">
        <v>1850</v>
      </c>
      <c r="AK189" s="17" t="s">
        <v>1809</v>
      </c>
      <c r="AL189" s="17" t="s">
        <v>2996</v>
      </c>
    </row>
    <row r="190" spans="1:38" x14ac:dyDescent="0.25">
      <c r="A190" s="17" t="s">
        <v>1852</v>
      </c>
      <c r="B190" s="17" t="s">
        <v>1853</v>
      </c>
      <c r="G190" s="16"/>
      <c r="M190" s="25" t="s">
        <v>1854</v>
      </c>
      <c r="N190" s="25" t="s">
        <v>1855</v>
      </c>
      <c r="S190" s="17" t="s">
        <v>1856</v>
      </c>
      <c r="T190" s="17" t="s">
        <v>1857</v>
      </c>
      <c r="AK190" s="17" t="s">
        <v>1816</v>
      </c>
      <c r="AL190" s="17" t="s">
        <v>2997</v>
      </c>
    </row>
    <row r="191" spans="1:38" x14ac:dyDescent="0.25">
      <c r="A191" s="17" t="s">
        <v>1859</v>
      </c>
      <c r="B191" s="17" t="s">
        <v>1860</v>
      </c>
      <c r="G191" s="16"/>
      <c r="M191" s="25" t="s">
        <v>1861</v>
      </c>
      <c r="N191" s="25" t="s">
        <v>1862</v>
      </c>
      <c r="S191" s="17" t="s">
        <v>1863</v>
      </c>
      <c r="T191" s="17" t="s">
        <v>1864</v>
      </c>
      <c r="AK191" s="17" t="s">
        <v>1823</v>
      </c>
      <c r="AL191" s="17" t="s">
        <v>2998</v>
      </c>
    </row>
    <row r="192" spans="1:38" x14ac:dyDescent="0.25">
      <c r="A192" s="17" t="s">
        <v>1866</v>
      </c>
      <c r="B192" s="17" t="s">
        <v>1867</v>
      </c>
      <c r="G192" s="16"/>
      <c r="M192" s="25" t="s">
        <v>1868</v>
      </c>
      <c r="N192" s="25" t="s">
        <v>1869</v>
      </c>
      <c r="S192" s="17" t="s">
        <v>1870</v>
      </c>
      <c r="T192" s="17" t="s">
        <v>1871</v>
      </c>
      <c r="AK192" s="17" t="s">
        <v>1830</v>
      </c>
      <c r="AL192" s="17" t="s">
        <v>2999</v>
      </c>
    </row>
    <row r="193" spans="1:38" x14ac:dyDescent="0.25">
      <c r="A193" s="17" t="s">
        <v>1873</v>
      </c>
      <c r="B193" s="17" t="s">
        <v>1874</v>
      </c>
      <c r="G193" s="16"/>
      <c r="M193" s="25" t="s">
        <v>1875</v>
      </c>
      <c r="N193" s="25" t="s">
        <v>1876</v>
      </c>
      <c r="S193" s="17" t="s">
        <v>1877</v>
      </c>
      <c r="T193" s="17" t="s">
        <v>1878</v>
      </c>
      <c r="AK193" s="17" t="s">
        <v>1837</v>
      </c>
      <c r="AL193" s="17" t="s">
        <v>3000</v>
      </c>
    </row>
    <row r="194" spans="1:38" x14ac:dyDescent="0.25">
      <c r="A194" s="17" t="s">
        <v>1880</v>
      </c>
      <c r="B194" s="17" t="s">
        <v>1881</v>
      </c>
      <c r="G194" s="16"/>
      <c r="S194" s="17" t="s">
        <v>1882</v>
      </c>
      <c r="T194" s="17" t="s">
        <v>1883</v>
      </c>
      <c r="AK194" s="17" t="s">
        <v>1844</v>
      </c>
      <c r="AL194" s="17" t="s">
        <v>3001</v>
      </c>
    </row>
    <row r="195" spans="1:38" x14ac:dyDescent="0.25">
      <c r="A195" s="17" t="s">
        <v>1885</v>
      </c>
      <c r="B195" s="17" t="s">
        <v>1886</v>
      </c>
      <c r="G195" s="16"/>
      <c r="S195" s="17" t="s">
        <v>1887</v>
      </c>
      <c r="T195" s="17" t="s">
        <v>1888</v>
      </c>
      <c r="AK195" s="17" t="s">
        <v>1851</v>
      </c>
      <c r="AL195" s="17" t="s">
        <v>3002</v>
      </c>
    </row>
    <row r="196" spans="1:38" x14ac:dyDescent="0.25">
      <c r="A196" s="17" t="s">
        <v>1890</v>
      </c>
      <c r="B196" s="17" t="s">
        <v>1891</v>
      </c>
      <c r="G196" s="16"/>
      <c r="S196" s="17" t="s">
        <v>1892</v>
      </c>
      <c r="T196" s="17" t="s">
        <v>1893</v>
      </c>
      <c r="AK196" s="17" t="s">
        <v>1858</v>
      </c>
      <c r="AL196" s="17" t="s">
        <v>3003</v>
      </c>
    </row>
    <row r="197" spans="1:38" x14ac:dyDescent="0.25">
      <c r="A197" s="17" t="s">
        <v>1895</v>
      </c>
      <c r="B197" s="17" t="s">
        <v>1896</v>
      </c>
      <c r="G197" s="16"/>
      <c r="S197" s="17" t="s">
        <v>1897</v>
      </c>
      <c r="T197" s="17" t="s">
        <v>1898</v>
      </c>
      <c r="AK197" s="17" t="s">
        <v>1865</v>
      </c>
      <c r="AL197" s="17" t="s">
        <v>3004</v>
      </c>
    </row>
    <row r="198" spans="1:38" x14ac:dyDescent="0.25">
      <c r="A198" s="17" t="s">
        <v>1900</v>
      </c>
      <c r="B198" s="17" t="s">
        <v>1901</v>
      </c>
      <c r="G198" s="16"/>
      <c r="S198" s="17" t="s">
        <v>1902</v>
      </c>
      <c r="T198" s="17" t="s">
        <v>1903</v>
      </c>
      <c r="AK198" s="17" t="s">
        <v>1872</v>
      </c>
      <c r="AL198" s="17" t="s">
        <v>3005</v>
      </c>
    </row>
    <row r="199" spans="1:38" x14ac:dyDescent="0.25">
      <c r="A199" s="17" t="s">
        <v>1905</v>
      </c>
      <c r="B199" s="17" t="s">
        <v>1906</v>
      </c>
      <c r="G199" s="16"/>
      <c r="S199" s="17" t="s">
        <v>1907</v>
      </c>
      <c r="T199" s="17" t="s">
        <v>1908</v>
      </c>
      <c r="AK199" s="17" t="s">
        <v>1879</v>
      </c>
      <c r="AL199" s="17" t="s">
        <v>3006</v>
      </c>
    </row>
    <row r="200" spans="1:38" x14ac:dyDescent="0.25">
      <c r="A200" s="17" t="s">
        <v>1910</v>
      </c>
      <c r="B200" s="17" t="s">
        <v>1911</v>
      </c>
      <c r="G200" s="16"/>
      <c r="S200" s="17" t="s">
        <v>1912</v>
      </c>
      <c r="T200" s="17" t="s">
        <v>1913</v>
      </c>
      <c r="AK200" s="17" t="s">
        <v>1884</v>
      </c>
      <c r="AL200" s="17" t="s">
        <v>3007</v>
      </c>
    </row>
    <row r="201" spans="1:38" x14ac:dyDescent="0.25">
      <c r="A201" s="17" t="s">
        <v>1915</v>
      </c>
      <c r="B201" s="17" t="s">
        <v>1916</v>
      </c>
      <c r="G201" s="16"/>
      <c r="S201" s="17" t="s">
        <v>1917</v>
      </c>
      <c r="T201" s="17" t="s">
        <v>1918</v>
      </c>
      <c r="AK201" s="17" t="s">
        <v>1889</v>
      </c>
      <c r="AL201" s="17" t="s">
        <v>3008</v>
      </c>
    </row>
    <row r="202" spans="1:38" x14ac:dyDescent="0.25">
      <c r="A202" s="17" t="s">
        <v>1920</v>
      </c>
      <c r="B202" s="17" t="s">
        <v>1921</v>
      </c>
      <c r="G202" s="16"/>
      <c r="S202" s="17" t="s">
        <v>1922</v>
      </c>
      <c r="T202" s="17" t="s">
        <v>1923</v>
      </c>
      <c r="AK202" s="17" t="s">
        <v>1894</v>
      </c>
      <c r="AL202" s="17" t="s">
        <v>3009</v>
      </c>
    </row>
    <row r="203" spans="1:38" x14ac:dyDescent="0.25">
      <c r="A203" s="17" t="s">
        <v>1925</v>
      </c>
      <c r="B203" s="17" t="s">
        <v>1926</v>
      </c>
      <c r="G203" s="16"/>
      <c r="S203" s="17" t="s">
        <v>1927</v>
      </c>
      <c r="T203" s="17" t="s">
        <v>1928</v>
      </c>
      <c r="AK203" s="17" t="s">
        <v>1899</v>
      </c>
      <c r="AL203" s="17" t="s">
        <v>3010</v>
      </c>
    </row>
    <row r="204" spans="1:38" x14ac:dyDescent="0.25">
      <c r="A204" s="17" t="s">
        <v>1930</v>
      </c>
      <c r="B204" s="17" t="s">
        <v>1931</v>
      </c>
      <c r="G204" s="16"/>
      <c r="S204" s="17" t="s">
        <v>1932</v>
      </c>
      <c r="T204" s="17" t="s">
        <v>1933</v>
      </c>
      <c r="AK204" s="17" t="s">
        <v>1904</v>
      </c>
      <c r="AL204" s="17" t="s">
        <v>3011</v>
      </c>
    </row>
    <row r="205" spans="1:38" x14ac:dyDescent="0.25">
      <c r="A205" s="17" t="s">
        <v>1935</v>
      </c>
      <c r="B205" s="17" t="s">
        <v>1936</v>
      </c>
      <c r="G205" s="16"/>
      <c r="S205" s="17" t="s">
        <v>1937</v>
      </c>
      <c r="T205" s="17" t="s">
        <v>1938</v>
      </c>
      <c r="AK205" s="17" t="s">
        <v>1909</v>
      </c>
      <c r="AL205" s="17" t="s">
        <v>3012</v>
      </c>
    </row>
    <row r="206" spans="1:38" x14ac:dyDescent="0.25">
      <c r="A206" s="17" t="s">
        <v>1940</v>
      </c>
      <c r="B206" s="17" t="s">
        <v>1941</v>
      </c>
      <c r="G206" s="16"/>
      <c r="S206" s="17" t="s">
        <v>1942</v>
      </c>
      <c r="T206" s="17" t="s">
        <v>1943</v>
      </c>
      <c r="AK206" s="17" t="s">
        <v>1914</v>
      </c>
      <c r="AL206" s="17" t="s">
        <v>3013</v>
      </c>
    </row>
    <row r="207" spans="1:38" x14ac:dyDescent="0.25">
      <c r="A207" s="17" t="s">
        <v>1945</v>
      </c>
      <c r="B207" s="17" t="s">
        <v>1946</v>
      </c>
      <c r="G207" s="16"/>
      <c r="S207" s="17" t="s">
        <v>1947</v>
      </c>
      <c r="T207" s="17" t="s">
        <v>1948</v>
      </c>
      <c r="AK207" s="17" t="s">
        <v>1919</v>
      </c>
      <c r="AL207" s="17" t="s">
        <v>3014</v>
      </c>
    </row>
    <row r="208" spans="1:38" x14ac:dyDescent="0.25">
      <c r="A208" s="17" t="s">
        <v>1950</v>
      </c>
      <c r="B208" s="17" t="s">
        <v>1951</v>
      </c>
      <c r="G208" s="16"/>
      <c r="S208" s="17" t="s">
        <v>1952</v>
      </c>
      <c r="T208" s="17" t="s">
        <v>1953</v>
      </c>
      <c r="AK208" s="17" t="s">
        <v>1924</v>
      </c>
      <c r="AL208" s="17" t="s">
        <v>3015</v>
      </c>
    </row>
    <row r="209" spans="1:38" x14ac:dyDescent="0.25">
      <c r="A209" s="17" t="s">
        <v>1955</v>
      </c>
      <c r="B209" s="17" t="s">
        <v>1956</v>
      </c>
      <c r="G209" s="16"/>
      <c r="S209" s="17" t="s">
        <v>1957</v>
      </c>
      <c r="T209" s="17" t="s">
        <v>1958</v>
      </c>
      <c r="AK209" s="17" t="s">
        <v>1929</v>
      </c>
      <c r="AL209" s="17" t="s">
        <v>3016</v>
      </c>
    </row>
    <row r="210" spans="1:38" x14ac:dyDescent="0.25">
      <c r="A210" s="17" t="s">
        <v>1960</v>
      </c>
      <c r="B210" s="17" t="s">
        <v>1961</v>
      </c>
      <c r="G210" s="16"/>
      <c r="S210" s="17" t="s">
        <v>1962</v>
      </c>
      <c r="T210" s="17" t="s">
        <v>1963</v>
      </c>
      <c r="AK210" s="17" t="s">
        <v>1934</v>
      </c>
      <c r="AL210" s="17" t="s">
        <v>3017</v>
      </c>
    </row>
    <row r="211" spans="1:38" x14ac:dyDescent="0.25">
      <c r="A211" s="17" t="s">
        <v>1965</v>
      </c>
      <c r="B211" s="17" t="s">
        <v>1966</v>
      </c>
      <c r="G211" s="16"/>
      <c r="S211" s="17" t="s">
        <v>1967</v>
      </c>
      <c r="T211" s="17" t="s">
        <v>1968</v>
      </c>
      <c r="AK211" s="17" t="s">
        <v>1939</v>
      </c>
      <c r="AL211" s="17" t="s">
        <v>3018</v>
      </c>
    </row>
    <row r="212" spans="1:38" x14ac:dyDescent="0.25">
      <c r="A212" s="17" t="s">
        <v>1970</v>
      </c>
      <c r="B212" s="17" t="s">
        <v>1971</v>
      </c>
      <c r="G212" s="16"/>
      <c r="S212" s="17" t="s">
        <v>1972</v>
      </c>
      <c r="T212" s="17" t="s">
        <v>1973</v>
      </c>
      <c r="AK212" s="17" t="s">
        <v>1944</v>
      </c>
      <c r="AL212" s="17" t="s">
        <v>3019</v>
      </c>
    </row>
    <row r="213" spans="1:38" x14ac:dyDescent="0.25">
      <c r="A213" s="17" t="s">
        <v>1975</v>
      </c>
      <c r="B213" s="17" t="s">
        <v>1976</v>
      </c>
      <c r="G213" s="16"/>
      <c r="S213" s="17" t="s">
        <v>1977</v>
      </c>
      <c r="T213" s="17" t="s">
        <v>1978</v>
      </c>
      <c r="AK213" s="17" t="s">
        <v>1949</v>
      </c>
      <c r="AL213" s="17" t="s">
        <v>3020</v>
      </c>
    </row>
    <row r="214" spans="1:38" x14ac:dyDescent="0.25">
      <c r="A214" s="17" t="s">
        <v>1980</v>
      </c>
      <c r="B214" s="17" t="s">
        <v>1981</v>
      </c>
      <c r="G214" s="16"/>
      <c r="S214" s="17" t="s">
        <v>1982</v>
      </c>
      <c r="T214" s="17" t="s">
        <v>1983</v>
      </c>
      <c r="AK214" s="17" t="s">
        <v>1954</v>
      </c>
      <c r="AL214" s="17" t="s">
        <v>3021</v>
      </c>
    </row>
    <row r="215" spans="1:38" x14ac:dyDescent="0.25">
      <c r="A215" s="17" t="s">
        <v>1985</v>
      </c>
      <c r="B215" s="17" t="s">
        <v>1986</v>
      </c>
      <c r="G215" s="16"/>
      <c r="S215" s="17" t="s">
        <v>1987</v>
      </c>
      <c r="T215" s="17" t="s">
        <v>1988</v>
      </c>
      <c r="AK215" s="17" t="s">
        <v>1959</v>
      </c>
      <c r="AL215" s="17" t="s">
        <v>3022</v>
      </c>
    </row>
    <row r="216" spans="1:38" x14ac:dyDescent="0.25">
      <c r="A216" s="17" t="s">
        <v>1990</v>
      </c>
      <c r="B216" s="17" t="s">
        <v>1991</v>
      </c>
      <c r="G216" s="16"/>
      <c r="S216" s="17" t="s">
        <v>1992</v>
      </c>
      <c r="T216" s="17" t="s">
        <v>1993</v>
      </c>
      <c r="AK216" s="17" t="s">
        <v>1964</v>
      </c>
      <c r="AL216" s="17" t="s">
        <v>3023</v>
      </c>
    </row>
    <row r="217" spans="1:38" x14ac:dyDescent="0.25">
      <c r="A217" s="17" t="s">
        <v>1995</v>
      </c>
      <c r="B217" s="17" t="s">
        <v>1996</v>
      </c>
      <c r="G217" s="16"/>
      <c r="S217" s="17" t="s">
        <v>1997</v>
      </c>
      <c r="T217" s="17" t="s">
        <v>1998</v>
      </c>
      <c r="AK217" s="17" t="s">
        <v>1969</v>
      </c>
      <c r="AL217" s="17" t="s">
        <v>3024</v>
      </c>
    </row>
    <row r="218" spans="1:38" x14ac:dyDescent="0.25">
      <c r="A218" s="17" t="s">
        <v>2000</v>
      </c>
      <c r="B218" s="17" t="s">
        <v>2001</v>
      </c>
      <c r="G218" s="16"/>
      <c r="S218" s="17" t="s">
        <v>2002</v>
      </c>
      <c r="T218" s="17" t="s">
        <v>2003</v>
      </c>
      <c r="AK218" s="17" t="s">
        <v>1974</v>
      </c>
      <c r="AL218" s="17" t="s">
        <v>3025</v>
      </c>
    </row>
    <row r="219" spans="1:38" x14ac:dyDescent="0.25">
      <c r="A219" s="17" t="s">
        <v>2005</v>
      </c>
      <c r="B219" s="17" t="s">
        <v>2006</v>
      </c>
      <c r="G219" s="16"/>
      <c r="S219" s="17" t="s">
        <v>2007</v>
      </c>
      <c r="T219" s="17" t="s">
        <v>2008</v>
      </c>
      <c r="AK219" s="17" t="s">
        <v>1979</v>
      </c>
      <c r="AL219" s="17" t="s">
        <v>3026</v>
      </c>
    </row>
    <row r="220" spans="1:38" x14ac:dyDescent="0.25">
      <c r="A220" s="17" t="s">
        <v>2010</v>
      </c>
      <c r="B220" s="17" t="s">
        <v>2011</v>
      </c>
      <c r="G220" s="16"/>
      <c r="S220" s="17" t="s">
        <v>2012</v>
      </c>
      <c r="T220" s="17" t="s">
        <v>2013</v>
      </c>
      <c r="AK220" s="17" t="s">
        <v>1984</v>
      </c>
      <c r="AL220" s="17" t="s">
        <v>3027</v>
      </c>
    </row>
    <row r="221" spans="1:38" x14ac:dyDescent="0.25">
      <c r="A221" s="17" t="s">
        <v>2015</v>
      </c>
      <c r="B221" s="17" t="s">
        <v>2016</v>
      </c>
      <c r="G221" s="16"/>
      <c r="S221" s="17" t="s">
        <v>2017</v>
      </c>
      <c r="T221" s="17" t="s">
        <v>2018</v>
      </c>
      <c r="AK221" s="17" t="s">
        <v>1989</v>
      </c>
      <c r="AL221" s="17" t="s">
        <v>3028</v>
      </c>
    </row>
    <row r="222" spans="1:38" x14ac:dyDescent="0.25">
      <c r="A222" s="17" t="s">
        <v>2020</v>
      </c>
      <c r="B222" s="17" t="s">
        <v>2021</v>
      </c>
      <c r="G222" s="16"/>
      <c r="S222" s="17" t="s">
        <v>2022</v>
      </c>
      <c r="T222" s="17" t="s">
        <v>2023</v>
      </c>
      <c r="AK222" s="17" t="s">
        <v>1994</v>
      </c>
      <c r="AL222" s="17" t="s">
        <v>3029</v>
      </c>
    </row>
    <row r="223" spans="1:38" x14ac:dyDescent="0.25">
      <c r="A223" s="17" t="s">
        <v>2025</v>
      </c>
      <c r="B223" s="17" t="s">
        <v>2026</v>
      </c>
      <c r="G223" s="16"/>
      <c r="S223" s="17" t="s">
        <v>2027</v>
      </c>
      <c r="T223" s="17" t="s">
        <v>2028</v>
      </c>
      <c r="AK223" s="17" t="s">
        <v>1999</v>
      </c>
      <c r="AL223" s="17" t="s">
        <v>3030</v>
      </c>
    </row>
    <row r="224" spans="1:38" x14ac:dyDescent="0.25">
      <c r="A224" s="17" t="s">
        <v>2030</v>
      </c>
      <c r="B224" s="17" t="s">
        <v>2031</v>
      </c>
      <c r="G224" s="16"/>
      <c r="S224" s="17" t="s">
        <v>2032</v>
      </c>
      <c r="T224" s="17" t="s">
        <v>2033</v>
      </c>
      <c r="AK224" s="17" t="s">
        <v>2004</v>
      </c>
      <c r="AL224" s="17" t="s">
        <v>3031</v>
      </c>
    </row>
    <row r="225" spans="1:38" x14ac:dyDescent="0.25">
      <c r="A225" s="17" t="s">
        <v>2035</v>
      </c>
      <c r="B225" s="17" t="s">
        <v>2036</v>
      </c>
      <c r="G225" s="16"/>
      <c r="S225" s="17" t="s">
        <v>2037</v>
      </c>
      <c r="T225" s="17" t="s">
        <v>2038</v>
      </c>
      <c r="AK225" s="17" t="s">
        <v>2009</v>
      </c>
      <c r="AL225" s="17" t="s">
        <v>3032</v>
      </c>
    </row>
    <row r="226" spans="1:38" x14ac:dyDescent="0.25">
      <c r="A226" s="17" t="s">
        <v>2040</v>
      </c>
      <c r="B226" s="17" t="s">
        <v>2041</v>
      </c>
      <c r="G226" s="16"/>
      <c r="S226" s="17" t="s">
        <v>2042</v>
      </c>
      <c r="T226" s="17" t="s">
        <v>2043</v>
      </c>
      <c r="AK226" s="17" t="s">
        <v>2014</v>
      </c>
      <c r="AL226" s="17" t="s">
        <v>3033</v>
      </c>
    </row>
    <row r="227" spans="1:38" x14ac:dyDescent="0.25">
      <c r="A227" s="17" t="s">
        <v>2045</v>
      </c>
      <c r="B227" s="17" t="s">
        <v>2046</v>
      </c>
      <c r="G227" s="16"/>
      <c r="S227" s="17" t="s">
        <v>2047</v>
      </c>
      <c r="T227" s="17" t="s">
        <v>2048</v>
      </c>
      <c r="AK227" s="17" t="s">
        <v>2019</v>
      </c>
      <c r="AL227" s="17" t="s">
        <v>3034</v>
      </c>
    </row>
    <row r="228" spans="1:38" x14ac:dyDescent="0.25">
      <c r="A228" s="17" t="s">
        <v>2050</v>
      </c>
      <c r="B228" s="17" t="s">
        <v>2051</v>
      </c>
      <c r="G228" s="16"/>
      <c r="S228" s="17" t="s">
        <v>2052</v>
      </c>
      <c r="T228" s="17" t="s">
        <v>2053</v>
      </c>
      <c r="AK228" s="17" t="s">
        <v>2024</v>
      </c>
      <c r="AL228" s="17" t="s">
        <v>3035</v>
      </c>
    </row>
    <row r="229" spans="1:38" x14ac:dyDescent="0.25">
      <c r="A229" s="17" t="s">
        <v>2055</v>
      </c>
      <c r="B229" s="17" t="s">
        <v>2056</v>
      </c>
      <c r="G229" s="16"/>
      <c r="S229" s="17" t="s">
        <v>2057</v>
      </c>
      <c r="T229" s="17" t="s">
        <v>2058</v>
      </c>
      <c r="AK229" s="17" t="s">
        <v>2029</v>
      </c>
      <c r="AL229" s="17" t="s">
        <v>3036</v>
      </c>
    </row>
    <row r="230" spans="1:38" x14ac:dyDescent="0.25">
      <c r="A230" s="17" t="s">
        <v>2060</v>
      </c>
      <c r="B230" s="17" t="s">
        <v>2061</v>
      </c>
      <c r="G230" s="16"/>
      <c r="S230" s="17" t="s">
        <v>2062</v>
      </c>
      <c r="T230" s="17" t="s">
        <v>2063</v>
      </c>
      <c r="AK230" s="17" t="s">
        <v>2034</v>
      </c>
      <c r="AL230" s="17" t="s">
        <v>3037</v>
      </c>
    </row>
    <row r="231" spans="1:38" x14ac:dyDescent="0.25">
      <c r="A231" s="17" t="s">
        <v>2065</v>
      </c>
      <c r="B231" s="17" t="s">
        <v>2066</v>
      </c>
      <c r="G231" s="16"/>
      <c r="S231" s="17" t="s">
        <v>2067</v>
      </c>
      <c r="T231" s="17" t="s">
        <v>2068</v>
      </c>
      <c r="AK231" s="17" t="s">
        <v>2039</v>
      </c>
      <c r="AL231" s="17" t="s">
        <v>3038</v>
      </c>
    </row>
    <row r="232" spans="1:38" x14ac:dyDescent="0.25">
      <c r="A232" s="17" t="s">
        <v>2071</v>
      </c>
      <c r="B232" s="17" t="s">
        <v>2072</v>
      </c>
      <c r="G232" s="16"/>
      <c r="S232" s="17" t="s">
        <v>2073</v>
      </c>
      <c r="T232" s="17" t="s">
        <v>2074</v>
      </c>
      <c r="AK232" s="17" t="s">
        <v>2044</v>
      </c>
      <c r="AL232" s="17" t="s">
        <v>3039</v>
      </c>
    </row>
    <row r="233" spans="1:38" x14ac:dyDescent="0.25">
      <c r="A233" s="17" t="s">
        <v>2075</v>
      </c>
      <c r="B233" s="17" t="s">
        <v>2076</v>
      </c>
      <c r="G233" s="16"/>
      <c r="S233" s="17" t="s">
        <v>2077</v>
      </c>
      <c r="T233" s="17" t="s">
        <v>2078</v>
      </c>
      <c r="AK233" s="17" t="s">
        <v>2049</v>
      </c>
      <c r="AL233" s="17" t="s">
        <v>3040</v>
      </c>
    </row>
    <row r="234" spans="1:38" x14ac:dyDescent="0.25">
      <c r="A234" s="17" t="s">
        <v>2079</v>
      </c>
      <c r="B234" s="17" t="s">
        <v>2080</v>
      </c>
      <c r="G234" s="16"/>
      <c r="S234" s="17" t="s">
        <v>2081</v>
      </c>
      <c r="T234" s="17" t="s">
        <v>2082</v>
      </c>
      <c r="AK234" s="17" t="s">
        <v>2054</v>
      </c>
      <c r="AL234" s="17" t="s">
        <v>3041</v>
      </c>
    </row>
    <row r="235" spans="1:38" x14ac:dyDescent="0.25">
      <c r="A235" s="17" t="s">
        <v>2085</v>
      </c>
      <c r="B235" s="17" t="s">
        <v>2086</v>
      </c>
      <c r="G235" s="16"/>
      <c r="S235" s="17" t="s">
        <v>2087</v>
      </c>
      <c r="T235" s="17" t="s">
        <v>2088</v>
      </c>
      <c r="AK235" s="17" t="s">
        <v>2059</v>
      </c>
      <c r="AL235" s="17" t="s">
        <v>3042</v>
      </c>
    </row>
    <row r="236" spans="1:38" x14ac:dyDescent="0.25">
      <c r="A236" s="17" t="s">
        <v>2091</v>
      </c>
      <c r="B236" s="17" t="s">
        <v>2092</v>
      </c>
      <c r="G236" s="16"/>
      <c r="S236" s="17" t="s">
        <v>2093</v>
      </c>
      <c r="T236" s="17" t="s">
        <v>2094</v>
      </c>
      <c r="AK236" s="17" t="s">
        <v>2064</v>
      </c>
      <c r="AL236" s="17" t="s">
        <v>3043</v>
      </c>
    </row>
    <row r="237" spans="1:38" x14ac:dyDescent="0.25">
      <c r="A237" s="17" t="s">
        <v>2096</v>
      </c>
      <c r="B237" s="17" t="s">
        <v>2097</v>
      </c>
      <c r="G237" s="16"/>
      <c r="S237" s="17" t="s">
        <v>2098</v>
      </c>
      <c r="T237" s="17" t="s">
        <v>2099</v>
      </c>
      <c r="AK237" s="17" t="s">
        <v>2069</v>
      </c>
      <c r="AL237" s="17" t="s">
        <v>2070</v>
      </c>
    </row>
    <row r="238" spans="1:38" x14ac:dyDescent="0.25">
      <c r="A238" s="17" t="s">
        <v>2102</v>
      </c>
      <c r="B238" s="17" t="s">
        <v>2103</v>
      </c>
      <c r="G238" s="16"/>
      <c r="S238" s="17" t="s">
        <v>2104</v>
      </c>
      <c r="T238" s="17" t="s">
        <v>2105</v>
      </c>
      <c r="AK238" s="17" t="s">
        <v>3044</v>
      </c>
      <c r="AL238" s="17" t="s">
        <v>3045</v>
      </c>
    </row>
    <row r="239" spans="1:38" x14ac:dyDescent="0.25">
      <c r="A239" s="17" t="s">
        <v>2108</v>
      </c>
      <c r="B239" s="17" t="s">
        <v>2109</v>
      </c>
      <c r="G239" s="16"/>
      <c r="S239" s="17" t="s">
        <v>2110</v>
      </c>
      <c r="T239" s="17" t="s">
        <v>2111</v>
      </c>
      <c r="AK239" s="17" t="s">
        <v>519</v>
      </c>
      <c r="AL239" s="17" t="s">
        <v>3046</v>
      </c>
    </row>
    <row r="240" spans="1:38" x14ac:dyDescent="0.25">
      <c r="A240" s="17" t="s">
        <v>2113</v>
      </c>
      <c r="B240" s="17" t="s">
        <v>2114</v>
      </c>
      <c r="G240" s="16"/>
      <c r="S240" s="17" t="s">
        <v>2115</v>
      </c>
      <c r="T240" s="17" t="s">
        <v>2116</v>
      </c>
      <c r="AK240" s="17" t="s">
        <v>2083</v>
      </c>
      <c r="AL240" s="17" t="s">
        <v>2084</v>
      </c>
    </row>
    <row r="241" spans="1:38" x14ac:dyDescent="0.25">
      <c r="A241" s="17" t="s">
        <v>2118</v>
      </c>
      <c r="B241" s="17" t="s">
        <v>2119</v>
      </c>
      <c r="G241" s="16"/>
      <c r="S241" s="17" t="s">
        <v>2120</v>
      </c>
      <c r="T241" s="17" t="s">
        <v>2121</v>
      </c>
      <c r="AK241" s="17" t="s">
        <v>2089</v>
      </c>
      <c r="AL241" s="17" t="s">
        <v>2090</v>
      </c>
    </row>
    <row r="242" spans="1:38" x14ac:dyDescent="0.25">
      <c r="A242" s="17" t="s">
        <v>2123</v>
      </c>
      <c r="B242" s="17" t="s">
        <v>2124</v>
      </c>
      <c r="G242" s="16"/>
      <c r="S242" s="17" t="s">
        <v>2125</v>
      </c>
      <c r="T242" s="17" t="s">
        <v>2126</v>
      </c>
      <c r="AK242" s="17" t="s">
        <v>2095</v>
      </c>
      <c r="AL242" s="17" t="s">
        <v>2095</v>
      </c>
    </row>
    <row r="243" spans="1:38" x14ac:dyDescent="0.25">
      <c r="A243" s="17" t="s">
        <v>2128</v>
      </c>
      <c r="B243" s="17" t="s">
        <v>2129</v>
      </c>
      <c r="G243" s="16"/>
      <c r="S243" s="17" t="s">
        <v>2130</v>
      </c>
      <c r="T243" s="17" t="s">
        <v>2131</v>
      </c>
      <c r="AK243" s="17" t="s">
        <v>2100</v>
      </c>
      <c r="AL243" s="17" t="s">
        <v>2101</v>
      </c>
    </row>
    <row r="244" spans="1:38" x14ac:dyDescent="0.25">
      <c r="A244" s="17" t="s">
        <v>2134</v>
      </c>
      <c r="B244" s="17" t="s">
        <v>2135</v>
      </c>
      <c r="G244" s="16"/>
      <c r="S244" s="17" t="s">
        <v>2136</v>
      </c>
      <c r="T244" s="17" t="s">
        <v>2137</v>
      </c>
      <c r="AK244" s="17" t="s">
        <v>2106</v>
      </c>
      <c r="AL244" s="17" t="s">
        <v>2107</v>
      </c>
    </row>
    <row r="245" spans="1:38" x14ac:dyDescent="0.25">
      <c r="A245" s="17" t="s">
        <v>2140</v>
      </c>
      <c r="B245" s="17" t="s">
        <v>2141</v>
      </c>
      <c r="G245" s="16"/>
      <c r="S245" s="17" t="s">
        <v>2142</v>
      </c>
      <c r="T245" s="17" t="s">
        <v>2143</v>
      </c>
      <c r="AK245" s="17" t="s">
        <v>2112</v>
      </c>
      <c r="AL245" s="17" t="s">
        <v>483</v>
      </c>
    </row>
    <row r="246" spans="1:38" x14ac:dyDescent="0.25">
      <c r="A246" s="17" t="s">
        <v>2145</v>
      </c>
      <c r="B246" s="17" t="s">
        <v>2146</v>
      </c>
      <c r="G246" s="16"/>
      <c r="S246" s="17" t="s">
        <v>2147</v>
      </c>
      <c r="T246" s="17" t="s">
        <v>2148</v>
      </c>
      <c r="AK246" s="17" t="s">
        <v>2117</v>
      </c>
      <c r="AL246" s="17" t="s">
        <v>3047</v>
      </c>
    </row>
    <row r="247" spans="1:38" x14ac:dyDescent="0.25">
      <c r="A247" s="17" t="s">
        <v>2151</v>
      </c>
      <c r="B247" s="17" t="s">
        <v>2152</v>
      </c>
      <c r="G247" s="16"/>
      <c r="S247" s="17" t="s">
        <v>2153</v>
      </c>
      <c r="T247" s="17" t="s">
        <v>2154</v>
      </c>
      <c r="AK247" s="17" t="s">
        <v>2122</v>
      </c>
      <c r="AL247" s="17" t="s">
        <v>3048</v>
      </c>
    </row>
    <row r="248" spans="1:38" x14ac:dyDescent="0.25">
      <c r="A248" s="17" t="s">
        <v>2157</v>
      </c>
      <c r="B248" s="17" t="s">
        <v>2158</v>
      </c>
      <c r="G248" s="16"/>
      <c r="S248" s="17" t="s">
        <v>2159</v>
      </c>
      <c r="T248" s="17" t="s">
        <v>2160</v>
      </c>
      <c r="AK248" s="17" t="s">
        <v>2069</v>
      </c>
      <c r="AL248" s="17" t="s">
        <v>2127</v>
      </c>
    </row>
    <row r="249" spans="1:38" x14ac:dyDescent="0.25">
      <c r="A249" s="17" t="s">
        <v>2162</v>
      </c>
      <c r="B249" s="17" t="s">
        <v>2163</v>
      </c>
      <c r="G249" s="16"/>
      <c r="S249" s="17" t="s">
        <v>2164</v>
      </c>
      <c r="T249" s="17" t="s">
        <v>2165</v>
      </c>
      <c r="AK249" s="17" t="s">
        <v>2132</v>
      </c>
      <c r="AL249" s="17" t="s">
        <v>2133</v>
      </c>
    </row>
    <row r="250" spans="1:38" x14ac:dyDescent="0.25">
      <c r="A250" s="17" t="s">
        <v>2168</v>
      </c>
      <c r="B250" s="17" t="s">
        <v>2169</v>
      </c>
      <c r="G250" s="16"/>
      <c r="S250" s="17" t="s">
        <v>2170</v>
      </c>
      <c r="T250" s="17" t="s">
        <v>2171</v>
      </c>
      <c r="AK250" s="17" t="s">
        <v>2138</v>
      </c>
      <c r="AL250" s="17" t="s">
        <v>2139</v>
      </c>
    </row>
    <row r="251" spans="1:38" x14ac:dyDescent="0.25">
      <c r="A251" s="17" t="s">
        <v>2174</v>
      </c>
      <c r="B251" s="17" t="s">
        <v>2175</v>
      </c>
      <c r="G251" s="16"/>
      <c r="S251" s="17" t="s">
        <v>2176</v>
      </c>
      <c r="T251" s="17" t="s">
        <v>2177</v>
      </c>
      <c r="AK251" s="17" t="s">
        <v>2144</v>
      </c>
      <c r="AL251" s="17" t="s">
        <v>3049</v>
      </c>
    </row>
    <row r="252" spans="1:38" x14ac:dyDescent="0.25">
      <c r="A252" s="17" t="s">
        <v>2180</v>
      </c>
      <c r="B252" s="17" t="s">
        <v>2181</v>
      </c>
      <c r="G252" s="16"/>
      <c r="S252" s="17" t="s">
        <v>2182</v>
      </c>
      <c r="T252" s="17" t="s">
        <v>2183</v>
      </c>
      <c r="AK252" s="17" t="s">
        <v>2149</v>
      </c>
      <c r="AL252" s="17" t="s">
        <v>2150</v>
      </c>
    </row>
    <row r="253" spans="1:38" x14ac:dyDescent="0.25">
      <c r="A253" s="17" t="s">
        <v>2186</v>
      </c>
      <c r="B253" s="17" t="s">
        <v>2187</v>
      </c>
      <c r="G253" s="16"/>
      <c r="S253" s="17" t="s">
        <v>2188</v>
      </c>
      <c r="T253" s="17" t="s">
        <v>2189</v>
      </c>
      <c r="AK253" s="17" t="s">
        <v>2155</v>
      </c>
      <c r="AL253" s="17" t="s">
        <v>2156</v>
      </c>
    </row>
    <row r="254" spans="1:38" x14ac:dyDescent="0.25">
      <c r="A254" s="17" t="s">
        <v>2192</v>
      </c>
      <c r="B254" s="17" t="s">
        <v>2193</v>
      </c>
      <c r="G254" s="16"/>
      <c r="S254" s="17" t="s">
        <v>2194</v>
      </c>
      <c r="T254" s="17" t="s">
        <v>2195</v>
      </c>
      <c r="AK254" s="17" t="s">
        <v>2161</v>
      </c>
      <c r="AL254" s="17" t="s">
        <v>3050</v>
      </c>
    </row>
    <row r="255" spans="1:38" x14ac:dyDescent="0.25">
      <c r="A255" s="17" t="s">
        <v>2196</v>
      </c>
      <c r="B255" s="17" t="s">
        <v>2197</v>
      </c>
      <c r="G255" s="16"/>
      <c r="S255" s="17" t="s">
        <v>2198</v>
      </c>
      <c r="T255" s="17" t="s">
        <v>2199</v>
      </c>
      <c r="AK255" s="17" t="s">
        <v>2166</v>
      </c>
      <c r="AL255" s="17" t="s">
        <v>2167</v>
      </c>
    </row>
    <row r="256" spans="1:38" x14ac:dyDescent="0.25">
      <c r="A256" s="17" t="s">
        <v>2200</v>
      </c>
      <c r="B256" s="17" t="s">
        <v>2201</v>
      </c>
      <c r="G256" s="16"/>
      <c r="S256" s="17" t="s">
        <v>2202</v>
      </c>
      <c r="T256" s="17" t="s">
        <v>2203</v>
      </c>
      <c r="AK256" s="17" t="s">
        <v>2172</v>
      </c>
      <c r="AL256" s="17" t="s">
        <v>2173</v>
      </c>
    </row>
    <row r="257" spans="1:38" x14ac:dyDescent="0.25">
      <c r="A257" s="17" t="s">
        <v>2204</v>
      </c>
      <c r="B257" s="17" t="s">
        <v>2205</v>
      </c>
      <c r="G257" s="16"/>
      <c r="S257" s="17" t="s">
        <v>2206</v>
      </c>
      <c r="T257" s="17" t="s">
        <v>2207</v>
      </c>
      <c r="AK257" s="17" t="s">
        <v>2178</v>
      </c>
      <c r="AL257" s="17" t="s">
        <v>2179</v>
      </c>
    </row>
    <row r="258" spans="1:38" x14ac:dyDescent="0.25">
      <c r="A258" s="17" t="s">
        <v>2208</v>
      </c>
      <c r="B258" s="17" t="s">
        <v>2209</v>
      </c>
      <c r="G258" s="16"/>
      <c r="S258" s="17" t="s">
        <v>2210</v>
      </c>
      <c r="T258" s="17" t="s">
        <v>2211</v>
      </c>
      <c r="AK258" s="17" t="s">
        <v>2184</v>
      </c>
      <c r="AL258" s="17" t="s">
        <v>2185</v>
      </c>
    </row>
    <row r="259" spans="1:38" x14ac:dyDescent="0.25">
      <c r="A259" s="17" t="s">
        <v>2212</v>
      </c>
      <c r="B259" s="17" t="s">
        <v>2213</v>
      </c>
      <c r="G259" s="16"/>
      <c r="S259" s="17" t="s">
        <v>2214</v>
      </c>
      <c r="T259" s="17" t="s">
        <v>2215</v>
      </c>
      <c r="AK259" s="17" t="s">
        <v>2190</v>
      </c>
      <c r="AL259" s="17" t="s">
        <v>2191</v>
      </c>
    </row>
    <row r="260" spans="1:38" x14ac:dyDescent="0.25">
      <c r="A260" s="17" t="s">
        <v>2216</v>
      </c>
      <c r="B260" s="17" t="s">
        <v>2217</v>
      </c>
      <c r="G260" s="16"/>
      <c r="S260" s="17" t="s">
        <v>2218</v>
      </c>
      <c r="T260" s="17" t="s">
        <v>2219</v>
      </c>
      <c r="AK260" s="17" t="s">
        <v>3051</v>
      </c>
      <c r="AL260" s="17" t="s">
        <v>3051</v>
      </c>
    </row>
    <row r="261" spans="1:38" x14ac:dyDescent="0.25">
      <c r="A261" s="17" t="s">
        <v>2220</v>
      </c>
      <c r="B261" s="17" t="s">
        <v>2221</v>
      </c>
      <c r="G261" s="16"/>
      <c r="S261" s="17" t="s">
        <v>2222</v>
      </c>
      <c r="T261" s="17" t="s">
        <v>2223</v>
      </c>
      <c r="AK261" s="17" t="s">
        <v>3051</v>
      </c>
      <c r="AL261" s="17" t="s">
        <v>3052</v>
      </c>
    </row>
    <row r="262" spans="1:38" x14ac:dyDescent="0.25">
      <c r="A262" s="17" t="s">
        <v>2224</v>
      </c>
      <c r="B262" s="17" t="s">
        <v>2225</v>
      </c>
      <c r="G262" s="16"/>
      <c r="S262" s="17" t="s">
        <v>2226</v>
      </c>
      <c r="T262" s="17" t="s">
        <v>2227</v>
      </c>
    </row>
    <row r="263" spans="1:38" x14ac:dyDescent="0.25">
      <c r="A263" s="17" t="s">
        <v>2228</v>
      </c>
      <c r="B263" s="17" t="s">
        <v>2229</v>
      </c>
      <c r="G263" s="16"/>
      <c r="S263" s="17" t="s">
        <v>2230</v>
      </c>
      <c r="T263" s="17" t="s">
        <v>2231</v>
      </c>
    </row>
    <row r="264" spans="1:38" x14ac:dyDescent="0.25">
      <c r="A264" s="17" t="s">
        <v>2232</v>
      </c>
      <c r="B264" s="17" t="s">
        <v>2233</v>
      </c>
      <c r="G264" s="16"/>
      <c r="S264" s="17" t="s">
        <v>2234</v>
      </c>
      <c r="T264" s="17" t="s">
        <v>2235</v>
      </c>
    </row>
    <row r="265" spans="1:38" x14ac:dyDescent="0.25">
      <c r="A265" s="17" t="s">
        <v>2236</v>
      </c>
      <c r="B265" s="17" t="s">
        <v>2237</v>
      </c>
      <c r="G265" s="16"/>
      <c r="S265" s="17" t="s">
        <v>2238</v>
      </c>
      <c r="T265" s="17" t="s">
        <v>2239</v>
      </c>
    </row>
    <row r="266" spans="1:38" x14ac:dyDescent="0.25">
      <c r="A266" s="17" t="s">
        <v>2240</v>
      </c>
      <c r="B266" s="17" t="s">
        <v>2241</v>
      </c>
      <c r="G266" s="16"/>
      <c r="S266" s="17" t="s">
        <v>2242</v>
      </c>
      <c r="T266" s="17" t="s">
        <v>2243</v>
      </c>
    </row>
    <row r="267" spans="1:38" x14ac:dyDescent="0.25">
      <c r="A267" s="17" t="s">
        <v>2244</v>
      </c>
      <c r="B267" s="17" t="s">
        <v>2245</v>
      </c>
      <c r="G267" s="16"/>
      <c r="S267" s="17" t="s">
        <v>2246</v>
      </c>
      <c r="T267" s="17" t="s">
        <v>2247</v>
      </c>
    </row>
    <row r="268" spans="1:38" x14ac:dyDescent="0.25">
      <c r="A268" s="17" t="s">
        <v>2248</v>
      </c>
      <c r="B268" s="17" t="s">
        <v>2249</v>
      </c>
      <c r="G268" s="16"/>
      <c r="S268" s="17" t="s">
        <v>2250</v>
      </c>
      <c r="T268" s="17" t="s">
        <v>2251</v>
      </c>
    </row>
    <row r="269" spans="1:38" x14ac:dyDescent="0.25">
      <c r="A269" s="17" t="s">
        <v>2252</v>
      </c>
      <c r="B269" s="17" t="s">
        <v>2253</v>
      </c>
      <c r="G269" s="16"/>
      <c r="S269" s="17" t="s">
        <v>2254</v>
      </c>
      <c r="T269" s="17" t="s">
        <v>2255</v>
      </c>
    </row>
    <row r="270" spans="1:38" x14ac:dyDescent="0.25">
      <c r="A270" s="17" t="s">
        <v>2256</v>
      </c>
      <c r="B270" s="17" t="s">
        <v>2257</v>
      </c>
      <c r="G270" s="16"/>
      <c r="S270" s="17" t="s">
        <v>2258</v>
      </c>
      <c r="T270" s="17" t="s">
        <v>2259</v>
      </c>
    </row>
    <row r="271" spans="1:38" x14ac:dyDescent="0.25">
      <c r="A271" s="17" t="s">
        <v>2260</v>
      </c>
      <c r="B271" s="17" t="s">
        <v>2261</v>
      </c>
      <c r="G271" s="16"/>
      <c r="S271" s="17" t="s">
        <v>2262</v>
      </c>
      <c r="T271" s="17" t="s">
        <v>2263</v>
      </c>
    </row>
    <row r="272" spans="1:38" x14ac:dyDescent="0.25">
      <c r="A272" s="17" t="s">
        <v>2264</v>
      </c>
      <c r="B272" s="17" t="s">
        <v>2265</v>
      </c>
      <c r="G272" s="16"/>
      <c r="S272" s="17" t="s">
        <v>2266</v>
      </c>
      <c r="T272" s="17" t="s">
        <v>2267</v>
      </c>
    </row>
    <row r="273" spans="1:20" x14ac:dyDescent="0.25">
      <c r="A273" s="17" t="s">
        <v>2268</v>
      </c>
      <c r="B273" s="17" t="s">
        <v>2269</v>
      </c>
      <c r="G273" s="16"/>
      <c r="S273" s="17" t="s">
        <v>2270</v>
      </c>
      <c r="T273" s="17" t="s">
        <v>2271</v>
      </c>
    </row>
    <row r="274" spans="1:20" x14ac:dyDescent="0.25">
      <c r="A274" s="17" t="s">
        <v>2272</v>
      </c>
      <c r="B274" s="17" t="s">
        <v>2273</v>
      </c>
      <c r="G274" s="16"/>
      <c r="S274" s="17" t="s">
        <v>2274</v>
      </c>
      <c r="T274" s="17" t="s">
        <v>2275</v>
      </c>
    </row>
    <row r="275" spans="1:20" x14ac:dyDescent="0.25">
      <c r="A275" s="17" t="s">
        <v>2276</v>
      </c>
      <c r="B275" s="17" t="s">
        <v>2277</v>
      </c>
      <c r="G275" s="16"/>
      <c r="S275" s="17" t="s">
        <v>2278</v>
      </c>
      <c r="T275" s="17" t="s">
        <v>2279</v>
      </c>
    </row>
    <row r="276" spans="1:20" x14ac:dyDescent="0.25">
      <c r="A276" s="17" t="s">
        <v>2280</v>
      </c>
      <c r="B276" s="17" t="s">
        <v>2281</v>
      </c>
      <c r="G276" s="16"/>
      <c r="S276" s="17" t="s">
        <v>2282</v>
      </c>
      <c r="T276" s="17" t="s">
        <v>2283</v>
      </c>
    </row>
    <row r="277" spans="1:20" x14ac:dyDescent="0.25">
      <c r="A277" s="17" t="s">
        <v>2284</v>
      </c>
      <c r="B277" s="17" t="s">
        <v>2285</v>
      </c>
      <c r="G277" s="16"/>
      <c r="S277" s="17" t="s">
        <v>2286</v>
      </c>
      <c r="T277" s="17" t="s">
        <v>2287</v>
      </c>
    </row>
    <row r="278" spans="1:20" x14ac:dyDescent="0.25">
      <c r="A278" s="17" t="s">
        <v>2288</v>
      </c>
      <c r="B278" s="17" t="s">
        <v>2289</v>
      </c>
      <c r="G278" s="16"/>
      <c r="S278" s="17" t="s">
        <v>2290</v>
      </c>
      <c r="T278" s="17" t="s">
        <v>2291</v>
      </c>
    </row>
    <row r="279" spans="1:20" x14ac:dyDescent="0.25">
      <c r="A279" s="17" t="s">
        <v>2292</v>
      </c>
      <c r="B279" s="17" t="s">
        <v>2293</v>
      </c>
      <c r="G279" s="16"/>
      <c r="S279" s="17" t="s">
        <v>2294</v>
      </c>
      <c r="T279" s="17" t="s">
        <v>2295</v>
      </c>
    </row>
    <row r="280" spans="1:20" x14ac:dyDescent="0.25">
      <c r="A280" s="17" t="s">
        <v>2296</v>
      </c>
      <c r="B280" s="17" t="s">
        <v>2297</v>
      </c>
      <c r="G280" s="16"/>
      <c r="S280" s="17" t="s">
        <v>2298</v>
      </c>
      <c r="T280" s="17" t="s">
        <v>2299</v>
      </c>
    </row>
    <row r="281" spans="1:20" x14ac:dyDescent="0.25">
      <c r="A281" s="17" t="s">
        <v>2300</v>
      </c>
      <c r="B281" s="17" t="s">
        <v>2301</v>
      </c>
      <c r="G281" s="16"/>
      <c r="S281" s="17" t="s">
        <v>2302</v>
      </c>
      <c r="T281" s="17" t="s">
        <v>2303</v>
      </c>
    </row>
    <row r="282" spans="1:20" x14ac:dyDescent="0.25">
      <c r="A282" s="17" t="s">
        <v>2304</v>
      </c>
      <c r="B282" s="17" t="s">
        <v>2305</v>
      </c>
      <c r="G282" s="16"/>
      <c r="S282" s="17" t="s">
        <v>2306</v>
      </c>
      <c r="T282" s="17" t="s">
        <v>2307</v>
      </c>
    </row>
    <row r="283" spans="1:20" x14ac:dyDescent="0.25">
      <c r="A283" s="17" t="s">
        <v>2308</v>
      </c>
      <c r="B283" s="17" t="s">
        <v>2309</v>
      </c>
      <c r="G283" s="16"/>
      <c r="S283" s="17" t="s">
        <v>2310</v>
      </c>
      <c r="T283" s="17" t="s">
        <v>2311</v>
      </c>
    </row>
    <row r="284" spans="1:20" x14ac:dyDescent="0.25">
      <c r="A284" s="17" t="s">
        <v>2312</v>
      </c>
      <c r="B284" s="17" t="s">
        <v>2313</v>
      </c>
      <c r="G284" s="16"/>
      <c r="S284" s="17" t="s">
        <v>2314</v>
      </c>
      <c r="T284" s="17" t="s">
        <v>2315</v>
      </c>
    </row>
    <row r="285" spans="1:20" x14ac:dyDescent="0.25">
      <c r="A285" s="17" t="s">
        <v>2316</v>
      </c>
      <c r="B285" s="17" t="s">
        <v>2317</v>
      </c>
      <c r="G285" s="16"/>
      <c r="S285" s="17" t="s">
        <v>2318</v>
      </c>
      <c r="T285" s="17" t="s">
        <v>2319</v>
      </c>
    </row>
    <row r="286" spans="1:20" x14ac:dyDescent="0.25">
      <c r="A286" s="17" t="s">
        <v>2320</v>
      </c>
      <c r="B286" s="17" t="s">
        <v>2321</v>
      </c>
      <c r="G286" s="16"/>
      <c r="S286" s="17" t="s">
        <v>2322</v>
      </c>
      <c r="T286" s="17" t="s">
        <v>2323</v>
      </c>
    </row>
    <row r="287" spans="1:20" x14ac:dyDescent="0.25">
      <c r="A287" s="17" t="s">
        <v>2324</v>
      </c>
      <c r="B287" s="17" t="s">
        <v>2325</v>
      </c>
      <c r="G287" s="16"/>
      <c r="S287" s="17" t="s">
        <v>2326</v>
      </c>
      <c r="T287" s="17" t="s">
        <v>2327</v>
      </c>
    </row>
    <row r="288" spans="1:20" x14ac:dyDescent="0.25">
      <c r="A288" s="17" t="s">
        <v>2328</v>
      </c>
      <c r="B288" s="17" t="s">
        <v>2329</v>
      </c>
      <c r="G288" s="16"/>
      <c r="S288" s="17" t="s">
        <v>2330</v>
      </c>
      <c r="T288" s="17" t="s">
        <v>2331</v>
      </c>
    </row>
    <row r="289" spans="1:20" x14ac:dyDescent="0.25">
      <c r="A289" s="17" t="s">
        <v>2332</v>
      </c>
      <c r="B289" s="17" t="s">
        <v>2333</v>
      </c>
      <c r="G289" s="16"/>
      <c r="S289" s="17" t="s">
        <v>2334</v>
      </c>
      <c r="T289" s="17" t="s">
        <v>2335</v>
      </c>
    </row>
    <row r="290" spans="1:20" x14ac:dyDescent="0.25">
      <c r="A290" s="17" t="s">
        <v>2336</v>
      </c>
      <c r="B290" s="17" t="s">
        <v>2337</v>
      </c>
      <c r="G290" s="16"/>
      <c r="S290" s="17" t="s">
        <v>2338</v>
      </c>
      <c r="T290" s="17" t="s">
        <v>2339</v>
      </c>
    </row>
    <row r="291" spans="1:20" x14ac:dyDescent="0.25">
      <c r="A291" s="17" t="s">
        <v>2340</v>
      </c>
      <c r="B291" s="17" t="s">
        <v>2341</v>
      </c>
      <c r="G291" s="16"/>
      <c r="S291" s="17" t="s">
        <v>2342</v>
      </c>
      <c r="T291" s="17" t="s">
        <v>2343</v>
      </c>
    </row>
    <row r="292" spans="1:20" x14ac:dyDescent="0.25">
      <c r="A292" s="17" t="s">
        <v>2344</v>
      </c>
      <c r="B292" s="17" t="s">
        <v>2345</v>
      </c>
      <c r="G292" s="16"/>
      <c r="S292" s="17" t="s">
        <v>2346</v>
      </c>
      <c r="T292" s="17" t="s">
        <v>2347</v>
      </c>
    </row>
    <row r="293" spans="1:20" x14ac:dyDescent="0.25">
      <c r="A293" s="17" t="s">
        <v>2348</v>
      </c>
      <c r="B293" s="17" t="s">
        <v>2349</v>
      </c>
      <c r="G293" s="16"/>
      <c r="S293" s="17" t="s">
        <v>2350</v>
      </c>
      <c r="T293" s="17" t="s">
        <v>2351</v>
      </c>
    </row>
    <row r="294" spans="1:20" x14ac:dyDescent="0.25">
      <c r="A294" s="17" t="s">
        <v>2352</v>
      </c>
      <c r="B294" s="17" t="s">
        <v>2353</v>
      </c>
      <c r="G294" s="16"/>
      <c r="S294" s="17" t="s">
        <v>2354</v>
      </c>
      <c r="T294" s="17" t="s">
        <v>2355</v>
      </c>
    </row>
    <row r="295" spans="1:20" x14ac:dyDescent="0.25">
      <c r="A295" s="17" t="s">
        <v>2356</v>
      </c>
      <c r="B295" s="17" t="s">
        <v>2357</v>
      </c>
      <c r="G295" s="16"/>
      <c r="S295" s="17" t="s">
        <v>2358</v>
      </c>
      <c r="T295" s="17" t="s">
        <v>2359</v>
      </c>
    </row>
    <row r="296" spans="1:20" x14ac:dyDescent="0.25">
      <c r="A296" s="17" t="s">
        <v>2360</v>
      </c>
      <c r="B296" s="17" t="s">
        <v>2361</v>
      </c>
      <c r="G296" s="16"/>
      <c r="S296" s="17" t="s">
        <v>2362</v>
      </c>
      <c r="T296" s="17" t="s">
        <v>2363</v>
      </c>
    </row>
    <row r="297" spans="1:20" x14ac:dyDescent="0.25">
      <c r="A297" s="17" t="s">
        <v>2364</v>
      </c>
      <c r="B297" s="17" t="s">
        <v>2365</v>
      </c>
      <c r="G297" s="16"/>
      <c r="S297" s="17" t="s">
        <v>2366</v>
      </c>
      <c r="T297" s="17" t="s">
        <v>2367</v>
      </c>
    </row>
    <row r="298" spans="1:20" x14ac:dyDescent="0.25">
      <c r="A298" s="17" t="s">
        <v>2368</v>
      </c>
      <c r="B298" s="17" t="s">
        <v>2369</v>
      </c>
      <c r="G298" s="16"/>
      <c r="S298" s="17" t="s">
        <v>2370</v>
      </c>
      <c r="T298" s="17" t="s">
        <v>2371</v>
      </c>
    </row>
    <row r="299" spans="1:20" x14ac:dyDescent="0.25">
      <c r="A299" s="17" t="s">
        <v>2372</v>
      </c>
      <c r="B299" s="17" t="s">
        <v>2373</v>
      </c>
      <c r="G299" s="16"/>
      <c r="S299" s="17" t="s">
        <v>2374</v>
      </c>
      <c r="T299" s="17" t="s">
        <v>2375</v>
      </c>
    </row>
    <row r="300" spans="1:20" x14ac:dyDescent="0.25">
      <c r="A300" s="17" t="s">
        <v>2376</v>
      </c>
      <c r="B300" s="17" t="s">
        <v>2377</v>
      </c>
      <c r="G300" s="16"/>
      <c r="S300" s="17" t="s">
        <v>2378</v>
      </c>
      <c r="T300" s="17" t="s">
        <v>2379</v>
      </c>
    </row>
    <row r="301" spans="1:20" x14ac:dyDescent="0.25">
      <c r="A301" s="17" t="s">
        <v>2380</v>
      </c>
      <c r="B301" s="17" t="s">
        <v>2381</v>
      </c>
      <c r="G301" s="16"/>
      <c r="S301" s="17" t="s">
        <v>2382</v>
      </c>
      <c r="T301" s="17" t="s">
        <v>2383</v>
      </c>
    </row>
    <row r="302" spans="1:20" x14ac:dyDescent="0.25">
      <c r="A302" s="17" t="s">
        <v>2384</v>
      </c>
      <c r="B302" s="17" t="s">
        <v>2385</v>
      </c>
      <c r="G302" s="16"/>
      <c r="S302" s="17" t="s">
        <v>2386</v>
      </c>
      <c r="T302" s="17" t="s">
        <v>2387</v>
      </c>
    </row>
    <row r="303" spans="1:20" x14ac:dyDescent="0.25">
      <c r="A303" s="17" t="s">
        <v>2388</v>
      </c>
      <c r="B303" s="17" t="s">
        <v>2389</v>
      </c>
      <c r="G303" s="16"/>
      <c r="S303" s="17" t="s">
        <v>2390</v>
      </c>
      <c r="T303" s="17" t="s">
        <v>2391</v>
      </c>
    </row>
    <row r="304" spans="1:20" x14ac:dyDescent="0.25">
      <c r="A304" s="17" t="s">
        <v>2392</v>
      </c>
      <c r="B304" s="17" t="s">
        <v>2393</v>
      </c>
      <c r="G304" s="16"/>
      <c r="S304" s="17" t="s">
        <v>2394</v>
      </c>
      <c r="T304" s="17" t="s">
        <v>2395</v>
      </c>
    </row>
    <row r="305" spans="1:20" x14ac:dyDescent="0.25">
      <c r="A305" s="17" t="s">
        <v>2396</v>
      </c>
      <c r="B305" s="17" t="s">
        <v>2397</v>
      </c>
      <c r="G305" s="16"/>
      <c r="S305" s="17" t="s">
        <v>2398</v>
      </c>
      <c r="T305" s="17" t="s">
        <v>2399</v>
      </c>
    </row>
    <row r="306" spans="1:20" x14ac:dyDescent="0.25">
      <c r="A306" s="17" t="s">
        <v>2400</v>
      </c>
      <c r="B306" s="17" t="s">
        <v>2401</v>
      </c>
      <c r="G306" s="16"/>
      <c r="S306" s="17" t="s">
        <v>2402</v>
      </c>
      <c r="T306" s="17" t="s">
        <v>2403</v>
      </c>
    </row>
    <row r="307" spans="1:20" x14ac:dyDescent="0.25">
      <c r="A307" s="17" t="s">
        <v>2404</v>
      </c>
      <c r="B307" s="17" t="s">
        <v>2405</v>
      </c>
      <c r="S307" s="17" t="s">
        <v>2406</v>
      </c>
      <c r="T307" s="17" t="s">
        <v>2407</v>
      </c>
    </row>
    <row r="308" spans="1:20" x14ac:dyDescent="0.25">
      <c r="A308" s="17" t="s">
        <v>2408</v>
      </c>
      <c r="B308" s="17" t="s">
        <v>2409</v>
      </c>
      <c r="S308" s="17" t="s">
        <v>2410</v>
      </c>
      <c r="T308" s="17" t="s">
        <v>2411</v>
      </c>
    </row>
    <row r="309" spans="1:20" x14ac:dyDescent="0.25">
      <c r="A309" s="17" t="s">
        <v>2412</v>
      </c>
      <c r="B309" s="17" t="s">
        <v>2413</v>
      </c>
      <c r="S309" s="17" t="s">
        <v>2414</v>
      </c>
      <c r="T309" s="17" t="s">
        <v>2415</v>
      </c>
    </row>
    <row r="310" spans="1:20" x14ac:dyDescent="0.25">
      <c r="A310" s="17" t="s">
        <v>2416</v>
      </c>
      <c r="B310" s="17" t="s">
        <v>2417</v>
      </c>
      <c r="S310" s="17" t="s">
        <v>2418</v>
      </c>
      <c r="T310" s="17" t="s">
        <v>2419</v>
      </c>
    </row>
    <row r="311" spans="1:20" x14ac:dyDescent="0.25">
      <c r="A311" s="17" t="s">
        <v>2420</v>
      </c>
      <c r="B311" s="17" t="s">
        <v>2421</v>
      </c>
      <c r="S311" s="17" t="s">
        <v>2422</v>
      </c>
      <c r="T311" s="17" t="s">
        <v>2423</v>
      </c>
    </row>
    <row r="312" spans="1:20" x14ac:dyDescent="0.25">
      <c r="A312" s="17" t="s">
        <v>2424</v>
      </c>
      <c r="B312" s="17" t="s">
        <v>2425</v>
      </c>
      <c r="S312" s="17" t="s">
        <v>2426</v>
      </c>
      <c r="T312" s="17" t="s">
        <v>2427</v>
      </c>
    </row>
    <row r="313" spans="1:20" x14ac:dyDescent="0.25">
      <c r="A313" s="17" t="s">
        <v>2428</v>
      </c>
      <c r="B313" s="17" t="s">
        <v>2429</v>
      </c>
      <c r="S313" s="17" t="s">
        <v>2430</v>
      </c>
      <c r="T313" s="17" t="s">
        <v>2431</v>
      </c>
    </row>
    <row r="314" spans="1:20" x14ac:dyDescent="0.25">
      <c r="A314" s="17" t="s">
        <v>2432</v>
      </c>
      <c r="B314" s="17" t="s">
        <v>2433</v>
      </c>
      <c r="S314" s="17" t="s">
        <v>2434</v>
      </c>
      <c r="T314" s="17" t="s">
        <v>2435</v>
      </c>
    </row>
    <row r="315" spans="1:20" x14ac:dyDescent="0.25">
      <c r="A315" s="17" t="s">
        <v>2436</v>
      </c>
      <c r="B315" s="17" t="s">
        <v>2437</v>
      </c>
      <c r="S315" s="17" t="s">
        <v>2438</v>
      </c>
      <c r="T315" s="17" t="s">
        <v>2439</v>
      </c>
    </row>
    <row r="316" spans="1:20" x14ac:dyDescent="0.25">
      <c r="B316" s="18"/>
      <c r="S316" s="17" t="s">
        <v>2440</v>
      </c>
      <c r="T316" s="17" t="s">
        <v>2441</v>
      </c>
    </row>
    <row r="317" spans="1:20" x14ac:dyDescent="0.25">
      <c r="B317" s="18"/>
      <c r="S317" s="17" t="s">
        <v>2442</v>
      </c>
      <c r="T317" s="17" t="s">
        <v>2443</v>
      </c>
    </row>
    <row r="318" spans="1:20" x14ac:dyDescent="0.25">
      <c r="B318" s="18"/>
      <c r="S318" s="17" t="s">
        <v>2444</v>
      </c>
      <c r="T318" s="17" t="s">
        <v>2445</v>
      </c>
    </row>
    <row r="319" spans="1:20" x14ac:dyDescent="0.25">
      <c r="B319" s="18"/>
      <c r="S319" s="17" t="s">
        <v>2446</v>
      </c>
      <c r="T319" s="17" t="s">
        <v>2447</v>
      </c>
    </row>
    <row r="320" spans="1:20" x14ac:dyDescent="0.25">
      <c r="B320" s="18"/>
      <c r="S320" s="17" t="s">
        <v>2448</v>
      </c>
      <c r="T320" s="17" t="s">
        <v>2449</v>
      </c>
    </row>
    <row r="321" spans="2:20" x14ac:dyDescent="0.25">
      <c r="B321" s="18"/>
      <c r="S321" s="17" t="s">
        <v>2450</v>
      </c>
      <c r="T321" s="17" t="s">
        <v>2451</v>
      </c>
    </row>
    <row r="322" spans="2:20" x14ac:dyDescent="0.25">
      <c r="B322" s="18"/>
      <c r="S322" s="17" t="s">
        <v>2452</v>
      </c>
      <c r="T322" s="17" t="s">
        <v>2453</v>
      </c>
    </row>
    <row r="323" spans="2:20" x14ac:dyDescent="0.25">
      <c r="B323" s="18"/>
      <c r="S323" s="17" t="s">
        <v>2454</v>
      </c>
      <c r="T323" s="17" t="s">
        <v>2455</v>
      </c>
    </row>
    <row r="324" spans="2:20" x14ac:dyDescent="0.25">
      <c r="B324" s="18"/>
      <c r="S324" s="17" t="s">
        <v>2456</v>
      </c>
      <c r="T324" s="17" t="s">
        <v>2457</v>
      </c>
    </row>
    <row r="325" spans="2:20" x14ac:dyDescent="0.25">
      <c r="B325" s="18"/>
      <c r="S325" s="17" t="s">
        <v>2458</v>
      </c>
      <c r="T325" s="17" t="s">
        <v>2459</v>
      </c>
    </row>
    <row r="326" spans="2:20" x14ac:dyDescent="0.25">
      <c r="B326" s="18"/>
      <c r="S326" s="17" t="s">
        <v>2460</v>
      </c>
      <c r="T326" s="17" t="s">
        <v>2461</v>
      </c>
    </row>
    <row r="327" spans="2:20" x14ac:dyDescent="0.25">
      <c r="B327" s="18"/>
      <c r="S327" s="17" t="s">
        <v>2462</v>
      </c>
      <c r="T327" s="17" t="s">
        <v>2463</v>
      </c>
    </row>
    <row r="328" spans="2:20" x14ac:dyDescent="0.25">
      <c r="B328" s="18"/>
      <c r="S328" s="17" t="s">
        <v>2464</v>
      </c>
      <c r="T328" s="17" t="s">
        <v>2465</v>
      </c>
    </row>
    <row r="329" spans="2:20" x14ac:dyDescent="0.25">
      <c r="B329" s="18"/>
      <c r="S329" s="17" t="s">
        <v>2466</v>
      </c>
      <c r="T329" s="17" t="s">
        <v>2467</v>
      </c>
    </row>
    <row r="330" spans="2:20" x14ac:dyDescent="0.25">
      <c r="B330" s="18"/>
      <c r="S330" s="17" t="s">
        <v>2468</v>
      </c>
      <c r="T330" s="17" t="s">
        <v>2469</v>
      </c>
    </row>
    <row r="331" spans="2:20" x14ac:dyDescent="0.25">
      <c r="B331" s="18"/>
      <c r="S331" s="17" t="s">
        <v>2470</v>
      </c>
      <c r="T331" s="17" t="s">
        <v>114</v>
      </c>
    </row>
    <row r="332" spans="2:20" x14ac:dyDescent="0.25">
      <c r="B332" s="18"/>
      <c r="S332" s="17" t="s">
        <v>2471</v>
      </c>
      <c r="T332" s="17" t="s">
        <v>249</v>
      </c>
    </row>
    <row r="333" spans="2:20" x14ac:dyDescent="0.25">
      <c r="B333" s="18"/>
      <c r="S333" s="17" t="s">
        <v>2472</v>
      </c>
      <c r="T333" s="17" t="s">
        <v>213</v>
      </c>
    </row>
    <row r="334" spans="2:20" x14ac:dyDescent="0.25">
      <c r="B334" s="18"/>
      <c r="S334" s="17" t="s">
        <v>2473</v>
      </c>
      <c r="T334" s="17" t="s">
        <v>195</v>
      </c>
    </row>
    <row r="335" spans="2:20" x14ac:dyDescent="0.25">
      <c r="B335" s="18"/>
      <c r="S335" s="17" t="s">
        <v>2474</v>
      </c>
      <c r="T335" s="17" t="s">
        <v>175</v>
      </c>
    </row>
    <row r="336" spans="2:20" x14ac:dyDescent="0.25">
      <c r="B336" s="18"/>
      <c r="S336" s="17" t="s">
        <v>2475</v>
      </c>
      <c r="T336" s="17" t="s">
        <v>155</v>
      </c>
    </row>
    <row r="337" spans="2:20" x14ac:dyDescent="0.25">
      <c r="B337" s="18"/>
      <c r="S337" s="17" t="s">
        <v>2476</v>
      </c>
      <c r="T337" s="17" t="s">
        <v>136</v>
      </c>
    </row>
    <row r="338" spans="2:20" x14ac:dyDescent="0.25">
      <c r="B338" s="18"/>
      <c r="S338" s="17" t="s">
        <v>2477</v>
      </c>
      <c r="T338" s="17" t="s">
        <v>230</v>
      </c>
    </row>
    <row r="339" spans="2:20" x14ac:dyDescent="0.25">
      <c r="B339" s="18"/>
      <c r="S339" s="17" t="s">
        <v>2478</v>
      </c>
      <c r="T339" s="17" t="s">
        <v>2479</v>
      </c>
    </row>
    <row r="340" spans="2:20" x14ac:dyDescent="0.25">
      <c r="B340" s="18"/>
      <c r="S340" s="17" t="s">
        <v>2480</v>
      </c>
      <c r="T340" s="17" t="s">
        <v>2481</v>
      </c>
    </row>
    <row r="341" spans="2:20" x14ac:dyDescent="0.25">
      <c r="B341" s="18"/>
      <c r="S341" s="17" t="s">
        <v>2482</v>
      </c>
      <c r="T341" s="17" t="s">
        <v>2483</v>
      </c>
    </row>
    <row r="342" spans="2:20" x14ac:dyDescent="0.25">
      <c r="B342" s="18"/>
      <c r="S342" s="17" t="s">
        <v>2484</v>
      </c>
      <c r="T342" s="17" t="s">
        <v>2485</v>
      </c>
    </row>
    <row r="343" spans="2:20" x14ac:dyDescent="0.25">
      <c r="B343" s="18"/>
      <c r="S343" s="17" t="s">
        <v>2486</v>
      </c>
      <c r="T343" s="17" t="s">
        <v>2487</v>
      </c>
    </row>
    <row r="344" spans="2:20" x14ac:dyDescent="0.25">
      <c r="B344" s="18"/>
      <c r="S344" s="17" t="s">
        <v>2488</v>
      </c>
      <c r="T344" s="17" t="s">
        <v>2489</v>
      </c>
    </row>
    <row r="345" spans="2:20" x14ac:dyDescent="0.25">
      <c r="B345" s="18"/>
      <c r="S345" s="17" t="s">
        <v>2490</v>
      </c>
      <c r="T345" s="17" t="s">
        <v>2491</v>
      </c>
    </row>
    <row r="346" spans="2:20" x14ac:dyDescent="0.25">
      <c r="B346" s="18"/>
      <c r="S346" s="17" t="s">
        <v>2492</v>
      </c>
      <c r="T346" s="17" t="s">
        <v>2493</v>
      </c>
    </row>
    <row r="347" spans="2:20" x14ac:dyDescent="0.25">
      <c r="B347" s="18"/>
      <c r="S347" s="17" t="s">
        <v>2494</v>
      </c>
      <c r="T347" s="17" t="s">
        <v>2495</v>
      </c>
    </row>
    <row r="348" spans="2:20" x14ac:dyDescent="0.25">
      <c r="B348" s="18"/>
      <c r="S348" s="17" t="s">
        <v>2496</v>
      </c>
      <c r="T348" s="17" t="s">
        <v>2497</v>
      </c>
    </row>
    <row r="349" spans="2:20" x14ac:dyDescent="0.25">
      <c r="B349" s="18"/>
      <c r="S349" s="17" t="s">
        <v>2498</v>
      </c>
      <c r="T349" s="17" t="s">
        <v>2499</v>
      </c>
    </row>
    <row r="350" spans="2:20" x14ac:dyDescent="0.25">
      <c r="B350" s="18"/>
      <c r="S350" s="17" t="s">
        <v>2500</v>
      </c>
      <c r="T350" s="17" t="s">
        <v>2501</v>
      </c>
    </row>
    <row r="351" spans="2:20" x14ac:dyDescent="0.25">
      <c r="B351" s="18"/>
      <c r="S351" s="17" t="s">
        <v>2502</v>
      </c>
      <c r="T351" s="17" t="s">
        <v>2503</v>
      </c>
    </row>
    <row r="352" spans="2:20" x14ac:dyDescent="0.25">
      <c r="B352" s="18"/>
      <c r="S352" s="17" t="s">
        <v>2504</v>
      </c>
      <c r="T352" s="17" t="s">
        <v>2505</v>
      </c>
    </row>
    <row r="353" spans="2:20" x14ac:dyDescent="0.25">
      <c r="B353" s="18"/>
      <c r="S353" s="17" t="s">
        <v>2506</v>
      </c>
      <c r="T353" s="17" t="s">
        <v>2507</v>
      </c>
    </row>
    <row r="354" spans="2:20" x14ac:dyDescent="0.25">
      <c r="B354" s="18"/>
      <c r="S354" s="17" t="s">
        <v>2508</v>
      </c>
      <c r="T354" s="17" t="s">
        <v>2509</v>
      </c>
    </row>
    <row r="355" spans="2:20" x14ac:dyDescent="0.25">
      <c r="B355" s="18"/>
      <c r="S355" s="17" t="s">
        <v>2510</v>
      </c>
      <c r="T355" s="17" t="s">
        <v>2511</v>
      </c>
    </row>
    <row r="356" spans="2:20" x14ac:dyDescent="0.25">
      <c r="B356" s="18"/>
      <c r="S356" s="17" t="s">
        <v>2512</v>
      </c>
      <c r="T356" s="17" t="s">
        <v>2513</v>
      </c>
    </row>
    <row r="357" spans="2:20" x14ac:dyDescent="0.25">
      <c r="B357" s="18"/>
      <c r="S357" s="17" t="s">
        <v>2514</v>
      </c>
      <c r="T357" s="17" t="s">
        <v>2515</v>
      </c>
    </row>
    <row r="358" spans="2:20" x14ac:dyDescent="0.25">
      <c r="B358" s="18"/>
      <c r="S358" s="17" t="s">
        <v>2516</v>
      </c>
      <c r="T358" s="17" t="s">
        <v>2517</v>
      </c>
    </row>
    <row r="359" spans="2:20" x14ac:dyDescent="0.25">
      <c r="B359" s="18"/>
      <c r="S359" s="17" t="s">
        <v>2518</v>
      </c>
      <c r="T359" s="17" t="s">
        <v>2519</v>
      </c>
    </row>
    <row r="360" spans="2:20" x14ac:dyDescent="0.25">
      <c r="B360" s="18"/>
      <c r="S360" s="17" t="s">
        <v>2520</v>
      </c>
      <c r="T360" s="17" t="s">
        <v>2521</v>
      </c>
    </row>
    <row r="361" spans="2:20" x14ac:dyDescent="0.25">
      <c r="B361" s="18"/>
      <c r="S361" s="17" t="s">
        <v>2522</v>
      </c>
      <c r="T361" s="17" t="s">
        <v>2523</v>
      </c>
    </row>
    <row r="362" spans="2:20" x14ac:dyDescent="0.25">
      <c r="B362" s="18"/>
      <c r="S362" s="17" t="s">
        <v>2524</v>
      </c>
      <c r="T362" s="17" t="s">
        <v>2525</v>
      </c>
    </row>
    <row r="363" spans="2:20" x14ac:dyDescent="0.25">
      <c r="B363" s="18"/>
      <c r="S363" s="17" t="s">
        <v>2526</v>
      </c>
      <c r="T363" s="17" t="s">
        <v>2527</v>
      </c>
    </row>
    <row r="364" spans="2:20" x14ac:dyDescent="0.25">
      <c r="B364" s="18"/>
      <c r="S364" s="17" t="s">
        <v>2528</v>
      </c>
      <c r="T364" s="17" t="s">
        <v>2529</v>
      </c>
    </row>
    <row r="365" spans="2:20" x14ac:dyDescent="0.25">
      <c r="B365" s="18"/>
      <c r="S365" s="17" t="s">
        <v>2530</v>
      </c>
      <c r="T365" s="17" t="s">
        <v>2531</v>
      </c>
    </row>
    <row r="366" spans="2:20" x14ac:dyDescent="0.25">
      <c r="B366" s="18"/>
      <c r="S366" s="17" t="s">
        <v>2532</v>
      </c>
      <c r="T366" s="17" t="s">
        <v>2533</v>
      </c>
    </row>
    <row r="367" spans="2:20" x14ac:dyDescent="0.25">
      <c r="B367" s="18"/>
      <c r="S367" s="17" t="s">
        <v>2534</v>
      </c>
      <c r="T367" s="17" t="s">
        <v>2535</v>
      </c>
    </row>
    <row r="368" spans="2:20" x14ac:dyDescent="0.25">
      <c r="B368" s="18"/>
      <c r="S368" s="17" t="s">
        <v>2536</v>
      </c>
      <c r="T368" s="17" t="s">
        <v>2537</v>
      </c>
    </row>
    <row r="369" spans="2:20" x14ac:dyDescent="0.25">
      <c r="B369" s="18"/>
      <c r="S369" s="17" t="s">
        <v>2538</v>
      </c>
      <c r="T369" s="17" t="s">
        <v>2539</v>
      </c>
    </row>
    <row r="370" spans="2:20" x14ac:dyDescent="0.25">
      <c r="B370" s="18"/>
      <c r="S370" s="17" t="s">
        <v>2540</v>
      </c>
      <c r="T370" s="17" t="s">
        <v>2541</v>
      </c>
    </row>
    <row r="371" spans="2:20" x14ac:dyDescent="0.25">
      <c r="B371" s="18"/>
      <c r="S371" s="17" t="s">
        <v>2542</v>
      </c>
      <c r="T371" s="17" t="s">
        <v>2543</v>
      </c>
    </row>
    <row r="372" spans="2:20" x14ac:dyDescent="0.25">
      <c r="B372" s="18"/>
      <c r="S372" s="17" t="s">
        <v>2544</v>
      </c>
      <c r="T372" s="17" t="s">
        <v>2545</v>
      </c>
    </row>
    <row r="373" spans="2:20" x14ac:dyDescent="0.25">
      <c r="B373" s="18"/>
      <c r="S373" s="17" t="s">
        <v>2546</v>
      </c>
      <c r="T373" s="17" t="s">
        <v>2547</v>
      </c>
    </row>
    <row r="374" spans="2:20" x14ac:dyDescent="0.25">
      <c r="B374" s="18"/>
      <c r="S374" s="17" t="s">
        <v>2548</v>
      </c>
      <c r="T374" s="17" t="s">
        <v>2549</v>
      </c>
    </row>
    <row r="375" spans="2:20" x14ac:dyDescent="0.25">
      <c r="B375" s="18"/>
      <c r="S375" s="17" t="s">
        <v>2550</v>
      </c>
      <c r="T375" s="17" t="s">
        <v>2551</v>
      </c>
    </row>
    <row r="376" spans="2:20" x14ac:dyDescent="0.25">
      <c r="B376" s="18"/>
      <c r="S376" s="17" t="s">
        <v>2552</v>
      </c>
      <c r="T376" s="17" t="s">
        <v>2553</v>
      </c>
    </row>
    <row r="377" spans="2:20" x14ac:dyDescent="0.25">
      <c r="B377" s="18"/>
      <c r="S377" s="17" t="s">
        <v>2554</v>
      </c>
      <c r="T377" s="17" t="s">
        <v>2555</v>
      </c>
    </row>
    <row r="378" spans="2:20" x14ac:dyDescent="0.25">
      <c r="B378" s="18"/>
      <c r="S378" s="17" t="s">
        <v>2556</v>
      </c>
      <c r="T378" s="17" t="s">
        <v>2557</v>
      </c>
    </row>
    <row r="379" spans="2:20" x14ac:dyDescent="0.25">
      <c r="B379" s="18"/>
      <c r="S379" s="17" t="s">
        <v>2558</v>
      </c>
      <c r="T379" s="17" t="s">
        <v>2559</v>
      </c>
    </row>
    <row r="380" spans="2:20" x14ac:dyDescent="0.25">
      <c r="B380" s="18"/>
      <c r="S380" s="17" t="s">
        <v>2560</v>
      </c>
      <c r="T380" s="17" t="s">
        <v>2561</v>
      </c>
    </row>
    <row r="381" spans="2:20" x14ac:dyDescent="0.25">
      <c r="B381" s="18"/>
      <c r="S381" s="17" t="s">
        <v>2562</v>
      </c>
      <c r="T381" s="17" t="s">
        <v>2563</v>
      </c>
    </row>
    <row r="382" spans="2:20" x14ac:dyDescent="0.25">
      <c r="B382" s="18"/>
      <c r="S382" s="17" t="s">
        <v>2564</v>
      </c>
      <c r="T382" s="17" t="s">
        <v>2565</v>
      </c>
    </row>
    <row r="383" spans="2:20" x14ac:dyDescent="0.25">
      <c r="B383" s="18"/>
      <c r="S383" s="17" t="s">
        <v>2566</v>
      </c>
      <c r="T383" s="17" t="s">
        <v>2567</v>
      </c>
    </row>
    <row r="384" spans="2:20" x14ac:dyDescent="0.25">
      <c r="B384" s="18"/>
      <c r="S384" s="17" t="s">
        <v>2568</v>
      </c>
      <c r="T384" s="17" t="s">
        <v>2569</v>
      </c>
    </row>
    <row r="385" spans="2:20" x14ac:dyDescent="0.25">
      <c r="B385" s="18"/>
      <c r="S385" s="17" t="s">
        <v>2570</v>
      </c>
      <c r="T385" s="17" t="s">
        <v>2571</v>
      </c>
    </row>
    <row r="386" spans="2:20" x14ac:dyDescent="0.25">
      <c r="B386" s="18"/>
      <c r="S386" s="17" t="s">
        <v>2572</v>
      </c>
      <c r="T386" s="17" t="s">
        <v>2573</v>
      </c>
    </row>
    <row r="387" spans="2:20" x14ac:dyDescent="0.25">
      <c r="B387" s="18"/>
      <c r="S387" s="17" t="s">
        <v>2574</v>
      </c>
      <c r="T387" s="17" t="s">
        <v>2575</v>
      </c>
    </row>
    <row r="388" spans="2:20" x14ac:dyDescent="0.25">
      <c r="B388" s="18"/>
      <c r="S388" s="17" t="s">
        <v>2576</v>
      </c>
      <c r="T388" s="17" t="s">
        <v>2577</v>
      </c>
    </row>
    <row r="389" spans="2:20" x14ac:dyDescent="0.25">
      <c r="B389" s="18"/>
      <c r="S389" s="17" t="s">
        <v>2578</v>
      </c>
      <c r="T389" s="17" t="s">
        <v>2579</v>
      </c>
    </row>
    <row r="390" spans="2:20" x14ac:dyDescent="0.25">
      <c r="B390" s="18"/>
      <c r="S390" s="17" t="s">
        <v>2580</v>
      </c>
      <c r="T390" s="17" t="s">
        <v>2581</v>
      </c>
    </row>
    <row r="391" spans="2:20" x14ac:dyDescent="0.25">
      <c r="B391" s="18"/>
      <c r="S391" s="17" t="s">
        <v>2582</v>
      </c>
      <c r="T391" s="17" t="s">
        <v>2583</v>
      </c>
    </row>
    <row r="392" spans="2:20" x14ac:dyDescent="0.25">
      <c r="B392" s="18"/>
      <c r="S392" s="17" t="s">
        <v>2584</v>
      </c>
      <c r="T392" s="17" t="s">
        <v>2585</v>
      </c>
    </row>
    <row r="393" spans="2:20" x14ac:dyDescent="0.25">
      <c r="B393" s="18"/>
      <c r="S393" s="17" t="s">
        <v>2586</v>
      </c>
      <c r="T393" s="17" t="s">
        <v>2587</v>
      </c>
    </row>
    <row r="394" spans="2:20" x14ac:dyDescent="0.25">
      <c r="B394" s="18"/>
      <c r="S394" s="17" t="s">
        <v>2588</v>
      </c>
      <c r="T394" s="17" t="s">
        <v>2589</v>
      </c>
    </row>
    <row r="395" spans="2:20" x14ac:dyDescent="0.25">
      <c r="B395" s="18"/>
      <c r="S395" s="17" t="s">
        <v>2590</v>
      </c>
      <c r="T395" s="17" t="s">
        <v>2591</v>
      </c>
    </row>
    <row r="396" spans="2:20" x14ac:dyDescent="0.25">
      <c r="B396" s="18"/>
      <c r="S396" s="17" t="s">
        <v>2592</v>
      </c>
      <c r="T396" s="17" t="s">
        <v>2593</v>
      </c>
    </row>
    <row r="397" spans="2:20" x14ac:dyDescent="0.25">
      <c r="B397" s="18"/>
      <c r="S397" s="17" t="s">
        <v>2594</v>
      </c>
      <c r="T397" s="17" t="s">
        <v>2595</v>
      </c>
    </row>
    <row r="398" spans="2:20" x14ac:dyDescent="0.25">
      <c r="B398" s="18"/>
      <c r="S398" s="17" t="s">
        <v>2596</v>
      </c>
      <c r="T398" s="17" t="s">
        <v>2597</v>
      </c>
    </row>
    <row r="399" spans="2:20" x14ac:dyDescent="0.25">
      <c r="B399" s="18"/>
      <c r="S399" s="17" t="s">
        <v>2598</v>
      </c>
      <c r="T399" s="17" t="s">
        <v>2599</v>
      </c>
    </row>
    <row r="400" spans="2:20" x14ac:dyDescent="0.25">
      <c r="B400" s="18"/>
      <c r="S400" s="17" t="s">
        <v>2600</v>
      </c>
      <c r="T400" s="17" t="s">
        <v>2601</v>
      </c>
    </row>
    <row r="401" spans="2:20" x14ac:dyDescent="0.25">
      <c r="B401" s="18"/>
      <c r="S401" s="17" t="s">
        <v>2602</v>
      </c>
      <c r="T401" s="17" t="s">
        <v>2603</v>
      </c>
    </row>
    <row r="402" spans="2:20" x14ac:dyDescent="0.25">
      <c r="B402" s="18"/>
      <c r="S402" s="17" t="s">
        <v>2604</v>
      </c>
      <c r="T402" s="17" t="s">
        <v>2605</v>
      </c>
    </row>
    <row r="403" spans="2:20" x14ac:dyDescent="0.25">
      <c r="B403" s="18"/>
      <c r="S403" s="17" t="s">
        <v>2606</v>
      </c>
      <c r="T403" s="17" t="s">
        <v>2607</v>
      </c>
    </row>
    <row r="404" spans="2:20" x14ac:dyDescent="0.25">
      <c r="B404" s="18"/>
      <c r="S404" s="17" t="s">
        <v>2608</v>
      </c>
      <c r="T404" s="17" t="s">
        <v>2609</v>
      </c>
    </row>
    <row r="405" spans="2:20" x14ac:dyDescent="0.25">
      <c r="B405" s="18"/>
      <c r="S405" s="17" t="s">
        <v>2610</v>
      </c>
      <c r="T405" s="17" t="s">
        <v>2611</v>
      </c>
    </row>
    <row r="406" spans="2:20" x14ac:dyDescent="0.25">
      <c r="B406" s="18"/>
      <c r="S406" s="17" t="s">
        <v>2612</v>
      </c>
      <c r="T406" s="17" t="s">
        <v>2613</v>
      </c>
    </row>
    <row r="407" spans="2:20" x14ac:dyDescent="0.25">
      <c r="B407" s="18"/>
      <c r="S407" s="17" t="s">
        <v>2614</v>
      </c>
      <c r="T407" s="17" t="s">
        <v>2615</v>
      </c>
    </row>
    <row r="408" spans="2:20" x14ac:dyDescent="0.25">
      <c r="B408" s="18"/>
      <c r="S408" s="17" t="s">
        <v>2616</v>
      </c>
      <c r="T408" s="17" t="s">
        <v>2617</v>
      </c>
    </row>
    <row r="409" spans="2:20" x14ac:dyDescent="0.25">
      <c r="B409" s="18"/>
      <c r="S409" s="17" t="s">
        <v>2618</v>
      </c>
      <c r="T409" s="17" t="s">
        <v>2619</v>
      </c>
    </row>
    <row r="410" spans="2:20" x14ac:dyDescent="0.25">
      <c r="B410" s="18"/>
      <c r="S410" s="17" t="s">
        <v>2620</v>
      </c>
      <c r="T410" s="17" t="s">
        <v>2621</v>
      </c>
    </row>
    <row r="411" spans="2:20" x14ac:dyDescent="0.25">
      <c r="B411" s="18"/>
      <c r="S411" s="17" t="s">
        <v>2622</v>
      </c>
      <c r="T411" s="17" t="s">
        <v>2623</v>
      </c>
    </row>
    <row r="412" spans="2:20" x14ac:dyDescent="0.25">
      <c r="B412" s="18"/>
      <c r="S412" s="17" t="s">
        <v>2624</v>
      </c>
      <c r="T412" s="17" t="s">
        <v>2625</v>
      </c>
    </row>
    <row r="413" spans="2:20" x14ac:dyDescent="0.25">
      <c r="B413" s="18"/>
      <c r="S413" s="17" t="s">
        <v>2626</v>
      </c>
      <c r="T413" s="17" t="s">
        <v>2627</v>
      </c>
    </row>
    <row r="414" spans="2:20" x14ac:dyDescent="0.25">
      <c r="B414" s="18"/>
      <c r="S414" s="17" t="s">
        <v>2628</v>
      </c>
      <c r="T414" s="17" t="s">
        <v>2629</v>
      </c>
    </row>
    <row r="415" spans="2:20" x14ac:dyDescent="0.25">
      <c r="B415" s="18"/>
      <c r="S415" s="17" t="s">
        <v>2630</v>
      </c>
      <c r="T415" s="17" t="s">
        <v>2631</v>
      </c>
    </row>
    <row r="416" spans="2:20" x14ac:dyDescent="0.25">
      <c r="B416" s="18"/>
      <c r="S416" s="17" t="s">
        <v>2632</v>
      </c>
      <c r="T416" s="17" t="s">
        <v>2633</v>
      </c>
    </row>
    <row r="417" spans="2:20" x14ac:dyDescent="0.25">
      <c r="B417" s="18"/>
      <c r="S417" s="17" t="s">
        <v>2634</v>
      </c>
      <c r="T417" s="17" t="s">
        <v>2635</v>
      </c>
    </row>
    <row r="418" spans="2:20" x14ac:dyDescent="0.25">
      <c r="B418" s="18"/>
      <c r="S418" s="17" t="s">
        <v>2636</v>
      </c>
      <c r="T418" s="17" t="s">
        <v>2637</v>
      </c>
    </row>
    <row r="419" spans="2:20" x14ac:dyDescent="0.25">
      <c r="B419" s="18"/>
      <c r="S419" s="17" t="s">
        <v>2638</v>
      </c>
      <c r="T419" s="17" t="s">
        <v>2639</v>
      </c>
    </row>
    <row r="420" spans="2:20" x14ac:dyDescent="0.25">
      <c r="B420" s="18"/>
      <c r="S420" s="17" t="s">
        <v>2640</v>
      </c>
      <c r="T420" s="17" t="s">
        <v>2641</v>
      </c>
    </row>
    <row r="421" spans="2:20" x14ac:dyDescent="0.25">
      <c r="B421" s="18"/>
      <c r="S421" s="17" t="s">
        <v>2642</v>
      </c>
      <c r="T421" s="17" t="s">
        <v>2643</v>
      </c>
    </row>
    <row r="422" spans="2:20" x14ac:dyDescent="0.25">
      <c r="B422" s="18"/>
      <c r="S422" s="17" t="s">
        <v>2644</v>
      </c>
      <c r="T422" s="17" t="s">
        <v>2645</v>
      </c>
    </row>
    <row r="423" spans="2:20" x14ac:dyDescent="0.25">
      <c r="B423" s="18"/>
      <c r="S423" s="17" t="s">
        <v>2646</v>
      </c>
      <c r="T423" s="17" t="s">
        <v>2647</v>
      </c>
    </row>
    <row r="424" spans="2:20" x14ac:dyDescent="0.25">
      <c r="B424" s="18"/>
      <c r="S424" s="17" t="s">
        <v>2648</v>
      </c>
      <c r="T424" s="17" t="s">
        <v>2649</v>
      </c>
    </row>
    <row r="425" spans="2:20" x14ac:dyDescent="0.25">
      <c r="B425" s="18"/>
      <c r="S425" s="17" t="s">
        <v>2650</v>
      </c>
      <c r="T425" s="17" t="s">
        <v>2651</v>
      </c>
    </row>
    <row r="426" spans="2:20" x14ac:dyDescent="0.25">
      <c r="B426" s="18"/>
      <c r="S426" s="17" t="s">
        <v>2652</v>
      </c>
      <c r="T426" s="17" t="s">
        <v>2653</v>
      </c>
    </row>
    <row r="427" spans="2:20" x14ac:dyDescent="0.25">
      <c r="B427" s="18"/>
      <c r="S427" s="17" t="s">
        <v>2654</v>
      </c>
      <c r="T427" s="17" t="s">
        <v>2655</v>
      </c>
    </row>
    <row r="428" spans="2:20" x14ac:dyDescent="0.25">
      <c r="B428" s="18"/>
      <c r="S428" s="17" t="s">
        <v>2656</v>
      </c>
      <c r="T428" s="17" t="s">
        <v>2657</v>
      </c>
    </row>
    <row r="429" spans="2:20" x14ac:dyDescent="0.25">
      <c r="B429" s="18"/>
      <c r="S429" s="17" t="s">
        <v>2658</v>
      </c>
      <c r="T429" s="17" t="s">
        <v>2659</v>
      </c>
    </row>
    <row r="430" spans="2:20" x14ac:dyDescent="0.25">
      <c r="B430" s="18"/>
      <c r="S430" s="17" t="s">
        <v>2660</v>
      </c>
      <c r="T430" s="17" t="s">
        <v>2661</v>
      </c>
    </row>
    <row r="431" spans="2:20" x14ac:dyDescent="0.25">
      <c r="B431" s="18"/>
      <c r="S431" s="17" t="s">
        <v>2662</v>
      </c>
      <c r="T431" s="17" t="s">
        <v>2663</v>
      </c>
    </row>
    <row r="432" spans="2:20" x14ac:dyDescent="0.25">
      <c r="B432" s="18"/>
      <c r="S432" s="17" t="s">
        <v>2664</v>
      </c>
      <c r="T432" s="17" t="s">
        <v>2665</v>
      </c>
    </row>
    <row r="433" spans="2:20" x14ac:dyDescent="0.25">
      <c r="B433" s="18"/>
      <c r="S433" s="17" t="s">
        <v>2666</v>
      </c>
      <c r="T433" s="17" t="s">
        <v>2667</v>
      </c>
    </row>
    <row r="434" spans="2:20" x14ac:dyDescent="0.25">
      <c r="B434" s="18"/>
      <c r="S434" s="17" t="s">
        <v>2668</v>
      </c>
      <c r="T434" s="17" t="s">
        <v>2669</v>
      </c>
    </row>
    <row r="435" spans="2:20" x14ac:dyDescent="0.25">
      <c r="B435" s="18"/>
      <c r="S435" s="17" t="s">
        <v>2670</v>
      </c>
      <c r="T435" s="17" t="s">
        <v>2671</v>
      </c>
    </row>
    <row r="436" spans="2:20" x14ac:dyDescent="0.25">
      <c r="B436" s="18"/>
      <c r="S436" s="17" t="s">
        <v>2672</v>
      </c>
      <c r="T436" s="17" t="s">
        <v>2673</v>
      </c>
    </row>
    <row r="437" spans="2:20" x14ac:dyDescent="0.25">
      <c r="B437" s="18"/>
      <c r="S437" s="17" t="s">
        <v>2674</v>
      </c>
      <c r="T437" s="17" t="s">
        <v>2675</v>
      </c>
    </row>
    <row r="438" spans="2:20" x14ac:dyDescent="0.25">
      <c r="B438" s="18"/>
      <c r="S438" s="17" t="s">
        <v>2676</v>
      </c>
      <c r="T438" s="17" t="s">
        <v>2677</v>
      </c>
    </row>
    <row r="439" spans="2:20" x14ac:dyDescent="0.25">
      <c r="B439" s="18"/>
      <c r="S439" s="17" t="s">
        <v>2678</v>
      </c>
      <c r="T439" s="17" t="s">
        <v>2679</v>
      </c>
    </row>
    <row r="440" spans="2:20" x14ac:dyDescent="0.25">
      <c r="B440" s="18"/>
      <c r="S440" s="17" t="s">
        <v>2680</v>
      </c>
      <c r="T440" s="17" t="s">
        <v>2681</v>
      </c>
    </row>
    <row r="441" spans="2:20" x14ac:dyDescent="0.25">
      <c r="B441" s="18"/>
      <c r="S441" s="17" t="s">
        <v>2682</v>
      </c>
      <c r="T441" s="17" t="s">
        <v>2683</v>
      </c>
    </row>
    <row r="442" spans="2:20" x14ac:dyDescent="0.25">
      <c r="B442" s="18"/>
      <c r="S442" s="17" t="s">
        <v>2684</v>
      </c>
      <c r="T442" s="17" t="s">
        <v>2685</v>
      </c>
    </row>
    <row r="443" spans="2:20" x14ac:dyDescent="0.25">
      <c r="B443" s="18"/>
      <c r="S443" s="17" t="s">
        <v>2686</v>
      </c>
      <c r="T443" s="17" t="s">
        <v>2687</v>
      </c>
    </row>
    <row r="444" spans="2:20" x14ac:dyDescent="0.25">
      <c r="B444" s="18"/>
      <c r="S444" s="17" t="s">
        <v>2688</v>
      </c>
      <c r="T444" s="17" t="s">
        <v>2689</v>
      </c>
    </row>
    <row r="445" spans="2:20" x14ac:dyDescent="0.25">
      <c r="B445" s="18"/>
      <c r="S445" s="17" t="s">
        <v>2690</v>
      </c>
      <c r="T445" s="17" t="s">
        <v>2691</v>
      </c>
    </row>
    <row r="446" spans="2:20" x14ac:dyDescent="0.25">
      <c r="B446" s="18"/>
      <c r="S446" s="17" t="s">
        <v>2692</v>
      </c>
      <c r="T446" s="17" t="s">
        <v>2693</v>
      </c>
    </row>
    <row r="447" spans="2:20" x14ac:dyDescent="0.25">
      <c r="B447" s="18"/>
      <c r="S447" s="17" t="s">
        <v>2694</v>
      </c>
      <c r="T447" s="17" t="s">
        <v>2695</v>
      </c>
    </row>
    <row r="448" spans="2:20" x14ac:dyDescent="0.25">
      <c r="B448" s="18"/>
      <c r="S448" s="17" t="s">
        <v>2696</v>
      </c>
      <c r="T448" s="17" t="s">
        <v>2697</v>
      </c>
    </row>
    <row r="449" spans="2:20" x14ac:dyDescent="0.25">
      <c r="B449" s="18"/>
      <c r="S449" s="17" t="s">
        <v>2698</v>
      </c>
      <c r="T449" s="17" t="s">
        <v>2699</v>
      </c>
    </row>
    <row r="450" spans="2:20" x14ac:dyDescent="0.25">
      <c r="B450" s="18"/>
      <c r="S450" s="17" t="s">
        <v>2700</v>
      </c>
      <c r="T450" s="17" t="s">
        <v>2701</v>
      </c>
    </row>
    <row r="451" spans="2:20" x14ac:dyDescent="0.25">
      <c r="B451" s="18"/>
      <c r="S451" s="17" t="s">
        <v>2702</v>
      </c>
      <c r="T451" s="17" t="s">
        <v>2703</v>
      </c>
    </row>
    <row r="452" spans="2:20" x14ac:dyDescent="0.25">
      <c r="B452" s="18"/>
      <c r="S452" s="17" t="s">
        <v>2704</v>
      </c>
      <c r="T452" s="17" t="s">
        <v>2705</v>
      </c>
    </row>
    <row r="453" spans="2:20" x14ac:dyDescent="0.25">
      <c r="B453" s="18"/>
      <c r="S453" s="17" t="s">
        <v>2706</v>
      </c>
      <c r="T453" s="17" t="s">
        <v>2707</v>
      </c>
    </row>
    <row r="454" spans="2:20" x14ac:dyDescent="0.25">
      <c r="B454" s="18"/>
      <c r="S454" s="17" t="s">
        <v>2708</v>
      </c>
      <c r="T454" s="17" t="s">
        <v>2709</v>
      </c>
    </row>
    <row r="455" spans="2:20" x14ac:dyDescent="0.25">
      <c r="B455" s="18"/>
      <c r="S455" s="17" t="s">
        <v>2710</v>
      </c>
      <c r="T455" s="17" t="s">
        <v>2711</v>
      </c>
    </row>
    <row r="456" spans="2:20" x14ac:dyDescent="0.25">
      <c r="B456" s="18"/>
      <c r="S456" s="17" t="s">
        <v>2712</v>
      </c>
      <c r="T456" s="17" t="s">
        <v>2713</v>
      </c>
    </row>
    <row r="457" spans="2:20" x14ac:dyDescent="0.25">
      <c r="B457" s="18"/>
      <c r="S457" s="17" t="s">
        <v>2714</v>
      </c>
      <c r="T457" s="17" t="s">
        <v>2715</v>
      </c>
    </row>
    <row r="458" spans="2:20" x14ac:dyDescent="0.25">
      <c r="B458" s="18"/>
      <c r="S458" s="17" t="s">
        <v>2716</v>
      </c>
      <c r="T458" s="17" t="s">
        <v>2717</v>
      </c>
    </row>
    <row r="459" spans="2:20" x14ac:dyDescent="0.25">
      <c r="B459" s="18"/>
      <c r="S459" s="17" t="s">
        <v>2718</v>
      </c>
      <c r="T459" s="17" t="s">
        <v>2719</v>
      </c>
    </row>
    <row r="460" spans="2:20" x14ac:dyDescent="0.25">
      <c r="B460" s="18"/>
      <c r="S460" s="17" t="s">
        <v>2720</v>
      </c>
      <c r="T460" s="17" t="s">
        <v>2721</v>
      </c>
    </row>
    <row r="461" spans="2:20" x14ac:dyDescent="0.25">
      <c r="B461" s="18"/>
      <c r="S461" s="17" t="s">
        <v>2722</v>
      </c>
      <c r="T461" s="17" t="s">
        <v>2723</v>
      </c>
    </row>
    <row r="462" spans="2:20" x14ac:dyDescent="0.25">
      <c r="B462" s="18"/>
      <c r="S462" s="17" t="s">
        <v>2724</v>
      </c>
      <c r="T462" s="17" t="s">
        <v>2725</v>
      </c>
    </row>
    <row r="463" spans="2:20" x14ac:dyDescent="0.25">
      <c r="B463" s="18"/>
      <c r="S463" s="17" t="s">
        <v>2726</v>
      </c>
      <c r="T463" s="17" t="s">
        <v>2727</v>
      </c>
    </row>
    <row r="464" spans="2:20" x14ac:dyDescent="0.25">
      <c r="B464" s="18"/>
      <c r="S464" s="17" t="s">
        <v>2728</v>
      </c>
      <c r="T464" s="17" t="s">
        <v>2729</v>
      </c>
    </row>
    <row r="465" spans="2:20" x14ac:dyDescent="0.25">
      <c r="B465" s="18"/>
      <c r="S465" s="17" t="s">
        <v>2730</v>
      </c>
      <c r="T465" s="17" t="s">
        <v>2731</v>
      </c>
    </row>
    <row r="466" spans="2:20" x14ac:dyDescent="0.25">
      <c r="B466" s="18"/>
      <c r="S466" s="17" t="s">
        <v>2732</v>
      </c>
      <c r="T466" s="17" t="s">
        <v>2733</v>
      </c>
    </row>
    <row r="467" spans="2:20" x14ac:dyDescent="0.25">
      <c r="B467" s="18"/>
      <c r="S467" s="17" t="s">
        <v>2734</v>
      </c>
      <c r="T467" s="17" t="s">
        <v>2735</v>
      </c>
    </row>
    <row r="468" spans="2:20" x14ac:dyDescent="0.25">
      <c r="B468" s="18"/>
      <c r="S468" s="17" t="s">
        <v>2736</v>
      </c>
      <c r="T468" s="17" t="s">
        <v>2737</v>
      </c>
    </row>
    <row r="469" spans="2:20" x14ac:dyDescent="0.25">
      <c r="B469" s="18"/>
      <c r="S469" s="17" t="s">
        <v>2738</v>
      </c>
      <c r="T469" s="17" t="s">
        <v>2739</v>
      </c>
    </row>
    <row r="470" spans="2:20" x14ac:dyDescent="0.25">
      <c r="B470" s="18"/>
      <c r="S470" s="17" t="s">
        <v>2740</v>
      </c>
      <c r="T470" s="17" t="s">
        <v>2741</v>
      </c>
    </row>
    <row r="471" spans="2:20" x14ac:dyDescent="0.25">
      <c r="B471" s="18"/>
      <c r="S471" s="17" t="s">
        <v>2742</v>
      </c>
      <c r="T471" s="17" t="s">
        <v>2743</v>
      </c>
    </row>
    <row r="472" spans="2:20" x14ac:dyDescent="0.25">
      <c r="B472" s="18"/>
      <c r="S472" s="17" t="s">
        <v>2744</v>
      </c>
      <c r="T472" s="17" t="s">
        <v>2745</v>
      </c>
    </row>
    <row r="473" spans="2:20" x14ac:dyDescent="0.25">
      <c r="B473" s="18"/>
      <c r="S473" s="17" t="s">
        <v>2746</v>
      </c>
      <c r="T473" s="17" t="s">
        <v>2747</v>
      </c>
    </row>
    <row r="474" spans="2:20" x14ac:dyDescent="0.25">
      <c r="B474" s="18"/>
      <c r="S474" s="17" t="s">
        <v>2748</v>
      </c>
      <c r="T474" s="17" t="s">
        <v>2749</v>
      </c>
    </row>
    <row r="475" spans="2:20" x14ac:dyDescent="0.25">
      <c r="B475" s="18"/>
      <c r="S475" s="17" t="s">
        <v>2750</v>
      </c>
      <c r="T475" s="17" t="s">
        <v>2751</v>
      </c>
    </row>
    <row r="476" spans="2:20" x14ac:dyDescent="0.25">
      <c r="B476" s="18"/>
      <c r="S476" s="17" t="s">
        <v>2752</v>
      </c>
      <c r="T476" s="17" t="s">
        <v>2753</v>
      </c>
    </row>
    <row r="477" spans="2:20" x14ac:dyDescent="0.25">
      <c r="B477" s="18"/>
      <c r="S477" s="17" t="s">
        <v>2754</v>
      </c>
      <c r="T477" s="17" t="s">
        <v>2755</v>
      </c>
    </row>
    <row r="478" spans="2:20" x14ac:dyDescent="0.25">
      <c r="B478" s="18"/>
      <c r="S478" s="17" t="s">
        <v>2756</v>
      </c>
      <c r="T478" s="17" t="s">
        <v>2757</v>
      </c>
    </row>
    <row r="479" spans="2:20" x14ac:dyDescent="0.25">
      <c r="B479" s="18"/>
      <c r="S479" s="17" t="s">
        <v>2758</v>
      </c>
      <c r="T479" s="17" t="s">
        <v>2759</v>
      </c>
    </row>
    <row r="480" spans="2:20" x14ac:dyDescent="0.25">
      <c r="B480" s="18"/>
      <c r="S480" s="17" t="s">
        <v>2760</v>
      </c>
      <c r="T480" s="17" t="s">
        <v>2761</v>
      </c>
    </row>
    <row r="481" spans="2:20" x14ac:dyDescent="0.25">
      <c r="B481" s="18"/>
      <c r="S481" s="17" t="s">
        <v>2762</v>
      </c>
      <c r="T481" s="17" t="s">
        <v>2763</v>
      </c>
    </row>
    <row r="482" spans="2:20" x14ac:dyDescent="0.25">
      <c r="B482" s="18"/>
      <c r="S482" s="17" t="s">
        <v>2764</v>
      </c>
      <c r="T482" s="17" t="s">
        <v>2765</v>
      </c>
    </row>
    <row r="483" spans="2:20" x14ac:dyDescent="0.25">
      <c r="B483" s="18"/>
      <c r="S483" s="17" t="s">
        <v>2766</v>
      </c>
      <c r="T483" s="17" t="s">
        <v>2767</v>
      </c>
    </row>
    <row r="484" spans="2:20" x14ac:dyDescent="0.25">
      <c r="B484" s="18"/>
      <c r="S484" s="17" t="s">
        <v>2768</v>
      </c>
      <c r="T484" s="17" t="s">
        <v>2769</v>
      </c>
    </row>
    <row r="485" spans="2:20" x14ac:dyDescent="0.25">
      <c r="B485" s="18"/>
      <c r="S485" s="17" t="s">
        <v>2770</v>
      </c>
      <c r="T485" s="17" t="s">
        <v>2771</v>
      </c>
    </row>
    <row r="486" spans="2:20" x14ac:dyDescent="0.25">
      <c r="B486" s="18"/>
      <c r="S486" s="17" t="s">
        <v>2772</v>
      </c>
      <c r="T486" s="17" t="s">
        <v>2773</v>
      </c>
    </row>
    <row r="487" spans="2:20" x14ac:dyDescent="0.25">
      <c r="B487" s="18"/>
      <c r="S487" s="17" t="s">
        <v>2774</v>
      </c>
      <c r="T487" s="17" t="s">
        <v>2775</v>
      </c>
    </row>
    <row r="488" spans="2:20" x14ac:dyDescent="0.25">
      <c r="B488" s="18"/>
      <c r="S488" s="17" t="s">
        <v>2776</v>
      </c>
      <c r="T488" s="17" t="s">
        <v>2777</v>
      </c>
    </row>
    <row r="489" spans="2:20" x14ac:dyDescent="0.25">
      <c r="B489" s="18"/>
      <c r="S489" s="17" t="s">
        <v>2778</v>
      </c>
      <c r="T489" s="17" t="s">
        <v>2779</v>
      </c>
    </row>
    <row r="490" spans="2:20" x14ac:dyDescent="0.25">
      <c r="B490" s="18"/>
      <c r="S490" s="17" t="s">
        <v>2780</v>
      </c>
      <c r="T490" s="17" t="s">
        <v>2781</v>
      </c>
    </row>
    <row r="491" spans="2:20" x14ac:dyDescent="0.25">
      <c r="B491" s="18"/>
      <c r="S491" s="17" t="s">
        <v>2782</v>
      </c>
      <c r="T491" s="17" t="s">
        <v>2783</v>
      </c>
    </row>
    <row r="492" spans="2:20" x14ac:dyDescent="0.25">
      <c r="B492" s="18"/>
      <c r="S492" s="17" t="s">
        <v>2784</v>
      </c>
      <c r="T492" s="17" t="s">
        <v>2785</v>
      </c>
    </row>
    <row r="493" spans="2:20" x14ac:dyDescent="0.25">
      <c r="B493" s="18"/>
      <c r="T493" s="18"/>
    </row>
    <row r="494" spans="2:20" x14ac:dyDescent="0.25">
      <c r="B494" s="18"/>
      <c r="T494" s="18"/>
    </row>
    <row r="495" spans="2:20" x14ac:dyDescent="0.25">
      <c r="B495" s="18"/>
      <c r="T495" s="18"/>
    </row>
    <row r="496" spans="2:20" x14ac:dyDescent="0.25">
      <c r="B496" s="18"/>
      <c r="T496" s="18"/>
    </row>
    <row r="497" spans="2:20" x14ac:dyDescent="0.25">
      <c r="B497" s="18"/>
      <c r="T497" s="18"/>
    </row>
    <row r="498" spans="2:20" x14ac:dyDescent="0.25">
      <c r="B498" s="18"/>
      <c r="T498" s="18"/>
    </row>
    <row r="499" spans="2:20" x14ac:dyDescent="0.25">
      <c r="B499" s="18"/>
      <c r="T499" s="18"/>
    </row>
    <row r="500" spans="2:20" x14ac:dyDescent="0.25">
      <c r="B500" s="18"/>
      <c r="T500" s="18"/>
    </row>
    <row r="501" spans="2:20" x14ac:dyDescent="0.25">
      <c r="B501" s="18"/>
      <c r="T501" s="18"/>
    </row>
    <row r="502" spans="2:20" x14ac:dyDescent="0.25">
      <c r="B502" s="18"/>
      <c r="T502" s="18"/>
    </row>
    <row r="503" spans="2:20" x14ac:dyDescent="0.25">
      <c r="B503" s="18"/>
      <c r="T503" s="18"/>
    </row>
    <row r="504" spans="2:20" x14ac:dyDescent="0.25">
      <c r="B504" s="18"/>
      <c r="T504" s="18"/>
    </row>
    <row r="505" spans="2:20" x14ac:dyDescent="0.25">
      <c r="B505" s="18"/>
      <c r="T505" s="18"/>
    </row>
    <row r="506" spans="2:20" x14ac:dyDescent="0.25">
      <c r="B506" s="18"/>
      <c r="T506" s="18"/>
    </row>
    <row r="507" spans="2:20" x14ac:dyDescent="0.25">
      <c r="B507" s="18"/>
      <c r="T507" s="18"/>
    </row>
    <row r="508" spans="2:20" x14ac:dyDescent="0.25">
      <c r="B508" s="18"/>
      <c r="T508" s="18"/>
    </row>
    <row r="509" spans="2:20" x14ac:dyDescent="0.25">
      <c r="B509" s="18"/>
      <c r="T509" s="18"/>
    </row>
    <row r="510" spans="2:20" x14ac:dyDescent="0.25">
      <c r="B510" s="18"/>
      <c r="T510" s="18"/>
    </row>
    <row r="511" spans="2:20" x14ac:dyDescent="0.25">
      <c r="B511" s="18"/>
      <c r="T511" s="18"/>
    </row>
    <row r="512" spans="2:20" x14ac:dyDescent="0.25">
      <c r="B512" s="18"/>
      <c r="T512" s="18"/>
    </row>
    <row r="513" spans="2:20" x14ac:dyDescent="0.25">
      <c r="B513" s="18"/>
      <c r="T513" s="18"/>
    </row>
    <row r="514" spans="2:20" x14ac:dyDescent="0.25">
      <c r="B514" s="18"/>
      <c r="T514" s="18"/>
    </row>
    <row r="515" spans="2:20" x14ac:dyDescent="0.25">
      <c r="B515" s="18"/>
      <c r="T515" s="18"/>
    </row>
    <row r="516" spans="2:20" x14ac:dyDescent="0.25">
      <c r="B516" s="18"/>
      <c r="T516" s="18"/>
    </row>
    <row r="517" spans="2:20" x14ac:dyDescent="0.25">
      <c r="B517" s="18"/>
      <c r="T517" s="18"/>
    </row>
    <row r="518" spans="2:20" x14ac:dyDescent="0.25">
      <c r="B518" s="18"/>
      <c r="T518" s="18"/>
    </row>
    <row r="519" spans="2:20" x14ac:dyDescent="0.25">
      <c r="B519" s="18"/>
      <c r="T519" s="18"/>
    </row>
    <row r="520" spans="2:20" x14ac:dyDescent="0.25">
      <c r="B520" s="18"/>
      <c r="T520" s="18"/>
    </row>
    <row r="521" spans="2:20" x14ac:dyDescent="0.25">
      <c r="B521" s="18"/>
      <c r="T521" s="18"/>
    </row>
    <row r="522" spans="2:20" x14ac:dyDescent="0.25">
      <c r="B522" s="18"/>
      <c r="T522" s="18"/>
    </row>
    <row r="523" spans="2:20" x14ac:dyDescent="0.25">
      <c r="B523" s="18"/>
      <c r="T523" s="18"/>
    </row>
    <row r="524" spans="2:20" x14ac:dyDescent="0.25">
      <c r="B524" s="18"/>
      <c r="T524" s="18"/>
    </row>
    <row r="525" spans="2:20" x14ac:dyDescent="0.25">
      <c r="B525" s="18"/>
      <c r="T525" s="18"/>
    </row>
    <row r="526" spans="2:20" x14ac:dyDescent="0.25">
      <c r="B526" s="18"/>
      <c r="T526" s="18"/>
    </row>
    <row r="527" spans="2:20" x14ac:dyDescent="0.25">
      <c r="B527" s="18"/>
      <c r="T527" s="18"/>
    </row>
    <row r="528" spans="2:20" x14ac:dyDescent="0.25">
      <c r="B528" s="18"/>
      <c r="T528" s="18"/>
    </row>
    <row r="529" spans="20:20" x14ac:dyDescent="0.25">
      <c r="T529" s="18"/>
    </row>
    <row r="530" spans="20:20" x14ac:dyDescent="0.25">
      <c r="T530" s="18"/>
    </row>
    <row r="531" spans="20:20" x14ac:dyDescent="0.25">
      <c r="T531" s="18"/>
    </row>
    <row r="532" spans="20:20" x14ac:dyDescent="0.25">
      <c r="T532" s="18"/>
    </row>
    <row r="533" spans="20:20" x14ac:dyDescent="0.25">
      <c r="T533" s="18"/>
    </row>
    <row r="534" spans="20:20" x14ac:dyDescent="0.25">
      <c r="T534" s="18"/>
    </row>
    <row r="535" spans="20:20" x14ac:dyDescent="0.25">
      <c r="T535" s="18"/>
    </row>
    <row r="536" spans="20:20" x14ac:dyDescent="0.25">
      <c r="T536" s="18"/>
    </row>
    <row r="537" spans="20:20" x14ac:dyDescent="0.25">
      <c r="T537" s="18"/>
    </row>
    <row r="538" spans="20:20" x14ac:dyDescent="0.25">
      <c r="T538" s="18"/>
    </row>
    <row r="539" spans="20:20" x14ac:dyDescent="0.25">
      <c r="T539" s="18"/>
    </row>
    <row r="540" spans="20:20" x14ac:dyDescent="0.25">
      <c r="T540" s="18"/>
    </row>
    <row r="541" spans="20:20" x14ac:dyDescent="0.25">
      <c r="T541" s="18"/>
    </row>
    <row r="542" spans="20:20" x14ac:dyDescent="0.25">
      <c r="T542" s="18"/>
    </row>
    <row r="543" spans="20:20" x14ac:dyDescent="0.25">
      <c r="T543" s="18"/>
    </row>
    <row r="544" spans="20:20" x14ac:dyDescent="0.25">
      <c r="T544" s="18"/>
    </row>
    <row r="545" spans="20:20" x14ac:dyDescent="0.25">
      <c r="T545" s="18"/>
    </row>
    <row r="546" spans="20:20" x14ac:dyDescent="0.25">
      <c r="T546" s="18"/>
    </row>
    <row r="547" spans="20:20" x14ac:dyDescent="0.25">
      <c r="T547" s="18"/>
    </row>
    <row r="548" spans="20:20" x14ac:dyDescent="0.25">
      <c r="T548" s="18"/>
    </row>
    <row r="549" spans="20:20" x14ac:dyDescent="0.25">
      <c r="T549" s="18"/>
    </row>
    <row r="550" spans="20:20" x14ac:dyDescent="0.25">
      <c r="T550" s="18"/>
    </row>
    <row r="551" spans="20:20" x14ac:dyDescent="0.25">
      <c r="T551" s="18"/>
    </row>
    <row r="552" spans="20:20" x14ac:dyDescent="0.25">
      <c r="T552" s="18"/>
    </row>
    <row r="553" spans="20:20" x14ac:dyDescent="0.25">
      <c r="T553" s="18"/>
    </row>
    <row r="554" spans="20:20" x14ac:dyDescent="0.25">
      <c r="T554" s="18"/>
    </row>
    <row r="555" spans="20:20" x14ac:dyDescent="0.25">
      <c r="T555" s="18"/>
    </row>
    <row r="556" spans="20:20" x14ac:dyDescent="0.25">
      <c r="T556" s="18"/>
    </row>
    <row r="557" spans="20:20" x14ac:dyDescent="0.25">
      <c r="T557" s="18"/>
    </row>
    <row r="558" spans="20:20" x14ac:dyDescent="0.25">
      <c r="T558" s="18"/>
    </row>
    <row r="559" spans="20:20" x14ac:dyDescent="0.25">
      <c r="T559" s="18"/>
    </row>
    <row r="560" spans="20:20" x14ac:dyDescent="0.25">
      <c r="T560" s="18"/>
    </row>
    <row r="561" spans="20:20" x14ac:dyDescent="0.25">
      <c r="T561" s="18"/>
    </row>
    <row r="562" spans="20:20" x14ac:dyDescent="0.25">
      <c r="T562" s="18"/>
    </row>
    <row r="563" spans="20:20" x14ac:dyDescent="0.25">
      <c r="T563" s="18"/>
    </row>
    <row r="564" spans="20:20" x14ac:dyDescent="0.25">
      <c r="T564" s="18"/>
    </row>
    <row r="565" spans="20:20" x14ac:dyDescent="0.25">
      <c r="T565" s="18"/>
    </row>
    <row r="566" spans="20:20" x14ac:dyDescent="0.25">
      <c r="T566" s="18"/>
    </row>
    <row r="567" spans="20:20" x14ac:dyDescent="0.25">
      <c r="T567" s="18"/>
    </row>
    <row r="568" spans="20:20" x14ac:dyDescent="0.25">
      <c r="T568" s="18"/>
    </row>
    <row r="569" spans="20:20" x14ac:dyDescent="0.25">
      <c r="T569" s="18"/>
    </row>
    <row r="570" spans="20:20" x14ac:dyDescent="0.25">
      <c r="T570" s="18"/>
    </row>
    <row r="571" spans="20:20" x14ac:dyDescent="0.25">
      <c r="T571" s="18"/>
    </row>
    <row r="572" spans="20:20" x14ac:dyDescent="0.25">
      <c r="T572" s="18"/>
    </row>
    <row r="573" spans="20:20" x14ac:dyDescent="0.25">
      <c r="T573" s="18"/>
    </row>
    <row r="574" spans="20:20" x14ac:dyDescent="0.25">
      <c r="T574" s="18"/>
    </row>
    <row r="575" spans="20:20" x14ac:dyDescent="0.25">
      <c r="T575" s="18"/>
    </row>
    <row r="576" spans="20:20" x14ac:dyDescent="0.25">
      <c r="T576" s="18"/>
    </row>
    <row r="577" spans="20:20" x14ac:dyDescent="0.25">
      <c r="T577" s="18"/>
    </row>
    <row r="578" spans="20:20" x14ac:dyDescent="0.25">
      <c r="T578" s="18"/>
    </row>
    <row r="579" spans="20:20" x14ac:dyDescent="0.25">
      <c r="T579" s="18"/>
    </row>
    <row r="580" spans="20:20" x14ac:dyDescent="0.25">
      <c r="T580" s="18"/>
    </row>
    <row r="581" spans="20:20" x14ac:dyDescent="0.25">
      <c r="T581" s="18"/>
    </row>
    <row r="582" spans="20:20" x14ac:dyDescent="0.25">
      <c r="T582" s="18"/>
    </row>
    <row r="583" spans="20:20" x14ac:dyDescent="0.25">
      <c r="T583" s="18"/>
    </row>
    <row r="584" spans="20:20" x14ac:dyDescent="0.25">
      <c r="T584" s="18"/>
    </row>
    <row r="585" spans="20:20" x14ac:dyDescent="0.25">
      <c r="T585" s="18"/>
    </row>
    <row r="586" spans="20:20" x14ac:dyDescent="0.25">
      <c r="T586" s="18"/>
    </row>
    <row r="587" spans="20:20" x14ac:dyDescent="0.25">
      <c r="T587" s="18"/>
    </row>
    <row r="588" spans="20:20" x14ac:dyDescent="0.25">
      <c r="T588" s="18"/>
    </row>
    <row r="589" spans="20:20" x14ac:dyDescent="0.25">
      <c r="T589" s="18"/>
    </row>
    <row r="590" spans="20:20" x14ac:dyDescent="0.25">
      <c r="T590" s="18"/>
    </row>
    <row r="591" spans="20:20" x14ac:dyDescent="0.25">
      <c r="T591" s="18"/>
    </row>
    <row r="592" spans="20:20" x14ac:dyDescent="0.25">
      <c r="T592" s="18"/>
    </row>
    <row r="593" spans="20:20" x14ac:dyDescent="0.25">
      <c r="T593" s="18"/>
    </row>
    <row r="594" spans="20:20" x14ac:dyDescent="0.25">
      <c r="T594" s="18"/>
    </row>
    <row r="595" spans="20:20" x14ac:dyDescent="0.25">
      <c r="T595" s="18"/>
    </row>
    <row r="596" spans="20:20" x14ac:dyDescent="0.25">
      <c r="T596" s="18"/>
    </row>
    <row r="597" spans="20:20" x14ac:dyDescent="0.25">
      <c r="T597" s="18"/>
    </row>
    <row r="598" spans="20:20" x14ac:dyDescent="0.25">
      <c r="T598" s="18"/>
    </row>
    <row r="599" spans="20:20" x14ac:dyDescent="0.25">
      <c r="T599" s="18"/>
    </row>
    <row r="600" spans="20:20" x14ac:dyDescent="0.25">
      <c r="T600" s="18"/>
    </row>
    <row r="601" spans="20:20" x14ac:dyDescent="0.25">
      <c r="T601" s="18"/>
    </row>
    <row r="602" spans="20:20" x14ac:dyDescent="0.25">
      <c r="T602" s="18"/>
    </row>
    <row r="603" spans="20:20" x14ac:dyDescent="0.25">
      <c r="T603" s="18"/>
    </row>
    <row r="604" spans="20:20" x14ac:dyDescent="0.25">
      <c r="T604" s="18"/>
    </row>
    <row r="605" spans="20:20" x14ac:dyDescent="0.25">
      <c r="T605" s="18"/>
    </row>
    <row r="606" spans="20:20" x14ac:dyDescent="0.25">
      <c r="T606" s="18"/>
    </row>
    <row r="607" spans="20:20" x14ac:dyDescent="0.25">
      <c r="T607" s="18"/>
    </row>
    <row r="608" spans="20:20" x14ac:dyDescent="0.25">
      <c r="T608" s="18"/>
    </row>
    <row r="609" spans="20:20" x14ac:dyDescent="0.25">
      <c r="T609" s="18"/>
    </row>
    <row r="610" spans="20:20" x14ac:dyDescent="0.25">
      <c r="T610" s="18"/>
    </row>
    <row r="611" spans="20:20" x14ac:dyDescent="0.25">
      <c r="T611" s="18"/>
    </row>
    <row r="612" spans="20:20" x14ac:dyDescent="0.25">
      <c r="T612" s="18"/>
    </row>
    <row r="613" spans="20:20" x14ac:dyDescent="0.25">
      <c r="T613" s="18"/>
    </row>
    <row r="614" spans="20:20" x14ac:dyDescent="0.25">
      <c r="T614" s="18"/>
    </row>
    <row r="615" spans="20:20" x14ac:dyDescent="0.25">
      <c r="T615" s="18"/>
    </row>
    <row r="616" spans="20:20" x14ac:dyDescent="0.25">
      <c r="T616" s="18"/>
    </row>
    <row r="617" spans="20:20" x14ac:dyDescent="0.25">
      <c r="T617" s="18"/>
    </row>
    <row r="618" spans="20:20" x14ac:dyDescent="0.25">
      <c r="T618" s="18"/>
    </row>
    <row r="619" spans="20:20" x14ac:dyDescent="0.25">
      <c r="T619" s="18"/>
    </row>
    <row r="620" spans="20:20" x14ac:dyDescent="0.25">
      <c r="T620" s="18"/>
    </row>
    <row r="621" spans="20:20" x14ac:dyDescent="0.25">
      <c r="T621" s="18"/>
    </row>
    <row r="622" spans="20:20" x14ac:dyDescent="0.25">
      <c r="T622" s="18"/>
    </row>
    <row r="623" spans="20:20" x14ac:dyDescent="0.25">
      <c r="T623" s="18"/>
    </row>
    <row r="624" spans="20:20" x14ac:dyDescent="0.25">
      <c r="T624" s="18"/>
    </row>
    <row r="625" spans="20:20" x14ac:dyDescent="0.25">
      <c r="T625" s="18"/>
    </row>
    <row r="626" spans="20:20" x14ac:dyDescent="0.25">
      <c r="T626" s="18"/>
    </row>
    <row r="627" spans="20:20" x14ac:dyDescent="0.25">
      <c r="T627" s="18"/>
    </row>
    <row r="628" spans="20:20" x14ac:dyDescent="0.25">
      <c r="T628" s="18"/>
    </row>
    <row r="629" spans="20:20" x14ac:dyDescent="0.25">
      <c r="T629" s="18"/>
    </row>
    <row r="630" spans="20:20" x14ac:dyDescent="0.25">
      <c r="T630" s="18"/>
    </row>
    <row r="631" spans="20:20" x14ac:dyDescent="0.25">
      <c r="T631" s="18"/>
    </row>
    <row r="632" spans="20:20" x14ac:dyDescent="0.25">
      <c r="T632" s="18"/>
    </row>
    <row r="633" spans="20:20" x14ac:dyDescent="0.25">
      <c r="T633" s="18"/>
    </row>
    <row r="634" spans="20:20" x14ac:dyDescent="0.25">
      <c r="T634" s="18"/>
    </row>
    <row r="635" spans="20:20" x14ac:dyDescent="0.25">
      <c r="T635" s="18"/>
    </row>
    <row r="636" spans="20:20" x14ac:dyDescent="0.25">
      <c r="T636" s="18"/>
    </row>
    <row r="637" spans="20:20" x14ac:dyDescent="0.25">
      <c r="T637" s="18"/>
    </row>
    <row r="638" spans="20:20" x14ac:dyDescent="0.25">
      <c r="T638" s="18"/>
    </row>
    <row r="639" spans="20:20" x14ac:dyDescent="0.25">
      <c r="T639" s="18"/>
    </row>
    <row r="640" spans="20:20" x14ac:dyDescent="0.25">
      <c r="T640" s="18"/>
    </row>
    <row r="641" spans="20:20" x14ac:dyDescent="0.25">
      <c r="T641" s="18"/>
    </row>
    <row r="642" spans="20:20" x14ac:dyDescent="0.25">
      <c r="T642" s="18"/>
    </row>
    <row r="643" spans="20:20" x14ac:dyDescent="0.25">
      <c r="T643" s="18"/>
    </row>
    <row r="644" spans="20:20" x14ac:dyDescent="0.25">
      <c r="T644" s="18"/>
    </row>
    <row r="645" spans="20:20" x14ac:dyDescent="0.25">
      <c r="T645" s="18"/>
    </row>
    <row r="646" spans="20:20" x14ac:dyDescent="0.25">
      <c r="T646" s="18"/>
    </row>
    <row r="647" spans="20:20" x14ac:dyDescent="0.25">
      <c r="T647" s="18"/>
    </row>
    <row r="648" spans="20:20" x14ac:dyDescent="0.25">
      <c r="T648" s="18"/>
    </row>
    <row r="649" spans="20:20" x14ac:dyDescent="0.25">
      <c r="T649" s="18"/>
    </row>
    <row r="650" spans="20:20" x14ac:dyDescent="0.25">
      <c r="T650" s="18"/>
    </row>
    <row r="651" spans="20:20" x14ac:dyDescent="0.25">
      <c r="T651" s="18"/>
    </row>
    <row r="652" spans="20:20" x14ac:dyDescent="0.25">
      <c r="T652" s="18"/>
    </row>
    <row r="653" spans="20:20" x14ac:dyDescent="0.25">
      <c r="T653" s="18"/>
    </row>
    <row r="654" spans="20:20" x14ac:dyDescent="0.25">
      <c r="T654" s="18"/>
    </row>
    <row r="655" spans="20:20" x14ac:dyDescent="0.25">
      <c r="T655" s="18"/>
    </row>
    <row r="656" spans="20:20" x14ac:dyDescent="0.25">
      <c r="T656" s="18"/>
    </row>
    <row r="657" spans="20:20" x14ac:dyDescent="0.25">
      <c r="T657" s="18"/>
    </row>
    <row r="658" spans="20:20" x14ac:dyDescent="0.25">
      <c r="T658" s="18"/>
    </row>
    <row r="659" spans="20:20" x14ac:dyDescent="0.25">
      <c r="T659" s="18"/>
    </row>
    <row r="660" spans="20:20" x14ac:dyDescent="0.25">
      <c r="T660" s="18"/>
    </row>
    <row r="661" spans="20:20" x14ac:dyDescent="0.25">
      <c r="T661" s="18"/>
    </row>
    <row r="662" spans="20:20" x14ac:dyDescent="0.25">
      <c r="T662" s="18"/>
    </row>
    <row r="663" spans="20:20" x14ac:dyDescent="0.25">
      <c r="T663" s="18"/>
    </row>
    <row r="664" spans="20:20" x14ac:dyDescent="0.25">
      <c r="T664" s="18"/>
    </row>
    <row r="665" spans="20:20" x14ac:dyDescent="0.25">
      <c r="T665" s="18"/>
    </row>
    <row r="666" spans="20:20" x14ac:dyDescent="0.25">
      <c r="T666" s="18"/>
    </row>
    <row r="667" spans="20:20" x14ac:dyDescent="0.25">
      <c r="T667" s="18"/>
    </row>
    <row r="668" spans="20:20" x14ac:dyDescent="0.25">
      <c r="T668" s="18"/>
    </row>
    <row r="669" spans="20:20" x14ac:dyDescent="0.25">
      <c r="T669" s="18"/>
    </row>
    <row r="670" spans="20:20" x14ac:dyDescent="0.25">
      <c r="T670" s="18"/>
    </row>
    <row r="671" spans="20:20" x14ac:dyDescent="0.25">
      <c r="T671" s="18"/>
    </row>
    <row r="672" spans="20:20" x14ac:dyDescent="0.25">
      <c r="T672" s="18"/>
    </row>
    <row r="673" spans="20:20" x14ac:dyDescent="0.25">
      <c r="T673" s="18"/>
    </row>
    <row r="674" spans="20:20" x14ac:dyDescent="0.25">
      <c r="T674" s="18"/>
    </row>
    <row r="675" spans="20:20" x14ac:dyDescent="0.25">
      <c r="T675" s="18"/>
    </row>
    <row r="676" spans="20:20" x14ac:dyDescent="0.25">
      <c r="T676" s="18"/>
    </row>
    <row r="677" spans="20:20" x14ac:dyDescent="0.25">
      <c r="T677" s="18"/>
    </row>
    <row r="678" spans="20:20" x14ac:dyDescent="0.25">
      <c r="T678" s="18"/>
    </row>
    <row r="679" spans="20:20" x14ac:dyDescent="0.25">
      <c r="T679" s="18"/>
    </row>
    <row r="680" spans="20:20" x14ac:dyDescent="0.25">
      <c r="T680" s="18"/>
    </row>
    <row r="681" spans="20:20" x14ac:dyDescent="0.25">
      <c r="T681" s="18"/>
    </row>
    <row r="682" spans="20:20" x14ac:dyDescent="0.25">
      <c r="T682" s="18"/>
    </row>
    <row r="683" spans="20:20" x14ac:dyDescent="0.25">
      <c r="T683" s="18"/>
    </row>
    <row r="684" spans="20:20" x14ac:dyDescent="0.25">
      <c r="T684" s="18"/>
    </row>
    <row r="685" spans="20:20" x14ac:dyDescent="0.25">
      <c r="T685" s="18"/>
    </row>
    <row r="686" spans="20:20" x14ac:dyDescent="0.25">
      <c r="T686" s="18"/>
    </row>
    <row r="687" spans="20:20" x14ac:dyDescent="0.25">
      <c r="T687" s="18"/>
    </row>
    <row r="688" spans="20:20" x14ac:dyDescent="0.25">
      <c r="T688" s="18"/>
    </row>
    <row r="689" spans="20:20" x14ac:dyDescent="0.25">
      <c r="T689" s="18"/>
    </row>
    <row r="690" spans="20:20" x14ac:dyDescent="0.25">
      <c r="T690" s="18"/>
    </row>
    <row r="691" spans="20:20" x14ac:dyDescent="0.25">
      <c r="T691" s="18"/>
    </row>
    <row r="692" spans="20:20" x14ac:dyDescent="0.25">
      <c r="T692" s="18"/>
    </row>
    <row r="693" spans="20:20" x14ac:dyDescent="0.25">
      <c r="T693" s="18"/>
    </row>
    <row r="694" spans="20:20" x14ac:dyDescent="0.25">
      <c r="T694" s="18"/>
    </row>
    <row r="695" spans="20:20" x14ac:dyDescent="0.25">
      <c r="T695" s="18"/>
    </row>
    <row r="696" spans="20:20" x14ac:dyDescent="0.25">
      <c r="T696" s="18"/>
    </row>
    <row r="697" spans="20:20" x14ac:dyDescent="0.25">
      <c r="T697" s="18"/>
    </row>
    <row r="698" spans="20:20" x14ac:dyDescent="0.25">
      <c r="T698" s="18"/>
    </row>
    <row r="699" spans="20:20" x14ac:dyDescent="0.25">
      <c r="T699" s="18"/>
    </row>
    <row r="700" spans="20:20" x14ac:dyDescent="0.25">
      <c r="T700" s="18"/>
    </row>
    <row r="701" spans="20:20" x14ac:dyDescent="0.25">
      <c r="T701" s="18"/>
    </row>
    <row r="702" spans="20:20" x14ac:dyDescent="0.25">
      <c r="T702" s="18"/>
    </row>
    <row r="703" spans="20:20" x14ac:dyDescent="0.25">
      <c r="T703" s="18"/>
    </row>
    <row r="704" spans="20:20" x14ac:dyDescent="0.25">
      <c r="T704" s="18"/>
    </row>
    <row r="705" spans="20:20" x14ac:dyDescent="0.25">
      <c r="T705" s="18"/>
    </row>
    <row r="706" spans="20:20" x14ac:dyDescent="0.25">
      <c r="T706" s="18"/>
    </row>
    <row r="707" spans="20:20" x14ac:dyDescent="0.25">
      <c r="T707" s="18"/>
    </row>
    <row r="708" spans="20:20" x14ac:dyDescent="0.25">
      <c r="T708" s="18"/>
    </row>
    <row r="709" spans="20:20" x14ac:dyDescent="0.25">
      <c r="T709" s="18"/>
    </row>
    <row r="710" spans="20:20" x14ac:dyDescent="0.25">
      <c r="T710" s="18"/>
    </row>
    <row r="711" spans="20:20" x14ac:dyDescent="0.25">
      <c r="T711" s="18"/>
    </row>
    <row r="712" spans="20:20" x14ac:dyDescent="0.25">
      <c r="T712" s="18"/>
    </row>
    <row r="713" spans="20:20" x14ac:dyDescent="0.25">
      <c r="T713" s="18"/>
    </row>
    <row r="714" spans="20:20" x14ac:dyDescent="0.25">
      <c r="T714" s="18"/>
    </row>
    <row r="715" spans="20:20" x14ac:dyDescent="0.25">
      <c r="T715" s="18"/>
    </row>
    <row r="716" spans="20:20" x14ac:dyDescent="0.25">
      <c r="T716" s="18"/>
    </row>
    <row r="717" spans="20:20" x14ac:dyDescent="0.25">
      <c r="T717" s="18"/>
    </row>
    <row r="718" spans="20:20" x14ac:dyDescent="0.25">
      <c r="T718" s="18"/>
    </row>
    <row r="719" spans="20:20" x14ac:dyDescent="0.25">
      <c r="T719" s="18"/>
    </row>
    <row r="720" spans="20:20" x14ac:dyDescent="0.25">
      <c r="T720" s="18"/>
    </row>
    <row r="721" spans="20:20" x14ac:dyDescent="0.25">
      <c r="T721" s="18"/>
    </row>
    <row r="722" spans="20:20" x14ac:dyDescent="0.25">
      <c r="T722" s="18"/>
    </row>
    <row r="723" spans="20:20" x14ac:dyDescent="0.25">
      <c r="T723" s="18"/>
    </row>
    <row r="724" spans="20:20" x14ac:dyDescent="0.25">
      <c r="T724" s="18"/>
    </row>
    <row r="725" spans="20:20" x14ac:dyDescent="0.25">
      <c r="T725" s="18"/>
    </row>
    <row r="726" spans="20:20" x14ac:dyDescent="0.25">
      <c r="T726" s="18"/>
    </row>
    <row r="727" spans="20:20" x14ac:dyDescent="0.25">
      <c r="T727" s="18"/>
    </row>
    <row r="728" spans="20:20" x14ac:dyDescent="0.25">
      <c r="T728" s="18"/>
    </row>
    <row r="729" spans="20:20" x14ac:dyDescent="0.25">
      <c r="T729" s="18"/>
    </row>
    <row r="730" spans="20:20" x14ac:dyDescent="0.25">
      <c r="T730" s="18"/>
    </row>
    <row r="731" spans="20:20" x14ac:dyDescent="0.25">
      <c r="T731" s="18"/>
    </row>
    <row r="732" spans="20:20" x14ac:dyDescent="0.25">
      <c r="T732" s="18"/>
    </row>
    <row r="733" spans="20:20" x14ac:dyDescent="0.25">
      <c r="T733" s="18"/>
    </row>
    <row r="734" spans="20:20" x14ac:dyDescent="0.25">
      <c r="T734" s="18"/>
    </row>
    <row r="735" spans="20:20" x14ac:dyDescent="0.25">
      <c r="T735" s="18"/>
    </row>
    <row r="736" spans="20:20" x14ac:dyDescent="0.25">
      <c r="T736" s="18"/>
    </row>
    <row r="737" spans="20:20" x14ac:dyDescent="0.25">
      <c r="T737" s="18"/>
    </row>
    <row r="738" spans="20:20" x14ac:dyDescent="0.25">
      <c r="T738" s="18"/>
    </row>
    <row r="739" spans="20:20" x14ac:dyDescent="0.25">
      <c r="T739" s="18"/>
    </row>
    <row r="740" spans="20:20" x14ac:dyDescent="0.25">
      <c r="T740" s="18"/>
    </row>
    <row r="741" spans="20:20" x14ac:dyDescent="0.25">
      <c r="T741" s="18"/>
    </row>
    <row r="742" spans="20:20" x14ac:dyDescent="0.25">
      <c r="T742" s="18"/>
    </row>
    <row r="743" spans="20:20" x14ac:dyDescent="0.25">
      <c r="T743" s="18"/>
    </row>
    <row r="744" spans="20:20" x14ac:dyDescent="0.25">
      <c r="T744" s="18"/>
    </row>
    <row r="745" spans="20:20" x14ac:dyDescent="0.25">
      <c r="T745" s="18"/>
    </row>
    <row r="746" spans="20:20" x14ac:dyDescent="0.25">
      <c r="T746" s="18"/>
    </row>
    <row r="747" spans="20:20" x14ac:dyDescent="0.25">
      <c r="T747" s="18"/>
    </row>
    <row r="748" spans="20:20" x14ac:dyDescent="0.25">
      <c r="T748" s="18"/>
    </row>
    <row r="749" spans="20:20" x14ac:dyDescent="0.25">
      <c r="T749" s="18"/>
    </row>
    <row r="750" spans="20:20" x14ac:dyDescent="0.25">
      <c r="T750" s="18"/>
    </row>
    <row r="751" spans="20:20" x14ac:dyDescent="0.25">
      <c r="T751" s="18"/>
    </row>
    <row r="752" spans="20:20" x14ac:dyDescent="0.25">
      <c r="T752" s="18"/>
    </row>
    <row r="753" spans="20:20" x14ac:dyDescent="0.25">
      <c r="T753" s="18"/>
    </row>
    <row r="754" spans="20:20" x14ac:dyDescent="0.25">
      <c r="T754" s="18"/>
    </row>
    <row r="755" spans="20:20" x14ac:dyDescent="0.25">
      <c r="T755" s="18"/>
    </row>
    <row r="756" spans="20:20" x14ac:dyDescent="0.25">
      <c r="T756" s="18"/>
    </row>
    <row r="757" spans="20:20" x14ac:dyDescent="0.25">
      <c r="T757" s="18"/>
    </row>
    <row r="758" spans="20:20" x14ac:dyDescent="0.25">
      <c r="T758" s="18"/>
    </row>
    <row r="759" spans="20:20" x14ac:dyDescent="0.25">
      <c r="T759" s="18"/>
    </row>
    <row r="760" spans="20:20" x14ac:dyDescent="0.25">
      <c r="T760" s="18"/>
    </row>
    <row r="761" spans="20:20" x14ac:dyDescent="0.25">
      <c r="T761" s="18"/>
    </row>
    <row r="762" spans="20:20" x14ac:dyDescent="0.25">
      <c r="T762" s="18"/>
    </row>
    <row r="763" spans="20:20" x14ac:dyDescent="0.25">
      <c r="T763" s="18"/>
    </row>
    <row r="764" spans="20:20" x14ac:dyDescent="0.25">
      <c r="T764" s="18"/>
    </row>
    <row r="765" spans="20:20" x14ac:dyDescent="0.25">
      <c r="T765" s="18"/>
    </row>
    <row r="766" spans="20:20" x14ac:dyDescent="0.25">
      <c r="T766" s="18"/>
    </row>
    <row r="767" spans="20:20" x14ac:dyDescent="0.25">
      <c r="T767" s="18"/>
    </row>
    <row r="768" spans="20:20" x14ac:dyDescent="0.25">
      <c r="T768" s="18"/>
    </row>
    <row r="769" spans="20:20" x14ac:dyDescent="0.25">
      <c r="T769" s="18"/>
    </row>
    <row r="770" spans="20:20" x14ac:dyDescent="0.25">
      <c r="T770" s="18"/>
    </row>
    <row r="771" spans="20:20" x14ac:dyDescent="0.25">
      <c r="T771" s="18"/>
    </row>
    <row r="772" spans="20:20" x14ac:dyDescent="0.25">
      <c r="T772" s="18"/>
    </row>
    <row r="773" spans="20:20" x14ac:dyDescent="0.25">
      <c r="T773" s="18"/>
    </row>
    <row r="774" spans="20:20" x14ac:dyDescent="0.25">
      <c r="T774" s="18"/>
    </row>
    <row r="775" spans="20:20" x14ac:dyDescent="0.25">
      <c r="T775" s="18"/>
    </row>
    <row r="776" spans="20:20" x14ac:dyDescent="0.25">
      <c r="T776" s="18"/>
    </row>
    <row r="777" spans="20:20" x14ac:dyDescent="0.25">
      <c r="T777" s="18"/>
    </row>
    <row r="778" spans="20:20" x14ac:dyDescent="0.25">
      <c r="T778" s="18"/>
    </row>
    <row r="779" spans="20:20" x14ac:dyDescent="0.25">
      <c r="T779" s="18"/>
    </row>
    <row r="780" spans="20:20" x14ac:dyDescent="0.25">
      <c r="T780" s="18"/>
    </row>
    <row r="781" spans="20:20" x14ac:dyDescent="0.25">
      <c r="T781" s="18"/>
    </row>
    <row r="782" spans="20:20" x14ac:dyDescent="0.25">
      <c r="T782" s="18"/>
    </row>
    <row r="783" spans="20:20" x14ac:dyDescent="0.25">
      <c r="T783" s="18"/>
    </row>
    <row r="784" spans="20:20" x14ac:dyDescent="0.25">
      <c r="T784" s="18"/>
    </row>
    <row r="785" spans="20:20" x14ac:dyDescent="0.25">
      <c r="T785" s="18"/>
    </row>
    <row r="786" spans="20:20" x14ac:dyDescent="0.25">
      <c r="T786" s="18"/>
    </row>
    <row r="787" spans="20:20" x14ac:dyDescent="0.25">
      <c r="T787" s="18"/>
    </row>
    <row r="788" spans="20:20" x14ac:dyDescent="0.25">
      <c r="T788" s="18"/>
    </row>
    <row r="789" spans="20:20" x14ac:dyDescent="0.25">
      <c r="T789" s="18"/>
    </row>
    <row r="790" spans="20:20" x14ac:dyDescent="0.25">
      <c r="T790" s="18"/>
    </row>
    <row r="791" spans="20:20" x14ac:dyDescent="0.25">
      <c r="T791" s="18"/>
    </row>
    <row r="792" spans="20:20" x14ac:dyDescent="0.25">
      <c r="T792" s="18"/>
    </row>
    <row r="793" spans="20:20" x14ac:dyDescent="0.25">
      <c r="T793" s="18"/>
    </row>
    <row r="794" spans="20:20" x14ac:dyDescent="0.25">
      <c r="T794" s="18"/>
    </row>
    <row r="795" spans="20:20" x14ac:dyDescent="0.25">
      <c r="T795" s="18"/>
    </row>
    <row r="796" spans="20:20" x14ac:dyDescent="0.25">
      <c r="T796" s="18"/>
    </row>
    <row r="797" spans="20:20" x14ac:dyDescent="0.25">
      <c r="T797" s="18"/>
    </row>
    <row r="798" spans="20:20" x14ac:dyDescent="0.25">
      <c r="T798" s="18"/>
    </row>
    <row r="799" spans="20:20" x14ac:dyDescent="0.25">
      <c r="T799" s="18"/>
    </row>
    <row r="800" spans="20:20" x14ac:dyDescent="0.25">
      <c r="T800" s="18"/>
    </row>
    <row r="801" spans="20:20" x14ac:dyDescent="0.25">
      <c r="T801" s="18"/>
    </row>
    <row r="802" spans="20:20" x14ac:dyDescent="0.25">
      <c r="T802" s="18"/>
    </row>
    <row r="803" spans="20:20" x14ac:dyDescent="0.25">
      <c r="T803" s="18"/>
    </row>
    <row r="804" spans="20:20" x14ac:dyDescent="0.25">
      <c r="T804" s="18"/>
    </row>
    <row r="805" spans="20:20" x14ac:dyDescent="0.25">
      <c r="T805" s="18"/>
    </row>
    <row r="806" spans="20:20" x14ac:dyDescent="0.25">
      <c r="T806" s="18"/>
    </row>
    <row r="807" spans="20:20" x14ac:dyDescent="0.25">
      <c r="T807" s="18"/>
    </row>
    <row r="808" spans="20:20" x14ac:dyDescent="0.25">
      <c r="T808" s="18"/>
    </row>
    <row r="809" spans="20:20" x14ac:dyDescent="0.25">
      <c r="T809" s="18"/>
    </row>
    <row r="810" spans="20:20" x14ac:dyDescent="0.25">
      <c r="T810" s="18"/>
    </row>
    <row r="811" spans="20:20" x14ac:dyDescent="0.25">
      <c r="T811" s="18"/>
    </row>
    <row r="812" spans="20:20" x14ac:dyDescent="0.25">
      <c r="T812" s="18"/>
    </row>
    <row r="813" spans="20:20" x14ac:dyDescent="0.25">
      <c r="T813" s="18"/>
    </row>
    <row r="814" spans="20:20" x14ac:dyDescent="0.25">
      <c r="T814" s="18"/>
    </row>
    <row r="815" spans="20:20" x14ac:dyDescent="0.25">
      <c r="T815" s="18"/>
    </row>
    <row r="816" spans="20:20" x14ac:dyDescent="0.25">
      <c r="T816" s="18"/>
    </row>
    <row r="817" spans="20:20" x14ac:dyDescent="0.25">
      <c r="T817" s="18"/>
    </row>
    <row r="818" spans="20:20" x14ac:dyDescent="0.25">
      <c r="T818" s="18"/>
    </row>
    <row r="819" spans="20:20" x14ac:dyDescent="0.25">
      <c r="T819" s="18"/>
    </row>
    <row r="820" spans="20:20" x14ac:dyDescent="0.25">
      <c r="T820" s="18"/>
    </row>
    <row r="821" spans="20:20" x14ac:dyDescent="0.25">
      <c r="T821" s="18"/>
    </row>
    <row r="822" spans="20:20" x14ac:dyDescent="0.25">
      <c r="T822" s="18"/>
    </row>
    <row r="823" spans="20:20" x14ac:dyDescent="0.25">
      <c r="T823" s="18"/>
    </row>
    <row r="824" spans="20:20" x14ac:dyDescent="0.25">
      <c r="T824" s="18"/>
    </row>
    <row r="825" spans="20:20" x14ac:dyDescent="0.25">
      <c r="T825" s="18"/>
    </row>
    <row r="826" spans="20:20" x14ac:dyDescent="0.25">
      <c r="T826" s="18"/>
    </row>
    <row r="827" spans="20:20" x14ac:dyDescent="0.25">
      <c r="T827" s="18"/>
    </row>
    <row r="828" spans="20:20" x14ac:dyDescent="0.25">
      <c r="T828" s="18"/>
    </row>
    <row r="829" spans="20:20" x14ac:dyDescent="0.25">
      <c r="T829" s="18"/>
    </row>
    <row r="830" spans="20:20" x14ac:dyDescent="0.25">
      <c r="T830" s="18"/>
    </row>
    <row r="831" spans="20:20" x14ac:dyDescent="0.25">
      <c r="T831" s="18"/>
    </row>
    <row r="832" spans="20:20" x14ac:dyDescent="0.25">
      <c r="T832" s="18"/>
    </row>
    <row r="833" spans="20:20" x14ac:dyDescent="0.25">
      <c r="T833" s="18"/>
    </row>
    <row r="834" spans="20:20" x14ac:dyDescent="0.25">
      <c r="T834" s="18"/>
    </row>
    <row r="835" spans="20:20" x14ac:dyDescent="0.25">
      <c r="T835" s="18"/>
    </row>
    <row r="836" spans="20:20" x14ac:dyDescent="0.25">
      <c r="T836" s="18"/>
    </row>
    <row r="837" spans="20:20" x14ac:dyDescent="0.25">
      <c r="T837" s="18"/>
    </row>
    <row r="838" spans="20:20" x14ac:dyDescent="0.25">
      <c r="T838" s="18"/>
    </row>
    <row r="839" spans="20:20" x14ac:dyDescent="0.25">
      <c r="T839" s="18"/>
    </row>
    <row r="840" spans="20:20" x14ac:dyDescent="0.25">
      <c r="T840" s="18"/>
    </row>
    <row r="841" spans="20:20" x14ac:dyDescent="0.25">
      <c r="T841" s="18"/>
    </row>
    <row r="842" spans="20:20" x14ac:dyDescent="0.25">
      <c r="T842" s="18"/>
    </row>
    <row r="843" spans="20:20" x14ac:dyDescent="0.25">
      <c r="T843" s="18"/>
    </row>
    <row r="844" spans="20:20" x14ac:dyDescent="0.25">
      <c r="T844" s="18"/>
    </row>
    <row r="845" spans="20:20" x14ac:dyDescent="0.25">
      <c r="T845" s="18"/>
    </row>
    <row r="846" spans="20:20" x14ac:dyDescent="0.25">
      <c r="T846" s="18"/>
    </row>
    <row r="847" spans="20:20" x14ac:dyDescent="0.25">
      <c r="T847" s="18"/>
    </row>
    <row r="848" spans="20:20" x14ac:dyDescent="0.25">
      <c r="T848" s="18"/>
    </row>
    <row r="849" spans="20:20" x14ac:dyDescent="0.25">
      <c r="T849" s="18"/>
    </row>
    <row r="850" spans="20:20" x14ac:dyDescent="0.25">
      <c r="T850" s="18"/>
    </row>
    <row r="851" spans="20:20" x14ac:dyDescent="0.25">
      <c r="T851" s="18"/>
    </row>
    <row r="852" spans="20:20" x14ac:dyDescent="0.25">
      <c r="T852" s="18"/>
    </row>
    <row r="853" spans="20:20" x14ac:dyDescent="0.25">
      <c r="T853" s="18"/>
    </row>
    <row r="854" spans="20:20" x14ac:dyDescent="0.25">
      <c r="T854" s="18"/>
    </row>
    <row r="855" spans="20:20" x14ac:dyDescent="0.25">
      <c r="T855" s="18"/>
    </row>
    <row r="856" spans="20:20" x14ac:dyDescent="0.25">
      <c r="T856" s="18"/>
    </row>
    <row r="857" spans="20:20" x14ac:dyDescent="0.25">
      <c r="T857" s="18"/>
    </row>
    <row r="858" spans="20:20" x14ac:dyDescent="0.25">
      <c r="T858" s="18"/>
    </row>
    <row r="859" spans="20:20" x14ac:dyDescent="0.25">
      <c r="T859" s="18"/>
    </row>
    <row r="860" spans="20:20" x14ac:dyDescent="0.25">
      <c r="T860" s="18"/>
    </row>
    <row r="861" spans="20:20" x14ac:dyDescent="0.25">
      <c r="T861" s="18"/>
    </row>
    <row r="862" spans="20:20" x14ac:dyDescent="0.25">
      <c r="T862" s="18"/>
    </row>
    <row r="863" spans="20:20" x14ac:dyDescent="0.25">
      <c r="T863" s="18"/>
    </row>
    <row r="864" spans="20:20" x14ac:dyDescent="0.25">
      <c r="T864" s="18"/>
    </row>
    <row r="865" spans="20:20" x14ac:dyDescent="0.25">
      <c r="T865" s="18"/>
    </row>
    <row r="866" spans="20:20" x14ac:dyDescent="0.25">
      <c r="T866" s="18"/>
    </row>
    <row r="867" spans="20:20" x14ac:dyDescent="0.25">
      <c r="T867" s="18"/>
    </row>
    <row r="868" spans="20:20" x14ac:dyDescent="0.25">
      <c r="T868" s="18"/>
    </row>
    <row r="869" spans="20:20" x14ac:dyDescent="0.25">
      <c r="T869" s="18"/>
    </row>
    <row r="870" spans="20:20" x14ac:dyDescent="0.25">
      <c r="T870" s="18"/>
    </row>
    <row r="871" spans="20:20" x14ac:dyDescent="0.25">
      <c r="T871" s="18"/>
    </row>
    <row r="872" spans="20:20" x14ac:dyDescent="0.25">
      <c r="T872" s="18"/>
    </row>
    <row r="873" spans="20:20" x14ac:dyDescent="0.25">
      <c r="T873" s="18"/>
    </row>
    <row r="874" spans="20:20" x14ac:dyDescent="0.25">
      <c r="T874" s="18"/>
    </row>
    <row r="875" spans="20:20" x14ac:dyDescent="0.25">
      <c r="T875" s="18"/>
    </row>
    <row r="876" spans="20:20" x14ac:dyDescent="0.25">
      <c r="T876" s="18"/>
    </row>
    <row r="877" spans="20:20" x14ac:dyDescent="0.25">
      <c r="T877" s="18"/>
    </row>
    <row r="878" spans="20:20" x14ac:dyDescent="0.25">
      <c r="T878" s="18"/>
    </row>
    <row r="879" spans="20:20" x14ac:dyDescent="0.25">
      <c r="T879" s="18"/>
    </row>
    <row r="880" spans="20:20" x14ac:dyDescent="0.25">
      <c r="T880" s="18"/>
    </row>
    <row r="881" spans="20:20" x14ac:dyDescent="0.25">
      <c r="T881" s="18"/>
    </row>
    <row r="882" spans="20:20" x14ac:dyDescent="0.25">
      <c r="T882" s="18"/>
    </row>
  </sheetData>
  <pageMargins left="0.7" right="0.7" top="0.75" bottom="0.75" header="0.3" footer="0.3"/>
  <tableParts count="17">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2F915C5-DA41-4F0C-89C0-1B4335E045F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1.CustomerDetail</vt:lpstr>
      <vt:lpstr>2.AddressInformation</vt:lpstr>
      <vt:lpstr>3.ContactInformation</vt:lpstr>
      <vt:lpstr>4.FinancialData</vt:lpstr>
      <vt:lpstr>5.CustomerAsset</vt:lpstr>
      <vt:lpstr>6.LegalDocument</vt:lpstr>
      <vt:lpstr>7.OtherAttribute</vt:lpstr>
      <vt:lpstr>Master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Fendy Tio</dc:creator>
  <cp:lastModifiedBy>Fendy Tio</cp:lastModifiedBy>
  <cp:lastPrinted>2022-05-18T07:35:58Z</cp:lastPrinted>
  <dcterms:created xsi:type="dcterms:W3CDTF">2022-05-18T03:15:26Z</dcterms:created>
  <dcterms:modified xsi:type="dcterms:W3CDTF">2022-09-13T08:56:09Z</dcterms:modified>
</cp:coreProperties>
</file>