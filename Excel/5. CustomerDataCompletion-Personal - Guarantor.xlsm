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3" l="1" r="B186"/>
  <c i="3" r="B181"/>
  <c i="3" r="B175"/>
  <c i="3" r="E95"/>
  <c i="3" r="D95"/>
  <c i="3" r="C95"/>
  <c i="3" r="B95"/>
  <c i="3" r="E91"/>
  <c i="3" r="D91"/>
  <c i="3" r="C91"/>
  <c i="3" r="B91"/>
  <c i="1" l="1" r="E2"/>
  <c i="1" r="D2"/>
  <c i="1" r="C2"/>
  <c i="1" r="B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123" shapeId="0">
      <text>
        <r>
          <rPr>
            <b/>
            <sz val="9"/>
            <color indexed="81"/>
            <rFont val="Tahoma"/>
            <family val="2"/>
          </rPr>
          <t>Jeremy Andreas:</t>
        </r>
        <r>
          <rPr>
            <sz val="9"/>
            <color indexed="81"/>
            <rFont val="Tahoma"/>
            <family val="2"/>
          </rPr>
          <t xml:space="preserve">
Format MM/DD/YYYY</t>
        </r>
      </text>
    </comment>
    <comment authorId="0" ref="A150" shapeId="0">
      <text>
        <r>
          <rPr>
            <b/>
            <sz val="9"/>
            <color indexed="81"/>
            <rFont val="Tahoma"/>
            <family val="2"/>
          </rPr>
          <t>Jeremy Andreas:</t>
        </r>
        <r>
          <rPr>
            <sz val="9"/>
            <color indexed="81"/>
            <rFont val="Tahoma"/>
            <family val="2"/>
          </rPr>
          <t xml:space="preserve">
Format MM/DD/YYYY</t>
        </r>
      </text>
    </comment>
    <comment authorId="0" ref="A216" shapeId="0">
      <text>
        <r>
          <rPr>
            <b/>
            <sz val="9"/>
            <color indexed="81"/>
            <rFont val="Tahoma"/>
            <family val="2"/>
          </rPr>
          <t>Jeremy Andreas:</t>
        </r>
        <r>
          <rPr>
            <sz val="9"/>
            <color indexed="81"/>
            <rFont val="Tahoma"/>
            <family val="2"/>
          </rPr>
          <t xml:space="preserve">
Format MM/DD/YYYY</t>
        </r>
      </text>
    </comment>
    <comment authorId="0" ref="A24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<sst xmlns="http://schemas.openxmlformats.org/spreadsheetml/2006/main" count="5285" uniqueCount="4173">
  <si>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</si>
  <si>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</si>
  <si>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</si>
  <si>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</si>
  <si>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</si>
  <si>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</si>
  <si>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</si>
  <si>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</si>
  <si>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</si>
  <si>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</si>
  <si>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</si>
  <si>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</si>
  <si>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</si>
  <si>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</si>
  <si>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</si>
  <si>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</si>
  <si>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</si>
  <si>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</si>
  <si>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</si>
  <si>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</si>
  <si>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</si>
  <si>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</si>
  <si>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</si>
  <si>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</si>
  <si>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</si>
  <si>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</si>
  <si>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</si>
  <si>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</si>
  <si>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</si>
  <si>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</si>
  <si>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</si>
  <si>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</si>
  <si>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</si>
  <si>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</si>
  <si>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</si>
  <si>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</si>
  <si>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</si>
  <si>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</si>
  <si>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</si>
  <si>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</si>
  <si>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</si>
  <si>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</si>
  <si>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</si>
  <si>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</si>
  <si>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</si>
  <si>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</si>
  <si>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</si>
  <si>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</si>
  <si>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</si>
  <si>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</si>
  <si>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</si>
  <si>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</si>
  <si>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</si>
  <si>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</si>
  <si>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</si>
  <si>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</si>
  <si>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</si>
  <si>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</si>
  <si>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</si>
  <si>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</si>
  <si>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</si>
  <si>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</si>
  <si>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</si>
  <si>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</si>
  <si>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</si>
  <si>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</si>
  <si>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</si>
  <si>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</si>
  <si>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</si>
  <si>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</si>
  <si>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</si>
  <si>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</si>
  <si>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</si>
  <si>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</si>
  <si>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</si>
  <si>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</si>
  <si>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</si>
  <si>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</si>
  <si>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</si>
  <si>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</si>
  <si>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</si>
  <si>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</si>
  <si>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</si>
  <si>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</si>
  <si>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</si>
  <si>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</si>
  <si>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</si>
  <si>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</si>
  <si>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</si>
  <si>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</si>
  <si>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</si>
  <si>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</si>
  <si>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</si>
  <si>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</si>
  <si>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</si>
  <si>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</si>
  <si>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</si>
  <si>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</si>
  <si>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</si>
  <si>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</si>
  <si>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</si>
  <si>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</si>
  <si>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</si>
  <si>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</si>
  <si>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</si>
  <si>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</si>
  <si>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</si>
  <si>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</si>
  <si>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</si>
  <si>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</si>
  <si>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</si>
  <si>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</si>
  <si>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</si>
  <si>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</si>
  <si>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</si>
  <si>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</si>
  <si>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</si>
  <si>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</si>
  <si>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</si>
  <si>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</si>
  <si>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</si>
  <si>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</si>
  <si>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</si>
  <si>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</si>
  <si>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</si>
  <si>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</si>
  <si>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</si>
  <si>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</si>
  <si>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</si>
  <si>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</si>
  <si>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</si>
  <si>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</si>
  <si>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</si>
  <si>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</si>
  <si>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</si>
  <si>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</si>
  <si>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</si>
  <si>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</si>
  <si>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</si>
  <si>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</si>
  <si>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</si>
  <si>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</si>
  <si>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</si>
  <si>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</si>
  <si>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</si>
  <si>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</si>
  <si>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</si>
  <si>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</si>
  <si>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</si>
  <si>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</si>
  <si>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</si>
  <si>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</si>
  <si>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</si>
  <si>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</si>
  <si>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</si>
  <si>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</si>
  <si>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</si>
  <si>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</si>
  <si>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</si>
  <si>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</si>
  <si>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</si>
  <si>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</si>
  <si>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</si>
  <si>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</si>
  <si>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</si>
  <si>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</si>
  <si>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</si>
  <si>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</si>
  <si>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</si>
  <si>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</si>
  <si>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</si>
  <si>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</si>
  <si>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</si>
  <si>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</si>
  <si>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</si>
  <si>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</si>
  <si>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</si>
  <si>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</si>
  <si>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</si>
  <si>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</si>
  <si>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</si>
  <si>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</si>
  <si>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</si>
  <si>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</si>
  <si>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</si>
  <si>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</si>
  <si>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</si>
  <si>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</si>
  <si>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</si>
  <si>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</si>
  <si>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</si>
  <si>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</si>
  <si>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</si>
  <si>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</si>
  <si>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</si>
  <si>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</si>
  <si>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</si>
  <si>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</si>
  <si>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</si>
  <si>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</si>
  <si>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</si>
  <si>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</si>
  <si>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</si>
  <si>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</si>
  <si>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</si>
  <si>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</si>
  <si>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</si>
  <si>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</si>
  <si>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</si>
  <si>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</si>
  <si>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</si>
  <si>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</si>
  <si>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</si>
  <si>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</si>
  <si>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</si>
  <si>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</si>
  <si>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</si>
  <si>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</si>
  <si>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</si>
  <si>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</si>
  <si>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</si>
  <si>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</si>
  <si>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</si>
  <si>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</si>
  <si>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</si>
  <si>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</si>
  <si>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</si>
  <si>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</si>
  <si>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</si>
  <si>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</si>
  <si>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</si>
  <si>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</si>
  <si>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</si>
  <si>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</si>
  <si>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</si>
  <si>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</si>
  <si>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</si>
  <si>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</si>
  <si>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</si>
  <si>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</si>
  <si>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</si>
  <si>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</si>
  <si>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</si>
  <si>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</si>
  <si>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</si>
  <si>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</si>
  <si>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</si>
  <si>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</si>
  <si>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</si>
  <si>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</si>
  <si>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</si>
  <si>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</si>
  <si>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</si>
  <si>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</si>
  <si>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</si>
  <si>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</si>
  <si>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</si>
  <si>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</si>
  <si>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</si>
  <si>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</si>
  <si>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</si>
  <si>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</si>
  <si>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</si>
  <si>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</si>
  <si>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</si>
  <si>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</si>
  <si>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</si>
  <si>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</si>
  <si>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</si>
  <si>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</si>
  <si>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</si>
  <si>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</si>
  <si>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</si>
  <si>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</si>
  <si>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</si>
  <si>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</si>
  <si>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</si>
  <si>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</si>
  <si>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</si>
  <si>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</si>
  <si>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</si>
  <si>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</si>
  <si>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</si>
  <si>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</si>
  <si>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</si>
  <si>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</si>
  <si>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</si>
  <si>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</si>
  <si>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</si>
  <si>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</si>
  <si>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</si>
  <si>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</si>
  <si>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</si>
  <si>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</si>
  <si>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</si>
  <si>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</si>
  <si>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</si>
  <si>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</si>
  <si>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</si>
  <si>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</si>
  <si>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</si>
  <si>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</si>
  <si>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</si>
  <si>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</si>
  <si>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</si>
  <si>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</si>
  <si>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</si>
  <si>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</si>
  <si>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</si>
  <si>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</si>
  <si>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</si>
  <si>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</si>
  <si>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</si>
  <si>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</si>
  <si>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</si>
  <si>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</si>
  <si>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</si>
  <si>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</si>
  <si>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</si>
  <si>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</si>
  <si>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</si>
  <si>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</si>
  <si>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</si>
  <si>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</si>
  <si>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</si>
  <si>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</si>
  <si>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</si>
  <si>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</si>
  <si>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</si>
  <si>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</si>
  <si>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</si>
  <si>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</si>
  <si>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</si>
  <si>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</si>
  <si>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</si>
  <si>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</si>
  <si>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</si>
  <si>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</si>
  <si>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</si>
  <si>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</si>
  <si>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</si>
  <si>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</si>
  <si>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</si>
  <si>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</si>
  <si>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</si>
  <si>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</si>
  <si>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</si>
  <si>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</si>
  <si>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</si>
  <si>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</si>
  <si>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</si>
  <si>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</si>
  <si>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</si>
  <si>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</si>
  <si>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</si>
  <si>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</si>
  <si>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</si>
  <si>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</si>
  <si>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</si>
  <si>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</si>
  <si>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</si>
  <si>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</si>
  <si>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</si>
  <si>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</si>
  <si>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</si>
  <si>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</si>
  <si>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</si>
  <si>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</si>
  <si>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</si>
  <si>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</si>
  <si>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</si>
  <si>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</si>
  <si>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</si>
  <si>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</si>
  <si>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</si>
  <si>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</si>
  <si>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</si>
  <si>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</si>
  <si>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</si>
  <si>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</si>
  <si>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</si>
  <si>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</si>
  <si>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</si>
  <si>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</si>
  <si>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</si>
  <si>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</si>
  <si>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</si>
  <si>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</si>
  <si>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</si>
  <si>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</si>
  <si>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</si>
  <si>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</si>
  <si>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</si>
  <si>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</si>
  <si>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</si>
  <si>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</si>
  <si>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</si>
  <si>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</si>
  <si>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</si>
  <si>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</si>
  <si>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</si>
  <si>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</si>
  <si>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</si>
  <si>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</si>
  <si>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</si>
  <si>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</si>
  <si>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</si>
  <si>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</si>
  <si>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</si>
  <si>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</si>
  <si>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</si>
  <si>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</si>
  <si>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</si>
  <si>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</si>
  <si>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</si>
  <si>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</si>
  <si>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</si>
  <si>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</si>
  <si>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</si>
  <si>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</si>
  <si>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</si>
  <si>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</si>
  <si>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</si>
  <si>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</si>
  <si>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</si>
  <si>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</si>
  <si>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</si>
  <si>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</si>
  <si>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</si>
  <si>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</si>
  <si>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</si>
  <si>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</si>
  <si>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</si>
  <si>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</si>
  <si>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</si>
  <si>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</si>
  <si>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</si>
  <si>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</si>
  <si>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</si>
  <si>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</si>
  <si>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</si>
  <si>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</si>
  <si>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</si>
  <si>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</si>
  <si>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</si>
  <si>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</si>
  <si>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</si>
  <si>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</si>
  <si>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</si>
  <si>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</si>
  <si>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</si>
  <si>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</si>
  <si>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</si>
  <si>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</si>
  <si>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</si>
  <si>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</si>
  <si>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</si>
  <si>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</si>
  <si>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</si>
  <si>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</si>
  <si>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</si>
  <si>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</si>
  <si>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</si>
  <si>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</si>
  <si>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</si>
  <si>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</si>
  <si>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</si>
  <si>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</si>
  <si>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</si>
  <si>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</si>
  <si>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</si>
  <si>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</si>
  <si>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</si>
  <si>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</si>
  <si>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</si>
  <si>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</si>
  <si>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</si>
  <si>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</si>
  <si>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</si>
  <si>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</si>
  <si>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</si>
  <si>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</si>
  <si>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</si>
  <si>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</si>
  <si>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</si>
  <si>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</si>
  <si>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</si>
  <si>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</si>
  <si>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</si>
  <si>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</si>
  <si>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</si>
  <si>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</si>
  <si>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</si>
  <si>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</si>
  <si>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</si>
  <si>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</si>
  <si>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</si>
  <si>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</si>
  <si>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</si>
  <si>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</si>
  <si>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</si>
  <si>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</si>
  <si>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</si>
  <si>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</si>
  <si>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</si>
  <si>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</si>
  <si>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</si>
  <si>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</si>
  <si>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</si>
  <si>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</si>
  <si>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</si>
  <si>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</si>
  <si>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</si>
  <si>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</si>
  <si>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</si>
  <si>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</si>
  <si>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</si>
  <si>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</si>
  <si>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</si>
  <si>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</si>
  <si>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</si>
  <si>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</si>
  <si>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</si>
  <si>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</si>
  <si>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</si>
  <si>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</si>
  <si>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</si>
  <si>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</si>
  <si>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</si>
  <si>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</si>
  <si>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</si>
  <si>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</si>
  <si>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</si>
  <si>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</si>
  <si>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</si>
  <si>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</si>
  <si>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</si>
  <si>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</si>
  <si>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</si>
  <si>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</si>
  <si>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</si>
  <si>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</si>
  <si>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</si>
  <si>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</si>
  <si>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</si>
  <si>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</si>
  <si>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</si>
  <si>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</si>
  <si>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</si>
  <si>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</si>
  <si>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</si>
  <si>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</si>
  <si>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</si>
  <si>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</si>
  <si>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</si>
  <si>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</si>
  <si>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</si>
  <si>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</si>
  <si>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</si>
  <si>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</si>
  <si>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</si>
  <si>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</si>
  <si>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</si>
  <si>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</si>
  <si>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</si>
  <si>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</si>
  <si>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</si>
  <si>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</si>
  <si>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</si>
  <si>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</si>
  <si>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</si>
  <si>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</si>
  <si>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</si>
  <si>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</si>
  <si>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</si>
  <si>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</si>
  <si>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</si>
  <si>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</si>
  <si>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</si>
  <si>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</si>
  <si>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</si>
  <si>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</si>
  <si>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</si>
  <si>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</si>
  <si>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</si>
  <si>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</si>
  <si>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</si>
  <si>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</si>
  <si>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</si>
  <si>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</si>
  <si>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</si>
  <si>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</si>
  <si>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</si>
  <si>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</si>
  <si>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</si>
  <si>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</si>
  <si>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</si>
  <si>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</si>
  <si>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</si>
  <si>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</si>
  <si>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</si>
  <si>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</si>
  <si>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</si>
  <si>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</si>
  <si>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</si>
  <si>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</si>
  <si>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</si>
  <si>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</si>
  <si>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</si>
  <si>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</si>
  <si>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</si>
  <si>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</si>
  <si>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</si>
  <si>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</si>
  <si>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</si>
  <si>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</si>
  <si>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</si>
  <si>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</si>
  <si>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</si>
  <si>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</si>
  <si>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</si>
  <si>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</si>
  <si>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</si>
  <si>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</si>
  <si>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</si>
  <si>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</si>
  <si>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</si>
  <si>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</si>
  <si>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</si>
  <si>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</si>
  <si>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</si>
  <si>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</si>
  <si>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</si>
  <si>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</si>
  <si>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</si>
  <si>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</si>
  <si>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</si>
  <si>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</si>
  <si>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</si>
  <si>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</si>
  <si>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</si>
  <si>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</si>
  <si>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</si>
  <si>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</si>
  <si>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</si>
  <si>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</si>
  <si>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</si>
  <si>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</si>
  <si>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</si>
  <si>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</si>
  <si>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</si>
  <si>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</si>
  <si>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</si>
  <si>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</si>
  <si>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</si>
  <si>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</si>
  <si>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</si>
  <si>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</si>
  <si>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</si>
  <si>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</si>
  <si>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</si>
  <si>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</si>
  <si>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</si>
  <si>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</si>
  <si>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</si>
  <si>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</si>
  <si>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</si>
  <si>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</si>
  <si>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</si>
  <si>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</si>
  <si>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</si>
  <si>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</si>
  <si>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</si>
  <si>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</si>
  <si>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</si>
  <si>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</si>
  <si>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</si>
  <si>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</si>
  <si>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</si>
  <si>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</si>
  <si>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</si>
  <si>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</si>
  <si>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</si>
  <si>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</si>
  <si>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</si>
  <si>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</si>
  <si>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</si>
  <si>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</si>
  <si>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</si>
  <si>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</si>
  <si>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</si>
  <si>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</si>
  <si>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</si>
  <si>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</si>
  <si>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</si>
  <si>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</si>
  <si>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</si>
  <si>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</si>
  <si>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</si>
  <si>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</si>
  <si>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</si>
  <si>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</si>
  <si>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</si>
  <si>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</si>
  <si>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</si>
  <si>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</si>
  <si>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</si>
  <si>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</si>
  <si>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</si>
  <si>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</si>
  <si>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</si>
  <si>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</si>
  <si>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</si>
  <si>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</si>
  <si>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</si>
  <si>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</si>
  <si>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</si>
  <si>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</si>
  <si>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</si>
  <si>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</si>
  <si>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</si>
  <si>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</si>
  <si>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</si>
  <si>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</si>
  <si>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</si>
  <si>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</si>
  <si>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</si>
  <si>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</si>
  <si>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</si>
  <si>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</si>
  <si>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</si>
  <si>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</si>
  <si>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</si>
  <si>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</si>
  <si>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</si>
  <si>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</si>
  <si>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</si>
  <si>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</si>
  <si>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</si>
  <si>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</si>
  <si>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</si>
  <si>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</si>
  <si>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</si>
  <si>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</si>
  <si>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</si>
  <si>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</si>
  <si>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</si>
  <si>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</si>
  <si>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</si>
  <si>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</si>
  <si>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</si>
  <si>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</si>
  <si>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</si>
  <si>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</si>
  <si>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</si>
  <si>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</si>
  <si>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</si>
  <si>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</si>
  <si>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</si>
  <si>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</si>
  <si>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</si>
  <si>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</si>
  <si>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</si>
  <si>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</si>
  <si>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</si>
  <si>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</si>
  <si>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</si>
  <si>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</si>
  <si>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</si>
  <si>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</si>
  <si>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</si>
  <si>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</si>
  <si>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</si>
  <si>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</si>
  <si>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</si>
  <si>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</si>
  <si>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</si>
  <si>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</si>
  <si>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</si>
  <si>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</si>
  <si>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</si>
  <si>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</si>
  <si>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</si>
  <si>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</si>
  <si>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</si>
  <si>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</si>
  <si>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</si>
  <si>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</si>
  <si>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</si>
  <si>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</si>
  <si>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</si>
  <si>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</si>
  <si>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</si>
  <si>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</si>
  <si>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</si>
  <si>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</si>
  <si>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</si>
  <si>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</si>
  <si>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</si>
  <si>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</si>
  <si>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</si>
  <si>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</si>
  <si>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</si>
  <si>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</si>
  <si>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</si>
  <si>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</si>
  <si>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</si>
  <si>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</si>
  <si>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</si>
  <si>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</si>
  <si>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</si>
  <si>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</si>
  <si>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</si>
  <si>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</si>
  <si>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</si>
  <si>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</si>
  <si>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</si>
  <si>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</si>
  <si>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</si>
  <si>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</si>
  <si>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</si>
  <si>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</si>
  <si>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</si>
  <si>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</si>
  <si>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</si>
  <si>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</si>
  <si>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</si>
  <si>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</si>
  <si>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</si>
  <si>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</si>
  <si>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</si>
  <si>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</si>
  <si>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</si>
  <si>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</si>
  <si>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</si>
  <si>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</si>
  <si>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</si>
  <si>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</si>
  <si>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</si>
  <si>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</si>
  <si>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</si>
  <si>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</si>
  <si>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</si>
  <si>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</si>
  <si>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</si>
  <si>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</si>
  <si>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</si>
  <si>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</si>
  <si>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</si>
  <si>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</si>
  <si>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</si>
  <si>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</si>
  <si>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</si>
  <si>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</si>
  <si>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</si>
  <si>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</si>
  <si>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</si>
  <si>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</si>
  <si>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</si>
  <si>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</si>
  <si>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</si>
  <si>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</si>
  <si>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</si>
  <si>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</si>
  <si>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</si>
  <si>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</si>
  <si>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</si>
  <si>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</si>
  <si>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</si>
  <si>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</si>
  <si>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</si>
  <si>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</si>
  <si>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</si>
  <si>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</si>
  <si>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</si>
  <si>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</si>
  <si>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</si>
  <si>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</si>
  <si>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</si>
  <si>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</si>
  <si>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</si>
  <si>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</si>
  <si>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</si>
  <si>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</si>
  <si>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</si>
  <si>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</si>
  <si>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</si>
  <si>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</si>
  <si>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</si>
  <si>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</si>
  <si>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</si>
  <si>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</si>
  <si>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</si>
  <si>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</si>
  <si>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</si>
  <si>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</si>
  <si>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</si>
  <si>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</si>
  <si>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</si>
  <si>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</si>
  <si>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</si>
  <si>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</si>
  <si>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</si>
  <si>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</si>
  <si>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</si>
  <si>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</si>
  <si>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</si>
  <si>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</si>
  <si>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</si>
  <si>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</si>
  <si>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</si>
  <si>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</si>
  <si>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</si>
  <si>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</si>
  <si>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</si>
  <si>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</si>
  <si>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</si>
  <si>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</si>
  <si>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</si>
  <si>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</si>
  <si>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</si>
  <si>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</si>
  <si>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</si>
  <si>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</si>
  <si>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</si>
  <si>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</si>
  <si>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</si>
  <si>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</si>
  <si>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</si>
  <si>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</si>
  <si>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</si>
  <si>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</si>
  <si>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</si>
  <si>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</si>
  <si>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</si>
  <si>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</si>
  <si>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</si>
  <si>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</si>
  <si>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</si>
  <si>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</si>
  <si>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</si>
  <si>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</si>
  <si>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</si>
  <si>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</si>
  <si>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</si>
  <si>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</si>
  <si>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</si>
  <si>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</si>
  <si>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</si>
  <si>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</si>
  <si>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</si>
  <si>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</si>
  <si>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</si>
  <si>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</si>
  <si>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</si>
  <si>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</si>
  <si>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</si>
  <si>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</si>
  <si>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</si>
  <si>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</si>
  <si>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</si>
  <si>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</si>
  <si>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</si>
  <si>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</si>
  <si>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</si>
  <si>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</si>
  <si>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</si>
  <si>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</si>
  <si>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</si>
  <si>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</si>
  <si>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</si>
  <si>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</si>
  <si>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</si>
  <si>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</si>
  <si>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</si>
  <si>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</si>
  <si>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</si>
  <si>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</si>
  <si>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</si>
  <si>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</si>
  <si>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</si>
  <si>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</si>
  <si>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</si>
  <si>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</si>
  <si>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</si>
  <si>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</si>
  <si>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</si>
  <si>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</si>
  <si>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</si>
  <si>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</si>
  <si>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</si>
  <si>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</si>
  <si>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</si>
  <si>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</si>
  <si>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</si>
  <si>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</si>
  <si>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</si>
  <si>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</si>
  <si>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</si>
  <si>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</si>
  <si>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</si>
  <si>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</si>
  <si>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</si>
  <si>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</si>
  <si>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</si>
  <si>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</si>
  <si>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</si>
  <si>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</si>
  <si>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</si>
  <si>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</si>
  <si>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</si>
  <si>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</si>
  <si>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</si>
  <si>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</si>
  <si>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</si>
  <si>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</si>
  <si>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</si>
  <si>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</si>
  <si>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</si>
  <si>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</si>
  <si>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</si>
  <si>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</si>
  <si>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</si>
  <si>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</si>
  <si>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</si>
  <si>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</si>
  <si>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</si>
  <si>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</si>
  <si>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</si>
  <si>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</si>
  <si>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</si>
  <si>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</si>
  <si>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</si>
  <si>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</si>
  <si>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</si>
  <si>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</si>
  <si>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</si>
  <si>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</si>
  <si>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</si>
  <si>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</si>
  <si>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</si>
  <si>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</si>
  <si>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</si>
  <si>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</si>
  <si>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</si>
  <si>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</si>
  <si>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</si>
  <si>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</si>
  <si>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</si>
  <si>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</si>
  <si>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</si>
  <si>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</si>
  <si>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</si>
  <si>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</si>
  <si>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</si>
  <si>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</si>
  <si>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</si>
  <si>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</si>
  <si>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</si>
  <si>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</si>
  <si>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</si>
  <si>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</si>
  <si>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</si>
  <si>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</si>
  <si>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</si>
  <si>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</si>
  <si>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</si>
  <si>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</si>
  <si>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</si>
  <si>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</si>
  <si>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</si>
  <si>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</si>
  <si>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</si>
  <si>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</si>
  <si>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</si>
  <si>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</si>
  <si>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</si>
  <si>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</si>
  <si>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</si>
  <si>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</si>
  <si>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</si>
  <si>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</si>
  <si>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</si>
  <si>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</si>
  <si>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</si>
  <si>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</si>
  <si>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</si>
  <si>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</si>
  <si>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</si>
  <si>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</si>
  <si>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</si>
  <si>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</si>
  <si>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</si>
  <si>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</si>
  <si>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</si>
  <si>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</si>
  <si>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</si>
  <si>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</si>
  <si>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</si>
  <si>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</si>
  <si>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</si>
  <si>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</si>
  <si>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</si>
  <si>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</si>
  <si>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</si>
  <si>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</si>
  <si>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</si>
  <si>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</si>
  <si>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</si>
  <si>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</si>
  <si>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</si>
  <si>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</si>
  <si>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</si>
  <si>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</si>
  <si>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</si>
  <si>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</si>
  <si>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</si>
  <si>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</si>
  <si>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</si>
  <si>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</si>
  <si>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</si>
  <si>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</si>
  <si>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</si>
  <si>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</si>
  <si>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</si>
  <si>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</si>
  <si>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</si>
  <si>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</si>
  <si>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</si>
  <si>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</si>
  <si>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</si>
  <si>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</si>
  <si>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</si>
  <si>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</si>
  <si>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</si>
  <si>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</si>
  <si>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</si>
  <si>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</si>
  <si>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</si>
  <si>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</si>
  <si>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</si>
  <si>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</si>
  <si>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</si>
  <si>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</si>
  <si>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</si>
  <si>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</si>
  <si>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</si>
  <si>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</si>
  <si>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</si>
  <si>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</si>
  <si>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</si>
  <si>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</si>
  <si>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</si>
  <si>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</si>
  <si>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</si>
  <si>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</si>
  <si>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</si>
  <si>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</si>
  <si>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</si>
  <si>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</si>
  <si>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</si>
  <si>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</si>
  <si>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</si>
  <si>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</si>
  <si>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</si>
  <si>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</si>
  <si>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</si>
  <si>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</si>
  <si>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</si>
  <si>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</si>
  <si>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</si>
  <si>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</si>
  <si>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</si>
  <si>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</si>
  <si>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</si>
  <si>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</si>
  <si>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</si>
  <si>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</si>
  <si>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</si>
  <si>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</si>
  <si>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</si>
  <si>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</si>
  <si>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</si>
  <si>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</si>
  <si>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</si>
  <si>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</si>
  <si>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</si>
  <si>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</si>
  <si>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</si>
  <si>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</si>
  <si>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</si>
  <si>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</si>
  <si>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</si>
  <si>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</si>
  <si>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</si>
  <si>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</si>
  <si>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</si>
  <si>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</si>
  <si>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</si>
  <si>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</si>
  <si>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</si>
  <si>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</si>
  <si>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</si>
  <si>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</si>
  <si>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</si>
  <si>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</si>
  <si>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</si>
  <si>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</si>
  <si>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</si>
  <si>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</si>
  <si>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</si>
  <si>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</si>
  <si>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</si>
  <si>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</si>
  <si>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</si>
  <si>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</si>
  <si>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</si>
  <si>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</si>
  <si>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</si>
  <si>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</si>
  <si>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</si>
  <si>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</si>
  <si>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</si>
  <si>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</si>
  <si>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</si>
  <si>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</si>
  <si>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</si>
  <si>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</si>
  <si>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</si>
  <si>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</si>
  <si>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</si>
  <si>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</si>
  <si>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</si>
  <si>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</si>
  <si>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</si>
  <si>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</si>
  <si>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</si>
  <si>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</si>
  <si>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</si>
  <si>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</si>
  <si>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</si>
  <si>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</si>
  <si>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</si>
  <si>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</si>
  <si>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</si>
  <si>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</si>
  <si>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</si>
  <si>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</si>
  <si>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</si>
  <si>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</si>
  <si>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</si>
  <si>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</si>
  <si>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</si>
  <si>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</si>
  <si>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</si>
  <si>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</si>
  <si>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</si>
  <si>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</si>
  <si>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</si>
  <si>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</si>
  <si>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</si>
  <si>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</si>
  <si>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</si>
  <si>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</si>
  <si>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</si>
  <si>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</si>
  <si>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</si>
  <si>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</si>
  <si>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</si>
  <si>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</si>
  <si>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</si>
  <si>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</si>
  <si>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</si>
  <si>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</si>
  <si>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</si>
  <si>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</si>
  <si>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</si>
  <si>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</si>
  <si>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</si>
  <si>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</si>
  <si>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</si>
  <si>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</si>
  <si>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</si>
  <si>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</si>
  <si>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</si>
  <si>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</si>
  <si>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</si>
  <si>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</si>
  <si>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</si>
  <si>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</si>
  <si>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</si>
  <si>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</si>
  <si>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</si>
  <si>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</si>
  <si>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</si>
  <si>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</si>
  <si>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</si>
  <si>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</si>
  <si>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</si>
  <si>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</si>
  <si>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</si>
  <si>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</si>
  <si>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</si>
  <si>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</si>
  <si>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</si>
  <si>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</si>
  <si>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</si>
  <si>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</si>
  <si>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</si>
  <si>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</si>
  <si>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</si>
  <si>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</si>
  <si>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</si>
  <si>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</si>
  <si>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</si>
  <si>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</si>
  <si>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</si>
  <si>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</si>
  <si>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</si>
  <si>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</si>
  <si>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</si>
  <si>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</si>
  <si>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</si>
  <si>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</si>
  <si>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</si>
  <si>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</si>
  <si>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</si>
  <si>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</si>
  <si>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</si>
  <si>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</si>
  <si>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</si>
  <si>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</si>
  <si>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</si>
  <si>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</si>
  <si>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</si>
  <si>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</si>
  <si>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</si>
  <si>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</si>
  <si>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</si>
  <si>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</si>
  <si>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</si>
  <si>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</si>
  <si>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</si>
  <si>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</si>
  <si>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</si>
  <si>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</si>
  <si>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</si>
  <si>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</si>
  <si>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</si>
  <si>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</si>
  <si>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</si>
  <si>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</si>
  <si>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</si>
  <si>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</si>
  <si>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</si>
  <si>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</si>
  <si>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</si>
  <si>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</si>
  <si>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</si>
  <si>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</si>
  <si>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</si>
  <si>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</si>
  <si>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</si>
  <si>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</si>
  <si>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</si>
  <si>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</si>
  <si>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</si>
  <si>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</si>
  <si>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</si>
  <si>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</si>
  <si>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</si>
  <si>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</si>
  <si>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</si>
  <si>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</si>
  <si>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</si>
  <si>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</si>
  <si>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</si>
  <si>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</si>
  <si>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</si>
  <si>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</si>
  <si>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</si>
  <si>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</si>
  <si>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</si>
  <si>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</si>
  <si>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</si>
  <si>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</si>
  <si>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</si>
  <si>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</si>
  <si>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</si>
  <si>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</si>
  <si>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</si>
  <si>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</si>
  <si>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</si>
  <si>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</si>
  <si>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</si>
  <si>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</si>
  <si>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</si>
  <si>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</si>
  <si>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</si>
  <si>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</si>
  <si>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</si>
  <si>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</si>
  <si>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</si>
  <si>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</si>
  <si>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</si>
  <si>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</si>
  <si>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</si>
  <si>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</si>
  <si>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</si>
  <si>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</si>
  <si>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</si>
  <si>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</si>
  <si>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</si>
  <si>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</si>
  <si>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</si>
  <si>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</si>
  <si>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</si>
  <si>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</si>
  <si>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</si>
  <si>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</si>
  <si>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</si>
  <si>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</si>
  <si>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</si>
  <si>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</si>
  <si>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</si>
  <si>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</si>
  <si>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</si>
  <si>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</si>
  <si>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</si>
  <si>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</si>
  <si>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</si>
  <si>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</si>
  <si>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</si>
  <si>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</si>
  <si>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</si>
  <si>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</si>
  <si>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</si>
  <si>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</si>
  <si>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</si>
  <si>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</si>
  <si>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</si>
  <si>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</si>
  <si>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</si>
  <si>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</si>
  <si>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</si>
  <si>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</si>
  <si>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</si>
  <si>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</si>
  <si>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</si>
  <si>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</si>
  <si>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</si>
  <si>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</si>
  <si>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</si>
  <si>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</si>
  <si>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</si>
  <si>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</si>
  <si>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</si>
  <si>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</si>
  <si>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</si>
  <si>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</si>
  <si>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</si>
  <si>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</si>
  <si>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</si>
  <si>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</si>
  <si>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</si>
  <si>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</si>
  <si>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</si>
  <si>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</si>
  <si>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</si>
  <si>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</si>
  <si>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</si>
  <si>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</si>
  <si>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</si>
  <si>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</si>
  <si>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</si>
  <si>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</si>
  <si>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</si>
  <si>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</si>
  <si>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</si>
  <si>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</si>
  <si>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</si>
  <si>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</si>
  <si>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</si>
  <si>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</si>
  <si>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</si>
  <si>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</si>
  <si>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</si>
  <si>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</si>
  <si>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</si>
  <si>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</si>
  <si>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</si>
  <si>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</si>
  <si>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</si>
  <si>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</si>
  <si>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</si>
  <si>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</si>
  <si>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</si>
  <si>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</si>
  <si>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</si>
  <si>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</si>
  <si>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</si>
  <si>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</si>
  <si>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</si>
  <si>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</si>
  <si>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</si>
  <si>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</si>
  <si>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</si>
  <si>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</si>
  <si>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</si>
  <si>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</si>
  <si>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</si>
  <si>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</si>
  <si>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</si>
  <si>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</si>
  <si>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</si>
  <si>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</si>
  <si>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</si>
  <si>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</si>
  <si>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</si>
  <si>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</si>
  <si>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</si>
  <si>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</si>
  <si>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</si>
  <si>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</si>
  <si>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</si>
  <si>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</si>
  <si>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</si>
  <si>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</si>
  <si>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</si>
  <si>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</si>
  <si>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</si>
  <si>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</si>
  <si>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</si>
  <si>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</si>
  <si>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</si>
  <si>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</si>
  <si>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</si>
  <si>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</si>
  <si>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</si>
  <si>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</si>
  <si>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</si>
  <si>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</si>
  <si>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</si>
  <si>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</si>
  <si>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</si>
  <si>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</si>
  <si>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</si>
  <si>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</si>
  <si>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</si>
  <si>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</si>
  <si>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</si>
  <si>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</si>
  <si>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</si>
  <si>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</si>
  <si>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</si>
  <si>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</si>
  <si>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</si>
  <si>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</si>
  <si>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</si>
  <si>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</si>
  <si>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</si>
  <si>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</si>
  <si>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</si>
  <si>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</si>
  <si>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</si>
  <si>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</si>
  <si>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</si>
  <si>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</si>
  <si>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</si>
  <si>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</si>
  <si>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</si>
  <si>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</si>
  <si>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</si>
  <si>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</si>
  <si>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</si>
  <si>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</si>
  <si>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</si>
  <si>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</si>
  <si>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</si>
  <si>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</si>
  <si>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</si>
  <si>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</si>
  <si>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</si>
  <si>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</si>
  <si>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</si>
  <si>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</si>
  <si>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</si>
  <si>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</si>
  <si>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</si>
  <si>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</si>
  <si>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</si>
  <si>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</si>
  <si>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</si>
  <si>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</si>
  <si>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</si>
  <si>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</si>
  <si>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</si>
  <si>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</si>
  <si>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</si>
  <si>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</si>
  <si>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</si>
  <si>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</si>
  <si>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</si>
  <si>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</si>
  <si>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</si>
  <si>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</si>
  <si>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</si>
  <si>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</si>
  <si>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</si>
  <si>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</si>
  <si>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</si>
  <si>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</si>
  <si>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</si>
  <si>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</si>
  <si>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</si>
  <si>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</si>
  <si>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</si>
  <si>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</si>
  <si>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</si>
  <si>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</si>
  <si>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</si>
  <si>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</si>
  <si>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</si>
  <si>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</si>
  <si>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</si>
  <si>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</si>
  <si>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</si>
  <si>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</si>
  <si>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</si>
  <si>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</si>
  <si>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</si>
  <si>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</si>
  <si>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</si>
  <si>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</si>
  <si>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</si>
  <si>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</si>
  <si>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</si>
  <si>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</si>
  <si>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</si>
  <si>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</si>
  <si>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</si>
  <si>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</si>
  <si>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</si>
  <si>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</si>
  <si>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</si>
  <si>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</si>
  <si>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</si>
  <si>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</si>
  <si>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</si>
  <si>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</si>
  <si>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</si>
  <si>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</si>
  <si>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</si>
  <si>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</si>
  <si>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</si>
  <si>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</si>
  <si>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</si>
  <si>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</si>
  <si>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</si>
  <si>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</si>
  <si>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</si>
  <si>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</si>
  <si>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</si>
  <si>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</si>
  <si>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</si>
  <si>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</si>
  <si>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</si>
  <si>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</si>
  <si>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</si>
  <si>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</si>
  <si>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</si>
  <si>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</si>
  <si>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</si>
  <si>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</si>
  <si>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</si>
  <si>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</si>
  <si>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</si>
  <si>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</si>
  <si>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</si>
  <si>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</si>
  <si>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</si>
  <si>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</si>
  <si>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</si>
  <si>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</si>
  <si>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</si>
  <si>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</si>
  <si>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</si>
  <si>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</si>
  <si>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</si>
  <si>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</si>
  <si>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</si>
  <si>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</si>
  <si>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</si>
  <si>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</si>
  <si>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</si>
  <si>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</si>
  <si>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</si>
  <si>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</si>
  <si>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</si>
  <si>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</si>
  <si>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</si>
  <si>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</si>
  <si>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</si>
  <si>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</si>
  <si>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</si>
  <si>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</si>
  <si>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</si>
  <si>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</si>
  <si>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</si>
  <si>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</si>
  <si>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</si>
  <si>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</si>
  <si>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</si>
  <si>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</si>
  <si>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</si>
  <si>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</si>
  <si>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</si>
  <si>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</si>
  <si>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</si>
  <si>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</si>
  <si>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</si>
  <si>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</si>
  <si>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</si>
  <si>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</si>
  <si>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</si>
  <si>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</si>
  <si>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</si>
  <si>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</si>
  <si>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</si>
  <si>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</si>
  <si>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</si>
  <si>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</si>
  <si>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</si>
  <si>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</si>
  <si>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</si>
  <si>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</si>
  <si>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</si>
  <si>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</si>
  <si>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</si>
  <si>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</si>
  <si>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</si>
  <si>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</si>
  <si>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</si>
  <si>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</si>
  <si>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</si>
  <si>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</si>
  <si>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</si>
  <si>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</si>
  <si>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</si>
  <si>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</si>
  <si>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</si>
  <si>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</si>
  <si>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</si>
  <si>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</si>
  <si>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</si>
  <si>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</si>
  <si>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</si>
  <si>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</si>
  <si>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</si>
  <si>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</si>
  <si>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</si>
  <si>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</si>
  <si>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</si>
  <si>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</si>
  <si>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</si>
  <si>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</si>
  <si>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</si>
  <si>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</si>
  <si>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</si>
  <si>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</si>
  <si>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</si>
  <si>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</si>
  <si>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</si>
  <si>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</si>
  <si>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</si>
  <si>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</si>
  <si>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</si>
  <si>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</si>
  <si>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</si>
  <si>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</si>
  <si>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</si>
  <si>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</si>
  <si>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</si>
  <si>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</si>
  <si>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</si>
  <si>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</si>
  <si>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</si>
  <si>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</si>
  <si>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</si>
  <si>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</si>
  <si>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</si>
  <si>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</si>
  <si>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</si>
  <si>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</si>
  <si>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</si>
  <si>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</si>
  <si>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</si>
  <si>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</si>
  <si>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</si>
  <si>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</si>
  <si>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</si>
  <si>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</si>
  <si>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</si>
  <si>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</si>
  <si>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</si>
  <si>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</si>
  <si>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</si>
  <si>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</si>
  <si>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</si>
  <si>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</si>
  <si>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</si>
  <si>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</si>
  <si>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</si>
  <si>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</si>
  <si>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</si>
  <si>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</si>
  <si>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</si>
  <si>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</si>
  <si>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</si>
  <si>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</si>
  <si>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</si>
  <si>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</si>
  <si>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</si>
  <si>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</si>
  <si>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</si>
  <si>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</si>
  <si>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</si>
  <si>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</si>
  <si>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</si>
  <si>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</si>
  <si>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</si>
  <si>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</si>
  <si>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</si>
  <si>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</si>
  <si>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</si>
  <si>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</si>
  <si>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</si>
  <si>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</si>
  <si>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</si>
  <si>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</si>
  <si>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</si>
  <si>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</si>
  <si>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</si>
  <si>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</si>
  <si>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</si>
  <si>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</si>
  <si>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</si>
  <si>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</si>
  <si>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</si>
  <si>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</si>
  <si>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</si>
  <si>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</si>
  <si>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</si>
  <si>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</si>
  <si>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</si>
  <si>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</si>
  <si>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</si>
  <si>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</si>
  <si>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</si>
  <si>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</si>
  <si>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</si>
  <si>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</si>
  <si>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</si>
  <si>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</si>
  <si>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</si>
  <si>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</si>
  <si>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</si>
  <si>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</si>
  <si>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</si>
  <si>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</si>
  <si>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</si>
  <si>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</si>
  <si>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</si>
  <si>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</si>
  <si>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</si>
  <si>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</si>
  <si>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</si>
  <si>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</si>
  <si>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</si>
  <si>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</si>
  <si>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</si>
  <si>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</si>
  <si>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</si>
  <si>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</si>
  <si>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</si>
  <si>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</si>
  <si>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</si>
  <si>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</si>
  <si>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</si>
  <si>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</si>
  <si>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</si>
  <si>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</si>
  <si>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</si>
  <si>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</si>
  <si>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</si>
  <si>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</si>
  <si>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</si>
  <si>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</si>
  <si>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</si>
  <si>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</si>
  <si>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</si>
  <si>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</si>
  <si>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</si>
  <si>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</si>
  <si>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</si>
  <si>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</si>
  <si>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</si>
  <si>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</si>
  <si>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</si>
  <si>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</si>
  <si>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</si>
  <si>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</si>
  <si>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</si>
  <si>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</si>
  <si>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</si>
  <si>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</si>
  <si>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</si>
  <si>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</si>
  <si>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</si>
  <si>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</si>
  <si>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</si>
  <si>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</si>
  <si>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</si>
  <si>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</si>
  <si>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</si>
  <si>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</si>
  <si>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</si>
  <si>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</si>
  <si>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</si>
  <si>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</si>
  <si>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</si>
  <si>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</si>
  <si>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</si>
  <si>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</si>
  <si>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</si>
  <si>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</si>
  <si>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</si>
  <si>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</si>
  <si>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</si>
  <si>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</si>
  <si>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</si>
  <si>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</si>
  <si>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</si>
  <si>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</si>
  <si>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</si>
  <si>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</si>
  <si>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</si>
  <si>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</si>
  <si>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</si>
  <si>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</si>
  <si>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</si>
  <si>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</si>
  <si>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</si>
  <si>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</si>
  <si>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</si>
  <si>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</si>
  <si>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</si>
  <si>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</si>
  <si>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</si>
  <si>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</si>
  <si>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</si>
  <si>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</si>
  <si>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</si>
  <si>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</si>
  <si>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</si>
  <si>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</si>
  <si>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</si>
  <si>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</si>
  <si>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</si>
  <si>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</si>
  <si>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</si>
  <si>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</si>
  <si>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</si>
  <si>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</si>
  <si>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</si>
  <si>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</si>
  <si>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</si>
  <si>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</si>
  <si>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</si>
  <si>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</si>
  <si>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</si>
  <si>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</si>
  <si>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</si>
  <si>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</si>
  <si>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</si>
  <si>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</si>
  <si>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</si>
  <si>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</si>
  <si>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</si>
  <si>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</si>
  <si>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</si>
  <si>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</si>
  <si>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</si>
  <si>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</si>
  <si>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</si>
  <si>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</si>
  <si>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</si>
  <si>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</si>
  <si>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</si>
  <si>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</si>
  <si>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</si>
  <si>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</si>
  <si>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</si>
  <si>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</si>
  <si>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</si>
  <si>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</si>
  <si>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</si>
  <si>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</si>
  <si>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</si>
  <si>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</si>
  <si>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</si>
  <si>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</si>
  <si>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</si>
  <si>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</si>
  <si>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</si>
  <si>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</si>
  <si>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</si>
  <si>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</si>
  <si>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</si>
  <si>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</si>
  <si>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</si>
  <si>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</si>
  <si>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</si>
  <si>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</si>
  <si>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</si>
  <si>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</si>
  <si>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</si>
  <si>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</si>
  <si>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</si>
  <si>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</si>
  <si>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</si>
  <si>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</si>
  <si>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</si>
  <si>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</si>
  <si>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</si>
  <si>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</si>
  <si>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</si>
  <si>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</si>
  <si>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</si>
  <si>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</si>
  <si>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</si>
  <si>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</si>
  <si>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</si>
  <si>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</si>
  <si>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</si>
  <si>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</si>
  <si>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</si>
  <si>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</si>
  <si>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</si>
  <si>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</si>
  <si>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</si>
  <si>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</si>
  <si>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</si>
  <si>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</si>
  <si>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</si>
  <si>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</si>
  <si>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</si>
  <si>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</si>
  <si>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</si>
  <si>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</si>
  <si>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</si>
  <si>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</si>
  <si>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</si>
  <si>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</si>
  <si>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</si>
  <si>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</si>
  <si>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</si>
  <si>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</si>
  <si>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</si>
  <si>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</si>
  <si>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</si>
  <si>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</si>
  <si>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</si>
  <si>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</si>
  <si>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</si>
  <si>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</si>
  <si>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</si>
  <si>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</si>
  <si>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</si>
  <si>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</si>
  <si>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</si>
  <si>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</si>
  <si>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</si>
  <si>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</si>
  <si>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</si>
  <si>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</si>
  <si>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</si>
  <si>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</si>
  <si>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</si>
  <si>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</si>
  <si>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</si>
  <si>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</si>
  <si>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</si>
  <si>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</si>
  <si>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</si>
  <si>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</si>
  <si>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</si>
  <si>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</si>
  <si>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</si>
  <si>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</si>
  <si>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</si>
  <si>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</si>
  <si>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</si>
  <si>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</si>
  <si>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</si>
  <si>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</si>
  <si>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</si>
  <si>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</si>
  <si>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</si>
  <si>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</si>
  <si>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</si>
  <si>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</si>
  <si>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</si>
  <si>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</si>
  <si>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</si>
  <si>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</si>
  <si>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</si>
  <si>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</si>
  <si>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</si>
  <si>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</si>
  <si>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</si>
  <si>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</si>
  <si>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</si>
  <si>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</si>
  <si>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</si>
  <si>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</si>
  <si>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</si>
  <si>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</si>
  <si>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</si>
  <si>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</si>
  <si>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</si>
  <si>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</si>
  <si>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</si>
  <si>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</si>
  <si>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</si>
  <si>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</si>
  <si>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</si>
  <si>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</si>
  <si>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</si>
  <si>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</si>
  <si>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</si>
  <si>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</si>
  <si>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</si>
  <si>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</si>
  <si>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</si>
  <si>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</si>
  <si>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</si>
  <si>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</si>
  <si>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</si>
  <si>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</si>
  <si>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</si>
  <si>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</si>
  <si>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</si>
  <si>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</si>
  <si>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</si>
  <si>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</si>
  <si>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</si>
  <si>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</si>
  <si>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</si>
  <si>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</si>
  <si>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</si>
  <si>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</si>
  <si>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</si>
  <si>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</si>
  <si>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</si>
  <si>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</si>
  <si>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</si>
  <si>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</si>
  <si>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</si>
  <si>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</si>
  <si>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</si>
  <si>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</si>
  <si>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</si>
  <si>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</si>
  <si>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</si>
  <si>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</si>
  <si>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</si>
  <si>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</si>
  <si>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</si>
  <si>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</si>
  <si>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</si>
  <si>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</si>
  <si>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</si>
  <si>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</si>
  <si>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</si>
  <si>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</si>
  <si>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</si>
  <si>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</si>
  <si>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</si>
  <si>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</si>
  <si>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</si>
  <si>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</si>
  <si>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</si>
  <si>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</si>
  <si>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</si>
  <si>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</si>
  <si>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</si>
  <si>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</si>
  <si>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</si>
  <si>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</si>
  <si>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</si>
  <si>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</si>
  <si>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</si>
  <si>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</si>
  <si>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</si>
  <si>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</si>
  <si>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</si>
  <si>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</si>
  <si>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</si>
  <si>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</si>
  <si>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</si>
  <si>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</si>
  <si>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</si>
  <si>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</si>
  <si>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</si>
  <si>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</si>
  <si>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</si>
  <si>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</si>
  <si>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</si>
  <si>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</si>
  <si>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</si>
  <si>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</si>
  <si>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</si>
  <si>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</si>
  <si>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</si>
  <si>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</si>
  <si>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</si>
  <si>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</si>
  <si>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</si>
  <si>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</si>
  <si>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</si>
  <si>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</si>
  <si>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</si>
  <si>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</si>
  <si>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</si>
  <si>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</si>
  <si>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</si>
  <si>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</si>
  <si>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</si>
  <si>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</si>
  <si>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</si>
  <si>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</si>
  <si>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</si>
  <si>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</si>
  <si>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</si>
  <si>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</si>
  <si>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</si>
  <si>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</si>
  <si>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</si>
  <si>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</si>
  <si>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</si>
  <si>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</si>
  <si>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</si>
  <si>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</si>
  <si>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</si>
  <si>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</si>
  <si>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</si>
  <si>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</si>
  <si>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</si>
  <si>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</si>
  <si>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</si>
  <si>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</si>
  <si>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</si>
  <si>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</si>
  <si>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</si>
  <si>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</si>
  <si>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</si>
  <si>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</si>
  <si>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</si>
  <si>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</si>
  <si>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</si>
  <si>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</si>
  <si>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</si>
  <si>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</si>
  <si>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</si>
  <si>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</si>
  <si>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</si>
  <si>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</si>
  <si>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</si>
  <si>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</si>
  <si>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</si>
  <si>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</si>
  <si>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</si>
  <si>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</si>
  <si>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</si>
  <si>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</si>
  <si>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</si>
  <si>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</si>
  <si>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</si>
  <si>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</si>
  <si>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</si>
  <si>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</si>
  <si>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</si>
  <si>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</si>
  <si>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</si>
  <si>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</si>
  <si>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</si>
  <si>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</si>
  <si>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</si>
  <si>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</si>
  <si>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</si>
  <si>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</si>
  <si>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</si>
  <si>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</si>
  <si>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</si>
  <si>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</si>
  <si>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</si>
  <si>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</si>
  <si>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</si>
  <si>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</si>
  <si>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</si>
  <si>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</si>
  <si>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</si>
  <si>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</si>
  <si>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</si>
  <si>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</si>
  <si>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</si>
  <si>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</si>
  <si>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</si>
  <si>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</si>
  <si>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</si>
  <si>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</si>
  <si>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</si>
  <si>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</si>
  <si>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</si>
  <si>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</si>
  <si>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</si>
  <si>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</si>
  <si>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</si>
  <si>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</si>
  <si>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</si>
  <si>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</si>
  <si>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</si>
  <si>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</si>
  <si>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</si>
  <si>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</si>
  <si>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</si>
  <si>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</si>
  <si>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</si>
  <si>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</si>
  <si>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</si>
  <si>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</si>
  <si>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</si>
  <si>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</si>
  <si>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</si>
  <si>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</si>
  <si>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</si>
  <si>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</si>
  <si>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</si>
  <si>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</si>
  <si>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</si>
  <si>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</si>
  <si>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</si>
  <si>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</si>
  <si>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</si>
  <si>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</si>
  <si>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</si>
  <si>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</si>
  <si>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</si>
  <si>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</si>
  <si>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</si>
  <si>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</si>
  <si>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</si>
  <si>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</si>
  <si>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</si>
  <si>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</si>
  <si>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</si>
  <si>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</si>
  <si>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</si>
  <si>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</si>
  <si>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</si>
  <si>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</si>
  <si>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</si>
  <si>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</si>
  <si>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</si>
  <si>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</si>
  <si>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</si>
  <si>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</si>
  <si>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</si>
  <si>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</si>
  <si>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</si>
  <si>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</si>
  <si>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</si>
  <si>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</si>
  <si>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</si>
  <si>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</si>
  <si>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</si>
  <si>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</si>
  <si>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</si>
  <si>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</si>
  <si>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</si>
  <si>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</si>
  <si>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</si>
  <si>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</si>
  <si>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</si>
  <si>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</si>
  <si>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</si>
  <si>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</si>
  <si>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</si>
  <si>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</si>
  <si>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</si>
  <si>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</si>
  <si>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</si>
  <si>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</si>
  <si>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</si>
  <si>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</si>
  <si>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</si>
  <si>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</si>
  <si>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</si>
  <si>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</si>
  <si>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</si>
  <si>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</si>
  <si>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</si>
  <si>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</si>
  <si>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</si>
  <si>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</si>
  <si>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</si>
  <si>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</si>
  <si>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</si>
  <si>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</si>
  <si>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</si>
  <si>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</si>
  <si>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</si>
  <si>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</si>
  <si>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</si>
  <si>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</si>
  <si>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</si>
  <si>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</si>
  <si>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</si>
  <si>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</si>
  <si>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</si>
  <si>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</si>
  <si>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</si>
  <si>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</si>
  <si>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</si>
  <si>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</si>
  <si>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</si>
  <si>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</si>
  <si>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</si>
  <si>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</si>
  <si>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</si>
  <si>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</si>
  <si>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</si>
  <si>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</si>
  <si>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</si>
  <si>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</si>
  <si>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</si>
  <si>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</si>
  <si>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</si>
  <si>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</si>
  <si>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</si>
  <si>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</si>
  <si>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</si>
  <si>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</si>
  <si>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</si>
  <si>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</si>
  <si>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</si>
  <si>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</si>
  <si>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</si>
  <si>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</si>
  <si>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</si>
  <si>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</si>
  <si>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</si>
  <si>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</si>
  <si>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</si>
  <si>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</si>
  <si>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</si>
  <si>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</si>
  <si>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</si>
  <si>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</si>
  <si>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</si>
  <si>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</si>
  <si>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</si>
  <si>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</si>
  <si>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</si>
  <si>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</si>
  <si>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</si>
  <si>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</si>
  <si>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</si>
  <si>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</si>
  <si>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</si>
  <si>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</si>
  <si>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</si>
  <si>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</si>
  <si>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</si>
  <si>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</si>
  <si>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</si>
  <si>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</si>
  <si>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</si>
  <si>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</si>
  <si>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</si>
  <si>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</si>
  <si>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</si>
  <si>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</si>
  <si>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</si>
  <si>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</si>
  <si>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</si>
  <si>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</si>
  <si>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</si>
  <si>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</si>
  <si>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</si>
  <si>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</si>
  <si>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</si>
  <si>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</si>
  <si>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</si>
  <si>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</si>
  <si>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</si>
  <si>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</si>
  <si>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</si>
  <si>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</si>
  <si>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</si>
  <si>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</si>
  <si>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</si>
  <si>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</si>
  <si>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</si>
  <si>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</si>
  <si>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</si>
  <si>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</si>
  <si>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</si>
  <si>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</si>
  <si>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</si>
  <si>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</si>
  <si>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</si>
  <si>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</si>
  <si>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</si>
  <si>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</si>
  <si>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</si>
  <si>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</si>
  <si>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</si>
  <si>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</si>
  <si>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</si>
  <si>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</si>
  <si>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</si>
  <si>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</si>
  <si>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</si>
  <si>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</si>
  <si>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</si>
  <si>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</si>
  <si>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</si>
  <si>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</si>
  <si>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</si>
  <si>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</si>
  <si>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</si>
  <si>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</si>
  <si>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</si>
  <si>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</si>
  <si>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</si>
  <si>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</si>
  <si>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</si>
  <si>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</si>
  <si>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</si>
  <si>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</si>
  <si>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</si>
  <si>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</si>
  <si>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</si>
  <si>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</si>
  <si>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</si>
  <si>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</si>
  <si>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</si>
  <si>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</si>
  <si>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</si>
  <si>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</si>
  <si>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</si>
  <si>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</si>
  <si>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</si>
  <si>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</si>
  <si>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</si>
  <si>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</si>
  <si>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</si>
  <si>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</si>
  <si>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</si>
  <si>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</si>
  <si>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</si>
  <si>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</si>
  <si>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</si>
  <si>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</si>
  <si>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</si>
  <si>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</si>
  <si>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</si>
  <si>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</si>
  <si>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</si>
  <si>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</si>
  <si>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</si>
  <si>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</si>
  <si>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</si>
  <si>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</si>
  <si>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</si>
  <si>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</si>
  <si>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</si>
  <si>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</si>
  <si>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</si>
  <si>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</si>
  <si>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</si>
  <si>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</si>
  <si>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</si>
  <si>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</si>
  <si>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</si>
  <si>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</si>
  <si>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</si>
  <si>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</si>
  <si>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</si>
  <si>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</si>
  <si>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</si>
  <si>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</si>
  <si>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</si>
  <si>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</si>
  <si>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</si>
  <si>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</si>
  <si>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</si>
  <si>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</si>
  <si>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</si>
  <si>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</si>
  <si>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</si>
  <si>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</si>
  <si>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</si>
  <si>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</si>
  <si>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</si>
  <si>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</si>
  <si>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</si>
  <si>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</si>
  <si>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</si>
  <si>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</si>
  <si>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</si>
  <si>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</si>
  <si>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</si>
  <si>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</si>
  <si>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</si>
  <si>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</si>
  <si>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</si>
  <si>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</si>
  <si>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</si>
  <si>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</si>
  <si>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</si>
  <si>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</si>
  <si>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</si>
  <si>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</si>
  <si>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</si>
  <si>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</si>
  <si>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</si>
  <si>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</si>
  <si>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</si>
  <si>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</si>
  <si>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</si>
  <si>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</si>
  <si>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</si>
  <si>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</si>
  <si>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</si>
  <si>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</si>
  <si>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</si>
  <si>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</si>
  <si>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</si>
  <si>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</si>
  <si>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</si>
  <si>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</si>
  <si>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</si>
  <si>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</si>
  <si>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</si>
  <si>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</si>
  <si>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</si>
  <si>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</si>
  <si>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</si>
  <si>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</si>
  <si>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</si>
  <si>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</si>
  <si>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</si>
  <si>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</si>
  <si>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</si>
  <si>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</si>
  <si>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</si>
  <si>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</si>
  <si>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</si>
  <si>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</si>
  <si>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</si>
  <si>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</si>
  <si>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</si>
  <si>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</si>
  <si>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</si>
  <si>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</si>
  <si>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</si>
  <si>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</si>
  <si>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</si>
  <si>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</si>
  <si>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</si>
  <si>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</si>
  <si>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</si>
  <si>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</si>
  <si>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</si>
  <si>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</si>
  <si>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</si>
  <si>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</si>
  <si>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</si>
  <si>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</si>
  <si>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</si>
  <si>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</si>
  <si>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</si>
  <si>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</si>
  <si>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</si>
  <si>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</si>
  <si>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</si>
  <si>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</si>
  <si>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</si>
  <si>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</si>
  <si>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</si>
  <si>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</si>
  <si>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</si>
  <si>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</si>
  <si>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</si>
  <si>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</si>
  <si>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</si>
  <si>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</si>
  <si>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</si>
  <si>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</si>
  <si>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</si>
  <si>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</si>
  <si>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</si>
  <si>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</si>
  <si>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</si>
  <si>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</si>
  <si>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</si>
  <si>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</si>
  <si>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</si>
  <si>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</si>
  <si>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</si>
  <si>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</si>
  <si>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</si>
  <si>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</si>
  <si>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</si>
  <si>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</si>
  <si>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</si>
  <si>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</si>
  <si>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</si>
  <si>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</si>
  <si>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</si>
  <si>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</si>
  <si>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</si>
  <si>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</si>
  <si>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</si>
  <si>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</si>
  <si>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</si>
  <si>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</si>
  <si>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</si>
  <si>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</si>
  <si>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</si>
  <si>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</si>
  <si>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</si>
  <si>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</si>
  <si>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</si>
  <si>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</si>
  <si>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</si>
  <si>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</si>
  <si>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</si>
  <si>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</si>
  <si>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</si>
  <si>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</si>
  <si>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</si>
  <si>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</si>
  <si>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</si>
  <si>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</si>
  <si>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</si>
  <si>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</si>
  <si>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</si>
  <si>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</si>
  <si>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</si>
  <si>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</si>
  <si>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</si>
  <si>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</si>
  <si>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</si>
  <si>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</si>
  <si>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</si>
  <si>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</si>
  <si>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</si>
  <si>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</si>
  <si>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</si>
  <si>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</si>
  <si>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</si>
  <si>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</si>
  <si>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</si>
  <si>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</si>
  <si>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</si>
  <si>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</si>
  <si>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</si>
  <si>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</si>
  <si>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</si>
  <si>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</si>
  <si>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</si>
  <si>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</si>
  <si>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</si>
  <si>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</si>
  <si>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</si>
  <si>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</si>
  <si>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</si>
  <si>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</si>
  <si>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</si>
  <si>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</si>
  <si>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</si>
  <si>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</si>
  <si>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</si>
  <si>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</si>
  <si>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</si>
  <si>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</si>
  <si>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</si>
  <si>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</si>
  <si>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</si>
  <si>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</si>
  <si>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</si>
  <si>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</si>
  <si>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</si>
  <si>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</si>
  <si>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</si>
  <si>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</si>
  <si>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</si>
  <si>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</si>
  <si>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</si>
  <si>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</si>
  <si>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</si>
  <si>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</si>
  <si>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</si>
  <si>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</si>
  <si>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</si>
  <si>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</si>
  <si>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</si>
  <si>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</si>
  <si>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</si>
  <si>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</si>
  <si>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</si>
  <si>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</si>
  <si>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</si>
  <si>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</si>
  <si>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</si>
  <si>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</si>
  <si>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</si>
  <si>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</si>
  <si>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</si>
  <si>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</si>
  <si>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</si>
  <si>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</si>
  <si>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</si>
  <si>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</si>
  <si>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</si>
  <si>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</si>
  <si>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</si>
  <si>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</si>
  <si>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</si>
  <si>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</si>
  <si>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</si>
  <si>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</si>
  <si>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</si>
  <si>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</si>
  <si>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</si>
  <si>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</si>
  <si>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</si>
  <si>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</si>
  <si>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</si>
  <si>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</si>
  <si>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</si>
  <si>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</si>
  <si>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</si>
  <si>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</si>
  <si>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</si>
  <si>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</si>
  <si>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</si>
  <si>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</si>
  <si>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</si>
  <si>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</si>
  <si>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</si>
  <si>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</si>
  <si>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</si>
  <si>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</si>
  <si>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</si>
  <si>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</si>
  <si>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</si>
  <si>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</si>
  <si>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</si>
  <si>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</si>
  <si>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</si>
  <si>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</si>
  <si>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</si>
  <si>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</si>
  <si>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</si>
  <si>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</si>
  <si>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</si>
  <si>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</si>
  <si>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</si>
  <si>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</si>
  <si>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</si>
  <si>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</si>
  <si>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</si>
  <si>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</si>
  <si>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</si>
  <si>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</si>
  <si>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</si>
  <si>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</si>
  <si>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</si>
  <si>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</si>
  <si>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</si>
  <si>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</si>
  <si>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</si>
  <si>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</si>
  <si>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</si>
  <si>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</si>
  <si>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</si>
  <si>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</si>
  <si>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</si>
  <si>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</si>
  <si>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</si>
  <si>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</si>
  <si>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</si>
  <si>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</si>
  <si>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</si>
  <si>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</si>
  <si>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</si>
  <si>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</si>
  <si>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</si>
  <si>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</si>
  <si>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</si>
  <si>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</si>
  <si>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</si>
  <si>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</si>
  <si>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</si>
  <si>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</si>
  <si>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</si>
  <si>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</si>
  <si>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</si>
  <si>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</si>
  <si>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</si>
  <si>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</si>
  <si>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</si>
  <si>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</si>
  <si>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</si>
  <si>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</si>
  <si>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</si>
  <si>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</si>
  <si>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</si>
  <si>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</si>
  <si>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</si>
  <si>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</si>
  <si>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</si>
  <si>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</si>
  <si>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</si>
  <si>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</si>
  <si>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</si>
  <si>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</si>
  <si>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</si>
  <si>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</si>
  <si>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</si>
  <si>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</si>
  <si>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</si>
  <si>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</si>
  <si>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</si>
  <si>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</si>
  <si>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</si>
  <si>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</si>
  <si>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</si>
  <si>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</si>
  <si>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</si>
  <si>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</si>
  <si>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</si>
  <si>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</si>
  <si>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</si>
  <si>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</si>
  <si>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</si>
  <si>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</si>
  <si>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</si>
  <si>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</si>
  <si>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</si>
  <si>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</si>
  <si>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</si>
  <si>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</si>
  <si>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</si>
  <si>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</si>
  <si>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</si>
  <si>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</si>
  <si>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</si>
  <si>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</si>
  <si>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</si>
  <si>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</si>
  <si>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</si>
  <si>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</si>
  <si>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</si>
  <si>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</si>
  <si>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</si>
  <si>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</si>
  <si>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</si>
  <si>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</si>
  <si>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</si>
  <si>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</si>
  <si>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</si>
  <si>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</si>
  <si>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</si>
  <si>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</si>
  <si>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</si>
  <si>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</si>
  <si>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</si>
  <si>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</si>
  <si>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</si>
  <si>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</si>
  <si>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</si>
  <si>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</si>
  <si>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</si>
  <si>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</si>
  <si>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</si>
  <si>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</si>
  <si>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</si>
  <si>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</si>
  <si>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</si>
  <si>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</si>
  <si>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</si>
  <si>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</si>
  <si>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</si>
  <si>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</si>
  <si>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</si>
  <si>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</si>
  <si>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</si>
  <si>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</si>
  <si>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</si>
  <si>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</si>
  <si>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</si>
  <si>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</si>
  <si>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</si>
  <si>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</si>
  <si>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</si>
  <si>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</si>
  <si>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</si>
  <si>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</si>
  <si>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</si>
  <si>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</si>
  <si>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</si>
  <si>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</si>
  <si>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</si>
  <si>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</si>
  <si>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</si>
  <si>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</si>
  <si>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</si>
  <si>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</si>
  <si>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</si>
  <si>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</si>
  <si>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</si>
  <si>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</si>
  <si>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</si>
  <si>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</si>
  <si>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</si>
  <si>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</si>
  <si>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</si>
  <si>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</si>
  <si>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</si>
  <si>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</si>
  <si>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</si>
  <si>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</si>
  <si>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</si>
  <si>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</si>
  <si>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</si>
  <si>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</si>
  <si>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</si>
  <si>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</si>
  <si>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</si>
  <si>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</si>
  <si>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</si>
  <si>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</si>
  <si>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</si>
  <si>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</si>
  <si>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</si>
  <si>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</si>
  <si>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</si>
  <si>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</si>
  <si>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</si>
  <si>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</si>
  <si>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</si>
  <si>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</si>
  <si>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</si>
  <si>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</si>
  <si>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</si>
  <si>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</si>
  <si>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</si>
  <si>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</si>
  <si>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</si>
  <si>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</si>
  <si>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</si>
  <si>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</si>
  <si>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</si>
  <si>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</si>
  <si>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</si>
  <si>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</si>
  <si>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</si>
  <si>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</si>
  <si>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</si>
  <si>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</si>
  <si>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</si>
  <si>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</si>
  <si>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</si>
  <si>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</si>
  <si>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</si>
  <si>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</si>
  <si>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</si>
  <si>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</si>
  <si>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</si>
  <si>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</si>
  <si>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</si>
  <si>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</si>
  <si>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</si>
  <si>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</si>
  <si>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</si>
  <si>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</si>
  <si>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</si>
  <si>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</si>
  <si>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</si>
  <si>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</si>
  <si>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</si>
  <si>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</si>
  <si>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</si>
  <si>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</si>
  <si>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</si>
  <si>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</si>
  <si>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</si>
  <si>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</si>
  <si>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</si>
  <si>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</si>
  <si>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</si>
  <si>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</si>
  <si>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</si>
  <si>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</si>
  <si>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</si>
  <si>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</si>
  <si>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</si>
  <si>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</si>
  <si>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</si>
  <si>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</si>
  <si>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</si>
  <si>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</si>
  <si>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</si>
  <si>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</si>
  <si>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</si>
  <si>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</si>
  <si>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</si>
  <si>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</si>
  <si>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</si>
  <si>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</si>
  <si>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</si>
  <si>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</si>
  <si>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</si>
  <si>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</si>
  <si>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</si>
  <si>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</si>
  <si>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</si>
  <si>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</si>
  <si>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</si>
  <si>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</si>
  <si>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</si>
  <si>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</si>
  <si>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</si>
  <si>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</si>
  <si>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</si>
  <si>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</si>
  <si>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</si>
  <si>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</si>
  <si>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</si>
  <si>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</si>
  <si>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</si>
  <si>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</si>
  <si>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</si>
  <si>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</si>
  <si>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</si>
  <si>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</si>
  <si>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</si>
  <si>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</si>
  <si>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</si>
  <si>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</si>
  <si>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</si>
  <si>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</si>
  <si>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</si>
  <si>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</si>
  <si>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</si>
  <si>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</si>
  <si>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</si>
  <si>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</si>
  <si>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</si>
  <si>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</si>
  <si>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</si>
  <si>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</si>
  <si>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</si>
  <si>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</si>
  <si>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</si>
  <si>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</si>
  <si>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</si>
  <si>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</si>
  <si>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</si>
  <si>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</si>
  <si>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</si>
  <si>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</si>
  <si>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</si>
  <si>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</si>
  <si>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</si>
  <si>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</si>
  <si>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</si>
  <si>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</si>
  <si>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</si>
  <si>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</si>
  <si>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</si>
  <si>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</si>
  <si>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</si>
  <si>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</si>
  <si>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</si>
  <si>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</si>
  <si>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</si>
  <si>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</si>
  <si>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</si>
  <si>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</si>
  <si>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</si>
  <si>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</si>
  <si>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</si>
  <si>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</si>
  <si>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</si>
  <si>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</si>
  <si>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</si>
  <si>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</si>
  <si>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</si>
  <si>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</si>
  <si>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</si>
  <si>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</si>
  <si>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</si>
  <si>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</si>
  <si>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</si>
  <si>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</si>
  <si>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</si>
  <si>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</si>
  <si>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</si>
  <si>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</si>
  <si>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</si>
  <si>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</si>
  <si>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</si>
  <si>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</si>
  <si>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</si>
  <si>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</si>
  <si>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</si>
  <si>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</si>
  <si>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</si>
  <si>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</si>
  <si>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</si>
  <si>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</si>
  <si>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</si>
  <si>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</si>
  <si>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</si>
  <si>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</si>
  <si>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</si>
  <si>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</si>
  <si>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</si>
  <si>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</si>
  <si>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</si>
  <si>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</si>
  <si>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</si>
  <si>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</si>
  <si>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</si>
  <si>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</si>
  <si>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</si>
  <si>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</si>
  <si>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</si>
  <si>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</si>
  <si>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</si>
  <si>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</si>
  <si>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</si>
  <si>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</si>
  <si>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</si>
  <si>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</si>
  <si>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</si>
  <si>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</si>
  <si>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</si>
  <si>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</si>
  <si>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</si>
  <si>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</si>
  <si>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</si>
  <si>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</si>
  <si>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</si>
  <si>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</si>
  <si>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</si>
  <si>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</si>
  <si>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</si>
  <si>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</si>
  <si>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</si>
  <si>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</si>
  <si>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</si>
  <si>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</si>
  <si>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</si>
  <si>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</si>
  <si>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</si>
  <si>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</si>
  <si>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</si>
  <si>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</si>
  <si>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</si>
  <si>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</si>
  <si>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</si>
  <si>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</si>
  <si>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</si>
  <si>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</si>
  <si>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</si>
  <si>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</si>
  <si>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</si>
  <si>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</si>
  <si>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</si>
  <si>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</si>
  <si>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</si>
  <si>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</si>
  <si>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</si>
  <si>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</si>
  <si>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</si>
  <si>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</si>
  <si>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</si>
  <si>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</si>
  <si>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</si>
  <si>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</si>
  <si>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</si>
  <si>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</si>
  <si>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</si>
  <si>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</si>
  <si>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</si>
  <si>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</si>
  <si>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</si>
  <si>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</si>
  <si>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</si>
  <si>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</si>
  <si>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</si>
  <si>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</si>
  <si>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</si>
  <si>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</si>
  <si>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</si>
  <si>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</si>
  <si>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</si>
  <si>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</si>
  <si>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</si>
  <si>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</si>
  <si>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</si>
  <si>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</si>
  <si>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</si>
  <si>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</si>
  <si>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</si>
  <si>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</si>
  <si>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</si>
  <si>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</si>
  <si>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</si>
  <si>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</si>
  <si>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</si>
  <si>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</si>
  <si>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</si>
  <si>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</si>
  <si>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</si>
  <si>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</si>
  <si>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</si>
  <si>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</si>
  <si>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</si>
  <si>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</si>
  <si>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</si>
  <si>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</si>
  <si>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</si>
  <si>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</si>
  <si>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</si>
  <si>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</si>
  <si>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</si>
  <si>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</si>
  <si>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</si>
  <si>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</si>
  <si>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</si>
  <si>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</si>
  <si>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</si>
  <si>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</si>
  <si>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</si>
  <si>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</si>
  <si>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</si>
  <si>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</si>
  <si>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</si>
  <si>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</si>
  <si>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</si>
  <si>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</si>
  <si>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</si>
  <si>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</si>
  <si>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</si>
  <si>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</si>
  <si>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</si>
  <si>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</si>
  <si>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</si>
  <si>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</si>
  <si>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</si>
  <si>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</si>
  <si>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</si>
  <si>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</si>
  <si>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</si>
  <si>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</si>
  <si>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</si>
  <si>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</si>
  <si>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</si>
  <si>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</si>
  <si>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</si>
  <si>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</si>
  <si>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</si>
  <si>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</si>
  <si>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</si>
  <si>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</si>
  <si>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</si>
  <si>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</si>
  <si>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</si>
  <si>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</si>
  <si>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</si>
  <si>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</si>
  <si>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</si>
  <si>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</si>
  <si>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</si>
  <si>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</si>
  <si>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</si>
  <si>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</si>
  <si>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</si>
  <si>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</si>
  <si>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</si>
  <si>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</si>
  <si>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</si>
  <si>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</si>
  <si>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</si>
  <si>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</si>
  <si>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</si>
  <si>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</si>
  <si>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</si>
  <si>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</si>
  <si>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</si>
  <si>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</si>
  <si>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</si>
  <si>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</si>
  <si>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</si>
  <si>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</si>
  <si>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</si>
  <si>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</si>
  <si>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</si>
  <si>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</si>
  <si>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</si>
  <si>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</si>
  <si>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</si>
  <si>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</si>
  <si>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</si>
  <si>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</si>
  <si>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</si>
  <si>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</si>
  <si>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</si>
  <si>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</si>
  <si>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</si>
  <si>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</si>
  <si>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</si>
  <si>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</si>
  <si>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</si>
  <si>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</si>
  <si>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</si>
  <si>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</si>
  <si>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</si>
  <si>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</si>
  <si>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</si>
  <si>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</si>
  <si>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</si>
  <si>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</si>
  <si>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</si>
  <si>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</si>
  <si>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</si>
  <si>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</si>
  <si>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</si>
  <si>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</si>
  <si>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</si>
  <si>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</si>
  <si>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</si>
  <si>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</si>
  <si>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</si>
  <si>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</si>
  <si>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</si>
  <si>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</si>
  <si>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</si>
  <si>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</si>
  <si>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</si>
  <si>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</si>
  <si>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</si>
  <si>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</si>
  <si>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</si>
  <si>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</si>
  <si>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</si>
  <si>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</si>
  <si>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</si>
  <si>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</si>
  <si>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</si>
  <si>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</si>
  <si>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</si>
  <si>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</si>
  <si>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</si>
  <si>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</si>
  <si>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</si>
  <si>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</si>
  <si>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</si>
  <si>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</si>
  <si>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</si>
  <si>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</si>
  <si>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</si>
  <si>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</si>
  <si>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</si>
  <si>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</si>
  <si>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</si>
  <si>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</si>
  <si>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</si>
  <si>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</si>
  <si>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</si>
  <si>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</si>
  <si>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</si>
  <si>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</si>
  <si>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</si>
  <si>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</si>
  <si>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</si>
  <si>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</si>
  <si>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</si>
  <si>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</si>
  <si>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</si>
  <si>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</si>
  <si>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</si>
  <si>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</si>
  <si>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</si>
  <si>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</si>
  <si>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</si>
  <si>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</si>
  <si>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</si>
  <si>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</si>
  <si>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</si>
  <si>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</si>
  <si>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</si>
  <si>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</si>
  <si>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</si>
  <si>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</si>
  <si>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</si>
  <si>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</si>
  <si>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</si>
  <si>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</si>
  <si>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</si>
  <si>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</si>
  <si>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</si>
  <si>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</si>
  <si>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</si>
  <si>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</si>
  <si>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</si>
  <si>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</si>
  <si>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</si>
  <si>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</si>
  <si>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</si>
  <si>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</si>
  <si>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</si>
  <si>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</si>
  <si>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</si>
  <si>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</si>
  <si>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</si>
  <si>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</si>
  <si>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</si>
  <si>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</si>
  <si>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</si>
  <si>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</si>
  <si>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</si>
  <si>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</si>
  <si>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</si>
  <si>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</si>
  <si>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</si>
  <si>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</si>
  <si>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</si>
  <si>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</si>
  <si>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</si>
  <si>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</si>
  <si>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</si>
  <si>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</si>
  <si>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</si>
  <si>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</si>
  <si>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</si>
  <si>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</si>
  <si>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</si>
  <si>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</si>
  <si>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</si>
  <si>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</si>
  <si>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</si>
  <si>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</si>
  <si>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</si>
  <si>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</si>
  <si>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</si>
  <si>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</si>
  <si>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</si>
  <si>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</si>
  <si>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</si>
  <si>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</si>
  <si>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</si>
  <si>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</si>
  <si>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</si>
  <si>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</si>
  <si>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</si>
  <si>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</si>
  <si>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</si>
  <si>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</si>
  <si>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</si>
  <si>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</si>
  <si>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</si>
  <si>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</si>
  <si>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</si>
  <si>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</si>
  <si>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</si>
  <si>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</si>
  <si>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</si>
  <si>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</si>
  <si>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</si>
  <si>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</si>
  <si>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</si>
  <si>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</si>
  <si>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</si>
  <si>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</si>
  <si>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</si>
  <si>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</si>
  <si>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</si>
  <si>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</si>
  <si>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</si>
  <si>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</si>
  <si>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</si>
  <si>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</si>
  <si>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</si>
  <si>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</si>
  <si>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</si>
  <si>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</si>
  <si>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</si>
  <si>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</si>
  <si>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</si>
  <si>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</si>
  <si>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</si>
  <si>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</si>
  <si>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</si>
  <si>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</si>
  <si>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</si>
  <si>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</si>
  <si>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</si>
  <si>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</si>
  <si>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</si>
  <si>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</si>
  <si>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</si>
  <si>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</si>
  <si>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</si>
  <si>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</si>
  <si>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</si>
  <si>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</si>
  <si>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</si>
  <si>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</si>
  <si>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</si>
  <si>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</si>
  <si>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</si>
  <si>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</si>
  <si>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</si>
  <si>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</si>
  <si>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</si>
  <si>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</si>
  <si>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</si>
  <si>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</si>
  <si>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</si>
  <si>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</si>
  <si>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</si>
  <si>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</si>
  <si>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</si>
  <si>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</si>
  <si>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</si>
  <si>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</si>
  <si>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</si>
  <si>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</si>
  <si>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</si>
  <si>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</si>
  <si>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</si>
  <si>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</si>
  <si>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</si>
  <si>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</si>
  <si>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</si>
  <si>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</si>
  <si>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</si>
  <si>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</si>
  <si>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</si>
  <si>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</si>
  <si>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</si>
  <si>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</si>
  <si>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</si>
  <si>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</si>
  <si>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</si>
  <si>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</si>
  <si>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</si>
  <si>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</si>
  <si>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</si>
  <si>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</si>
  <si>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</si>
  <si>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</si>
  <si>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</si>
  <si>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</si>
  <si>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</si>
  <si>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</si>
  <si>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</si>
  <si>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</si>
  <si>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</si>
  <si>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</si>
  <si>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</si>
  <si>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</si>
  <si>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</si>
  <si>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</si>
  <si>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</si>
  <si>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</si>
  <si>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</si>
  <si>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</si>
  <si>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</si>
  <si>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</si>
  <si>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</si>
  <si>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</si>
  <si>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</si>
  <si>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</si>
  <si>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</si>
  <si>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</si>
  <si>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</si>
  <si>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</si>
  <si>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</si>
  <si>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</si>
  <si>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</si>
  <si>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</si>
  <si>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</si>
  <si>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</si>
  <si>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</si>
  <si>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</si>
  <si>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</si>
  <si>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</si>
  <si>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</si>
  <si>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</si>
  <si>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</si>
  <si>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</si>
  <si>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</si>
  <si>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</si>
  <si>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</si>
  <si>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</si>
  <si>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</si>
  <si>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</si>
  <si>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</si>
  <si>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</si>
  <si>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</si>
  <si>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</si>
  <si>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</si>
  <si>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</si>
  <si>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</si>
  <si>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</si>
  <si>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</si>
  <si>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</si>
  <si>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</si>
  <si>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</si>
  <si>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</si>
  <si>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</si>
  <si>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</si>
  <si>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</si>
  <si>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</si>
  <si>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</si>
  <si>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</si>
  <si>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</si>
  <si>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</si>
  <si>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</si>
  <si>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</si>
  <si>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</si>
  <si>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</si>
  <si>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</si>
  <si>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</si>
  <si>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</si>
  <si>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</si>
  <si>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</si>
  <si>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</si>
  <si>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</si>
  <si>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</si>
  <si>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</si>
  <si>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</si>
  <si>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</si>
  <si>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</si>
  <si>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</si>
  <si>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</si>
  <si>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</si>
  <si>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</si>
  <si>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</si>
  <si>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</si>
  <si>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</si>
  <si>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</si>
  <si>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</si>
  <si>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</si>
  <si>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</si>
  <si>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</si>
  <si>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</si>
  <si>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</si>
  <si>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</si>
  <si>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</si>
  <si>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</si>
  <si>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</si>
  <si>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</si>
  <si>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</si>
  <si>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</si>
  <si>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</si>
  <si>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</si>
  <si>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</si>
  <si>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</si>
  <si>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</si>
  <si>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</si>
  <si>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</si>
  <si>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</si>
  <si>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</si>
  <si>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</si>
  <si>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</si>
  <si>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</si>
  <si>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</si>
  <si>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</si>
  <si>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</si>
  <si>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</si>
  <si>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</si>
  <si>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</si>
  <si>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</si>
  <si>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</si>
  <si>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</si>
  <si>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</si>
  <si>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</si>
  <si>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</si>
  <si>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</si>
  <si>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</si>
  <si>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</si>
  <si>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</si>
  <si>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</si>
  <si>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</si>
  <si>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</si>
  <si>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</si>
  <si>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</si>
  <si>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</si>
  <si>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</si>
  <si>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</si>
  <si>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</si>
  <si>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</si>
  <si>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</si>
  <si>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</si>
  <si>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</si>
  <si>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</si>
  <si>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</si>
  <si>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</si>
  <si>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</si>
  <si>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</si>
  <si>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</si>
  <si>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</si>
  <si>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</si>
  <si>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</si>
  <si>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</si>
  <si>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</si>
  <si>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</si>
  <si>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</si>
  <si>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</si>
  <si>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</si>
  <si>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</si>
  <si>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</si>
  <si>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</si>
  <si>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</si>
  <si>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</si>
  <si>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</si>
  <si>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</si>
  <si>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</si>
  <si>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</si>
  <si>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</si>
  <si>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</si>
  <si>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</si>
  <si>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</si>
  <si>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</si>
  <si>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</si>
  <si>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</si>
  <si>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</si>
  <si>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</si>
  <si>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</si>
  <si>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</si>
  <si>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</si>
  <si>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</si>
  <si>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</si>
  <si>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</si>
  <si>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</si>
  <si>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</si>
  <si>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</si>
  <si>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</si>
  <si>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</si>
  <si>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</si>
  <si>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</si>
  <si>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</si>
  <si>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</si>
  <si>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</si>
  <si>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</si>
  <si>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</si>
  <si>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</si>
  <si>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</si>
  <si>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</si>
  <si>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</si>
  <si>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</si>
  <si>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</si>
  <si>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</si>
  <si>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</si>
  <si>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</si>
  <si>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</si>
  <si>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</si>
  <si>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</si>
  <si>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</si>
  <si>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</si>
  <si>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</si>
  <si>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</si>
  <si>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</si>
  <si>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</si>
  <si>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</si>
  <si>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</si>
  <si>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</si>
  <si>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</si>
  <si>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</si>
  <si>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</si>
  <si>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</si>
  <si>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</si>
  <si>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</si>
  <si>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</si>
  <si>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</si>
  <si>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</si>
  <si>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</si>
  <si>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</si>
  <si>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</si>
  <si>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</si>
  <si>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</si>
  <si>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</si>
  <si>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</si>
  <si>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</si>
  <si>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</si>
  <si>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</si>
  <si>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</si>
  <si>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</si>
  <si>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</si>
  <si>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</si>
  <si>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</si>
  <si>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</si>
  <si>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</si>
  <si>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</si>
  <si>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</si>
  <si>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</si>
  <si>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</si>
  <si>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</si>
  <si>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</si>
  <si>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</si>
  <si>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</si>
  <si>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</si>
  <si>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</si>
  <si>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</si>
  <si>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</si>
  <si>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</si>
  <si>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</si>
  <si>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</si>
  <si>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</si>
  <si>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</si>
  <si>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</si>
  <si>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</si>
  <si>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</si>
  <si>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</si>
  <si>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</si>
  <si>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</si>
  <si>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</si>
  <si>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</si>
  <si>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</si>
  <si>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</si>
  <si>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</si>
  <si>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</si>
  <si>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</si>
  <si>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</si>
  <si>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</si>
  <si>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</si>
  <si>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</si>
  <si>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</si>
  <si>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</si>
  <si>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</si>
  <si>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</si>
  <si>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</si>
  <si>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</si>
  <si>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</si>
  <si>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</si>
  <si>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</si>
  <si>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</si>
  <si>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</si>
  <si>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</si>
  <si>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</si>
  <si>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</si>
  <si>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</si>
  <si>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</si>
  <si>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</si>
  <si>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</si>
  <si>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</si>
  <si>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</si>
  <si>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</si>
  <si>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</si>
  <si>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</si>
  <si>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</si>
  <si>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</si>
  <si>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</si>
  <si>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</si>
  <si>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</si>
  <si>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</si>
  <si>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</si>
  <si>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</si>
  <si>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</si>
  <si>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</si>
  <si>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</si>
  <si>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</si>
  <si>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</si>
  <si>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</si>
  <si>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</si>
  <si>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</si>
  <si>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</si>
  <si>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</si>
  <si>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</si>
  <si>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</si>
  <si>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</si>
  <si>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</si>
  <si>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</si>
  <si>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</si>
  <si>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</si>
  <si>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</si>
  <si>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</si>
  <si>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</si>
  <si>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</si>
  <si>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</si>
  <si>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</si>
  <si>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</si>
  <si>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</si>
  <si>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</si>
  <si>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</si>
  <si>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</si>
  <si>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</si>
  <si>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</si>
  <si>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</si>
  <si>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</si>
  <si>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</si>
  <si>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</si>
  <si>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</si>
  <si>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</si>
  <si>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</si>
  <si>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</si>
  <si>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</si>
  <si>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</si>
  <si>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</si>
  <si>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</si>
  <si>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</si>
  <si>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</si>
  <si>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</si>
  <si>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</si>
  <si>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</si>
  <si>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</si>
  <si>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</si>
  <si>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</si>
  <si>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</si>
  <si>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</si>
  <si>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</si>
  <si>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</si>
  <si>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</si>
  <si>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</si>
  <si>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</si>
  <si>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</si>
  <si>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</si>
  <si>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</si>
  <si>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</si>
  <si>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</si>
  <si>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</si>
  <si>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</si>
  <si>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</si>
  <si>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</si>
  <si>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</si>
  <si>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</si>
  <si>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</si>
  <si>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</si>
  <si>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</si>
  <si>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</si>
  <si>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</si>
  <si>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</si>
  <si>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</si>
  <si>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</si>
  <si>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</si>
  <si>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</si>
  <si>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</si>
  <si>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</si>
  <si>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</si>
  <si>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</si>
  <si>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</si>
  <si>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</si>
  <si>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</si>
  <si>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</si>
  <si>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</si>
  <si>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</si>
  <si>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</si>
  <si>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</si>
  <si>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</si>
  <si>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</si>
  <si>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</si>
  <si>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</si>
  <si>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</si>
  <si>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</si>
  <si>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</si>
  <si>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</si>
  <si>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</si>
  <si>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</si>
  <si>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</si>
  <si>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</si>
  <si>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</si>
  <si>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</si>
  <si>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</si>
  <si>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</si>
  <si>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</si>
  <si>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</si>
  <si>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</si>
  <si>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</si>
  <si>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</si>
  <si>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</si>
  <si>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</si>
  <si>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</si>
  <si>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</si>
  <si>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</si>
  <si>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</si>
  <si>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</si>
  <si>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</si>
  <si>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</si>
  <si>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</si>
  <si>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</si>
  <si>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</si>
  <si>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</si>
  <si>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</si>
  <si>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</si>
  <si>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</si>
  <si>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</si>
  <si>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</si>
  <si>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</si>
  <si>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</si>
  <si>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</si>
  <si>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</si>
  <si>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</si>
  <si>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</si>
  <si>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</si>
  <si>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</si>
  <si>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</si>
  <si>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</si>
  <si>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</si>
  <si>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</si>
  <si>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</si>
  <si>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</si>
  <si>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</si>
  <si>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</si>
  <si>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</si>
  <si>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</si>
  <si>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</si>
  <si>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</si>
  <si>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</si>
  <si>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</si>
  <si>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</si>
  <si>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</si>
  <si>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</si>
  <si>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</si>
  <si>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</si>
  <si>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</si>
  <si>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</si>
  <si>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</si>
  <si>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</si>
  <si>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</si>
  <si>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</si>
  <si>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</si>
  <si>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</si>
  <si>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</si>
  <si>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</si>
  <si>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</si>
  <si>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</si>
  <si>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</si>
  <si>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</si>
  <si>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</si>
  <si>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</si>
  <si>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</si>
  <si>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</si>
  <si>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</si>
  <si>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</si>
  <si>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</si>
  <si>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</si>
  <si>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</si>
  <si>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</si>
  <si>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</si>
  <si>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</si>
  <si>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ANDRI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</si>
</sst>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60">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7"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0002APP20211202270</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28</v>
      </c>
      <c r="B1" t="s">
        <v>3358</v>
      </c>
      <c r="C1" s="1" t="s">
        <v>3357</v>
      </c>
      <c r="D1" s="1" t="s">
        <v>3357</v>
      </c>
      <c r="E1" s="1" t="s">
        <v>3357</v>
      </c>
    </row>
    <row customFormat="1" r="2" s="1" spans="1:11" x14ac:dyDescent="0.25">
      <c r="A2" s="54" t="s">
        <v>3640</v>
      </c>
      <c r="B2" s="1" t="str">
        <f>'[1]1.TabCustomerMainData'!$B$3</f>
        <v>0002APP20211202270</v>
      </c>
      <c r="C2" s="1" t="str">
        <f>'[1]1.TabCustomerMainData'!$C$3</f>
        <v>0002APP20211201264</v>
      </c>
      <c r="D2" s="1" t="str">
        <f>'[1]1.TabCustomerMainData'!$D$3</f>
        <v>0002APP20211201270</v>
      </c>
      <c r="E2" s="1" t="str">
        <f>'[1]1.TabCustomerMainData'!$E$3</f>
        <v>0002APP20211201271</v>
      </c>
    </row>
    <row customFormat="1" r="3" s="1" spans="1:11" x14ac:dyDescent="0.25">
      <c r="A3" s="54" t="s">
        <v>0</v>
      </c>
      <c r="B3" s="1" t="s">
        <v>4172</v>
      </c>
      <c r="C3" s="1" t="s">
        <v>1</v>
      </c>
      <c r="D3" s="1" t="s">
        <v>2</v>
      </c>
      <c r="E3" s="1" t="s">
        <v>3</v>
      </c>
    </row>
    <row customFormat="1" r="4" s="1" spans="1:11" x14ac:dyDescent="0.25">
      <c r="A4" s="1" t="s">
        <v>16</v>
      </c>
    </row>
    <row customFormat="1" r="5" s="1" spans="1:11" x14ac:dyDescent="0.25">
      <c r="A5" s="1" t="s">
        <v>5</v>
      </c>
      <c r="B5" s="2"/>
      <c r="C5" s="2"/>
      <c r="D5" s="2"/>
      <c r="E5" s="2"/>
      <c r="F5" s="2"/>
      <c r="G5" s="2"/>
      <c r="H5" s="2"/>
      <c r="I5" s="2"/>
      <c r="J5" s="2"/>
      <c r="K5" s="2"/>
    </row>
    <row customFormat="1" r="6" s="1" spans="1:11" x14ac:dyDescent="0.25">
      <c r="A6" s="1" t="s">
        <v>6</v>
      </c>
      <c r="B6" s="2"/>
      <c r="C6" s="2"/>
      <c r="D6" s="2"/>
      <c r="E6" s="2"/>
      <c r="F6" s="2"/>
      <c r="G6" s="2"/>
      <c r="H6" s="2"/>
      <c r="I6" s="2"/>
      <c r="J6" s="2"/>
      <c r="K6" s="2"/>
    </row>
    <row customFormat="1" r="7" s="1" spans="1:11" x14ac:dyDescent="0.25">
      <c r="A7" s="1" t="s">
        <v>7</v>
      </c>
      <c r="B7" s="2"/>
      <c r="C7" s="2"/>
      <c r="D7" s="2"/>
      <c r="E7" s="2"/>
      <c r="F7" s="2"/>
      <c r="G7" s="2"/>
      <c r="H7" s="2"/>
      <c r="I7" s="2"/>
      <c r="J7" s="2"/>
      <c r="K7" s="2"/>
    </row>
    <row customFormat="1" r="8" s="1" spans="1:11" x14ac:dyDescent="0.25">
      <c r="A8" s="1" t="s">
        <v>8</v>
      </c>
      <c r="B8" s="1" t="s">
        <v>9</v>
      </c>
      <c r="C8" s="1" t="s">
        <v>9</v>
      </c>
      <c r="D8" s="1" t="s">
        <v>9</v>
      </c>
      <c r="E8" s="1" t="s">
        <v>9</v>
      </c>
    </row>
    <row customFormat="1" r="9" s="1" spans="1:11" x14ac:dyDescent="0.25">
      <c r="A9" s="1" t="s">
        <v>10</v>
      </c>
      <c r="B9" s="1" t="s">
        <v>11</v>
      </c>
      <c r="C9" s="1" t="s">
        <v>9</v>
      </c>
      <c r="D9" s="1" t="s">
        <v>9</v>
      </c>
      <c r="E9" s="1" t="s">
        <v>9</v>
      </c>
    </row>
    <row customFormat="1" r="10" s="1" spans="1:11" x14ac:dyDescent="0.25">
      <c r="A10" s="1" t="s">
        <v>12</v>
      </c>
      <c r="B10" s="1" t="s">
        <v>9</v>
      </c>
      <c r="C10" s="1" t="s">
        <v>9</v>
      </c>
      <c r="D10" s="1" t="s">
        <v>9</v>
      </c>
      <c r="E10" s="1" t="s">
        <v>9</v>
      </c>
    </row>
    <row customFormat="1" r="11" s="1" spans="1:11" x14ac:dyDescent="0.25">
      <c r="A11" s="1" t="s">
        <v>13</v>
      </c>
    </row>
    <row customFormat="1" r="12" s="1" spans="1:11" x14ac:dyDescent="0.25">
      <c r="A12" s="44" t="s">
        <v>14</v>
      </c>
      <c r="B12" s="1" t="s">
        <v>15</v>
      </c>
      <c r="C12" s="1" t="s">
        <v>15</v>
      </c>
      <c r="D12" s="1" t="s">
        <v>15</v>
      </c>
      <c r="E12" s="1" t="s">
        <v>15</v>
      </c>
    </row>
    <row customFormat="1" r="13" s="1" spans="1:11" x14ac:dyDescent="0.25">
      <c r="A13" s="1" t="s">
        <v>4</v>
      </c>
    </row>
    <row customFormat="1" r="14" s="1" spans="1:11" x14ac:dyDescent="0.25">
      <c r="A14" s="1" t="s">
        <v>17</v>
      </c>
    </row>
    <row customFormat="1" r="15" s="1" spans="1:11" x14ac:dyDescent="0.25">
      <c r="A15" s="44" t="s">
        <v>18</v>
      </c>
      <c r="B15" s="1" t="s">
        <v>4137</v>
      </c>
      <c r="C15" s="1" t="s">
        <v>19</v>
      </c>
      <c r="D15" s="1" t="s">
        <v>19</v>
      </c>
      <c r="E15" s="1" t="s">
        <v>19</v>
      </c>
    </row>
    <row customFormat="1" r="16" s="1" spans="1:11" x14ac:dyDescent="0.25">
      <c r="A16" s="45" t="s">
        <v>3652</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20</v>
      </c>
      <c r="B17" s="2" t="s">
        <v>3655</v>
      </c>
      <c r="C17" s="2"/>
      <c r="D17" s="2"/>
      <c r="E17" s="2"/>
      <c r="F17" s="2"/>
      <c r="G17" s="2"/>
      <c r="H17" s="2"/>
      <c r="I17" s="2"/>
      <c r="J17" s="2"/>
      <c r="K17" s="2"/>
    </row>
    <row customFormat="1" r="18" s="1" spans="1:11" x14ac:dyDescent="0.25">
      <c r="A18" s="44" t="s">
        <v>21</v>
      </c>
      <c r="B18" s="1" t="s">
        <v>22</v>
      </c>
      <c r="C18" s="1" t="s">
        <v>22</v>
      </c>
      <c r="D18" s="1" t="s">
        <v>22</v>
      </c>
      <c r="E18" s="1" t="s">
        <v>22</v>
      </c>
    </row>
    <row customFormat="1" r="19" s="1" spans="1:11" x14ac:dyDescent="0.25">
      <c r="A19" s="44" t="s">
        <v>23</v>
      </c>
      <c r="B19" s="1" t="s">
        <v>25</v>
      </c>
      <c r="C19" s="1" t="s">
        <v>25</v>
      </c>
      <c r="D19" s="1" t="s">
        <v>26</v>
      </c>
      <c r="E19" s="1" t="s">
        <v>24</v>
      </c>
    </row>
    <row customFormat="1" r="20" s="1" spans="1:11" x14ac:dyDescent="0.25">
      <c r="A20" s="43" t="s">
        <v>27</v>
      </c>
      <c r="B20" s="2" t="s">
        <v>4138</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13" workbookViewId="0">
      <selection activeCell="D14" sqref="D14"/>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28</v>
      </c>
      <c r="B1" t="s">
        <v>3358</v>
      </c>
      <c r="C1" s="1" t="s">
        <v>3357</v>
      </c>
      <c r="D1" s="1" t="s">
        <v>3357</v>
      </c>
      <c r="E1" s="1" t="s">
        <v>3357</v>
      </c>
    </row>
    <row customFormat="1" r="2" s="1" spans="1:11" x14ac:dyDescent="0.25">
      <c r="A2" s="44" t="s">
        <v>29</v>
      </c>
      <c r="B2" s="1" t="s">
        <v>30</v>
      </c>
      <c r="C2" s="1" t="s">
        <v>30</v>
      </c>
      <c r="D2" s="1" t="s">
        <v>30</v>
      </c>
      <c r="E2" s="1" t="s">
        <v>30</v>
      </c>
    </row>
    <row customFormat="1" r="3" s="1" spans="1:11" x14ac:dyDescent="0.25">
      <c r="A3" s="1" t="s">
        <v>31</v>
      </c>
      <c r="B3" s="1" t="s">
        <v>4140</v>
      </c>
    </row>
    <row customFormat="1" r="4" s="1" spans="1:11" x14ac:dyDescent="0.25">
      <c r="A4" s="44" t="s">
        <v>32</v>
      </c>
      <c r="B4" s="1" t="s">
        <v>33</v>
      </c>
      <c r="C4" s="1" t="s">
        <v>34</v>
      </c>
      <c r="D4" s="1" t="s">
        <v>35</v>
      </c>
      <c r="E4" s="1" t="s">
        <v>36</v>
      </c>
    </row>
    <row customFormat="1" r="5" s="1" spans="1:11" x14ac:dyDescent="0.25">
      <c r="A5" s="44" t="s">
        <v>37</v>
      </c>
      <c r="B5" s="2">
        <v>23</v>
      </c>
      <c r="C5" s="2">
        <v>23</v>
      </c>
      <c r="D5" s="2">
        <v>23</v>
      </c>
      <c r="E5" s="2">
        <v>23</v>
      </c>
      <c r="F5" s="2"/>
      <c r="G5" s="2"/>
      <c r="H5" s="2"/>
      <c r="I5" s="2"/>
      <c r="J5" s="2"/>
      <c r="K5" s="2"/>
    </row>
    <row customFormat="1" r="6" s="1" spans="1:11" x14ac:dyDescent="0.25">
      <c r="A6" s="44" t="s">
        <v>38</v>
      </c>
      <c r="B6" s="2">
        <v>12</v>
      </c>
      <c r="C6" s="2">
        <v>12</v>
      </c>
      <c r="D6" s="2">
        <v>12</v>
      </c>
      <c r="E6" s="2">
        <v>12</v>
      </c>
      <c r="F6" s="2"/>
      <c r="G6" s="2"/>
      <c r="H6" s="2"/>
      <c r="I6" s="2"/>
      <c r="J6" s="2"/>
      <c r="K6" s="2"/>
    </row>
    <row customFormat="1" r="7" s="1" spans="1:11" x14ac:dyDescent="0.25">
      <c r="A7" s="44" t="s">
        <v>39</v>
      </c>
      <c r="B7" s="2">
        <v>11530</v>
      </c>
      <c r="C7" s="2">
        <v>11530</v>
      </c>
      <c r="D7" s="2">
        <v>11530</v>
      </c>
      <c r="E7" s="2">
        <v>11530</v>
      </c>
      <c r="F7" s="2"/>
      <c r="G7" s="2"/>
      <c r="H7" s="2"/>
      <c r="I7" s="2"/>
      <c r="J7" s="2"/>
      <c r="K7" s="2"/>
    </row>
    <row customFormat="1" r="8" s="1" spans="1:11" x14ac:dyDescent="0.25">
      <c r="A8" s="44" t="s">
        <v>40</v>
      </c>
      <c r="B8" s="1" t="s">
        <v>41</v>
      </c>
      <c r="C8" s="1" t="s">
        <v>41</v>
      </c>
      <c r="D8" s="1" t="s">
        <v>41</v>
      </c>
      <c r="E8" s="1" t="s">
        <v>41</v>
      </c>
    </row>
    <row customFormat="1" r="9" s="1" spans="1:11" x14ac:dyDescent="0.25">
      <c r="A9" s="44" t="s">
        <v>42</v>
      </c>
      <c r="B9" s="1" t="s">
        <v>41</v>
      </c>
      <c r="C9" s="1" t="s">
        <v>41</v>
      </c>
      <c r="D9" s="1" t="s">
        <v>41</v>
      </c>
      <c r="E9" s="1" t="s">
        <v>41</v>
      </c>
    </row>
    <row customFormat="1" r="10" s="1" spans="1:11" x14ac:dyDescent="0.25">
      <c r="A10" s="44" t="s">
        <v>43</v>
      </c>
      <c r="B10" s="1" t="s">
        <v>296</v>
      </c>
      <c r="C10" s="1" t="s">
        <v>296</v>
      </c>
      <c r="D10" s="1" t="s">
        <v>296</v>
      </c>
      <c r="E10" s="1" t="s">
        <v>296</v>
      </c>
    </row>
    <row customFormat="1" r="11" s="1" spans="1:11" x14ac:dyDescent="0.25">
      <c r="A11" s="1" t="s">
        <v>297</v>
      </c>
      <c r="B11" s="2"/>
      <c r="C11" s="2"/>
      <c r="D11" s="2"/>
      <c r="E11" s="2"/>
      <c r="F11" s="2"/>
      <c r="G11" s="2"/>
      <c r="H11" s="2"/>
      <c r="I11" s="2"/>
      <c r="J11" s="2"/>
      <c r="K11" s="2"/>
    </row>
    <row customFormat="1" r="12" s="1" spans="1:11" x14ac:dyDescent="0.25">
      <c r="A12" s="1" t="s">
        <v>298</v>
      </c>
      <c r="B12" s="2"/>
      <c r="C12" s="2"/>
      <c r="D12" s="2"/>
      <c r="E12" s="2"/>
      <c r="F12" s="2"/>
      <c r="G12" s="2"/>
      <c r="H12" s="2"/>
      <c r="I12" s="2"/>
      <c r="J12" s="2"/>
      <c r="K12" s="2"/>
    </row>
    <row customFormat="1" r="13" s="1" spans="1:11" x14ac:dyDescent="0.25">
      <c r="A13" s="1" t="s">
        <v>299</v>
      </c>
      <c r="B13" s="2"/>
      <c r="C13" s="2"/>
      <c r="D13" s="2"/>
      <c r="E13" s="2"/>
      <c r="F13" s="2"/>
      <c r="G13" s="2"/>
      <c r="H13" s="2"/>
      <c r="I13" s="2"/>
      <c r="J13" s="2"/>
      <c r="K13" s="2"/>
    </row>
    <row customFormat="1" r="14" s="1" spans="1:11" x14ac:dyDescent="0.25">
      <c r="A14" s="1" t="s">
        <v>300</v>
      </c>
      <c r="B14" s="2"/>
      <c r="C14" s="2"/>
      <c r="D14" s="2"/>
      <c r="E14" s="2"/>
      <c r="F14" s="2"/>
      <c r="G14" s="2"/>
      <c r="H14" s="2"/>
      <c r="I14" s="2"/>
      <c r="J14" s="2"/>
      <c r="K14" s="2"/>
    </row>
    <row customFormat="1" r="15" s="1" spans="1:11" x14ac:dyDescent="0.25">
      <c r="A15" s="1" t="s">
        <v>301</v>
      </c>
      <c r="B15" s="2"/>
      <c r="C15" s="2"/>
      <c r="D15" s="2"/>
      <c r="E15" s="2"/>
      <c r="F15" s="2"/>
      <c r="G15" s="2"/>
      <c r="H15" s="2"/>
      <c r="I15" s="2"/>
      <c r="J15" s="2"/>
      <c r="K15" s="2"/>
    </row>
    <row customFormat="1" r="16" s="1" spans="1:11" x14ac:dyDescent="0.25">
      <c r="A16" s="1" t="s">
        <v>302</v>
      </c>
      <c r="B16" s="2"/>
      <c r="C16" s="2"/>
      <c r="D16" s="2"/>
      <c r="E16" s="2"/>
      <c r="F16" s="2"/>
      <c r="G16" s="2"/>
      <c r="H16" s="2"/>
      <c r="I16" s="2"/>
      <c r="J16" s="2"/>
      <c r="K16" s="2"/>
    </row>
    <row customFormat="1" r="17" s="1" spans="1:11" x14ac:dyDescent="0.25">
      <c r="A17" s="1" t="s">
        <v>303</v>
      </c>
      <c r="B17" s="2"/>
      <c r="C17" s="2"/>
      <c r="D17" s="2"/>
      <c r="E17" s="2"/>
      <c r="F17" s="2"/>
      <c r="G17" s="2"/>
      <c r="H17" s="2"/>
      <c r="I17" s="2"/>
      <c r="J17" s="2"/>
      <c r="K17" s="2"/>
    </row>
    <row customFormat="1" r="18" s="1" spans="1:11" x14ac:dyDescent="0.25">
      <c r="A18" s="1" t="s">
        <v>304</v>
      </c>
      <c r="B18" s="2"/>
      <c r="C18" s="2"/>
      <c r="D18" s="2"/>
      <c r="E18" s="2"/>
      <c r="F18" s="2"/>
      <c r="G18" s="2"/>
      <c r="H18" s="2"/>
      <c r="I18" s="2"/>
      <c r="J18" s="2"/>
      <c r="K18" s="2"/>
    </row>
    <row customFormat="1" r="19" s="1" spans="1:11" x14ac:dyDescent="0.25">
      <c r="A19" s="1" t="s">
        <v>305</v>
      </c>
      <c r="B19" s="2"/>
      <c r="C19" s="2"/>
      <c r="D19" s="2"/>
      <c r="E19" s="2"/>
      <c r="F19" s="2"/>
      <c r="G19" s="2"/>
      <c r="H19" s="2"/>
      <c r="I19" s="2"/>
      <c r="J19" s="2"/>
      <c r="K19" s="2"/>
    </row>
    <row customFormat="1" r="20" s="1" spans="1:11" x14ac:dyDescent="0.25">
      <c r="A20" s="1" t="s">
        <v>306</v>
      </c>
      <c r="B20" s="2"/>
      <c r="C20" s="2"/>
      <c r="D20" s="2"/>
      <c r="E20" s="2"/>
      <c r="F20" s="2"/>
      <c r="G20" s="2"/>
      <c r="H20" s="2"/>
      <c r="I20" s="2"/>
      <c r="J20" s="2"/>
      <c r="K20" s="2"/>
    </row>
    <row customFormat="1" r="21" s="1" spans="1:11" x14ac:dyDescent="0.25">
      <c r="A21" s="1" t="s">
        <v>307</v>
      </c>
      <c r="B21" s="2"/>
      <c r="C21" s="2"/>
      <c r="D21" s="2"/>
      <c r="E21" s="2"/>
      <c r="F21" s="2"/>
      <c r="G21" s="2"/>
      <c r="H21" s="2"/>
      <c r="I21" s="2"/>
      <c r="J21" s="2"/>
      <c r="K21" s="2"/>
    </row>
    <row customFormat="1" r="22" s="1" spans="1:11" x14ac:dyDescent="0.25">
      <c r="A22" s="44" t="s">
        <v>45</v>
      </c>
      <c r="B22" s="1" t="s">
        <v>46</v>
      </c>
      <c r="C22" s="1" t="s">
        <v>46</v>
      </c>
      <c r="D22" s="1" t="s">
        <v>46</v>
      </c>
      <c r="E22" s="1" t="s">
        <v>46</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264"/>
  <sheetViews>
    <sheetView topLeftCell="A85" workbookViewId="0" zoomScaleNormal="100">
      <selection activeCell="A90" sqref="A90:XFD26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28</v>
      </c>
      <c r="B1" t="s">
        <v>3358</v>
      </c>
      <c r="C1" s="1" t="s">
        <v>3357</v>
      </c>
      <c r="D1" s="1" t="s">
        <v>3357</v>
      </c>
      <c r="E1" s="1" t="s">
        <v>3357</v>
      </c>
    </row>
    <row customFormat="1" r="2" s="59" spans="1:11" x14ac:dyDescent="0.25">
      <c r="A2" s="56" t="s">
        <v>3641</v>
      </c>
      <c r="B2" s="57"/>
      <c r="C2" s="57"/>
      <c r="D2" s="57"/>
      <c r="E2" s="57"/>
      <c r="F2" s="57"/>
      <c r="G2" s="57"/>
      <c r="H2" s="57"/>
      <c r="I2" s="57"/>
      <c r="J2" s="57"/>
      <c r="K2" s="58"/>
    </row>
    <row customFormat="1" r="3" s="1" spans="1:1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customFormat="1" r="4" s="1" spans="1:11" x14ac:dyDescent="0.25">
      <c r="A4" s="44" t="s">
        <v>105</v>
      </c>
      <c r="B4" s="3" t="s">
        <v>233</v>
      </c>
      <c r="C4" s="3" t="s">
        <v>106</v>
      </c>
      <c r="D4" s="3" t="s">
        <v>233</v>
      </c>
      <c r="E4" s="3" t="s">
        <v>233</v>
      </c>
      <c r="F4" s="3"/>
      <c r="G4" s="3"/>
      <c r="H4" s="3"/>
      <c r="I4" s="3"/>
      <c r="J4" s="3"/>
      <c r="K4" s="3"/>
    </row>
    <row customFormat="1" r="5" s="1" spans="1:11" x14ac:dyDescent="0.25">
      <c r="A5" s="44" t="s">
        <v>49</v>
      </c>
      <c r="B5" s="3" t="s">
        <v>309</v>
      </c>
      <c r="C5" s="3" t="s">
        <v>309</v>
      </c>
      <c r="D5" s="3" t="s">
        <v>309</v>
      </c>
      <c r="E5" s="3" t="s">
        <v>309</v>
      </c>
      <c r="F5" s="3"/>
      <c r="G5" s="3"/>
      <c r="H5" s="3"/>
      <c r="I5" s="3"/>
      <c r="J5" s="3"/>
      <c r="K5" s="3"/>
    </row>
    <row customFormat="1" r="6" s="1" spans="1:11" x14ac:dyDescent="0.25">
      <c r="A6" s="44" t="s">
        <v>52</v>
      </c>
      <c r="B6" s="3" t="s">
        <v>53</v>
      </c>
      <c r="C6" s="3"/>
      <c r="D6" s="3"/>
      <c r="E6" s="3"/>
      <c r="F6" s="3"/>
      <c r="G6" s="3"/>
      <c r="H6" s="3"/>
      <c r="I6" s="3"/>
      <c r="J6" s="3"/>
      <c r="K6" s="3"/>
    </row>
    <row customFormat="1" r="7" s="1" spans="1:11" x14ac:dyDescent="0.25">
      <c r="A7" s="1" t="s">
        <v>54</v>
      </c>
      <c r="B7" s="1" t="s">
        <v>11</v>
      </c>
      <c r="C7" s="1" t="s">
        <v>9</v>
      </c>
      <c r="D7" s="1" t="s">
        <v>9</v>
      </c>
      <c r="E7" s="1" t="s">
        <v>9</v>
      </c>
    </row>
    <row customFormat="1" r="8" s="1" spans="1:11" x14ac:dyDescent="0.25">
      <c r="A8" s="1" t="s">
        <v>55</v>
      </c>
      <c r="B8" s="1" t="s">
        <v>9</v>
      </c>
      <c r="C8" s="1" t="s">
        <v>9</v>
      </c>
      <c r="D8" s="1" t="s">
        <v>9</v>
      </c>
      <c r="E8" s="1" t="s">
        <v>9</v>
      </c>
    </row>
    <row customFormat="1" r="9" s="1" spans="1:11" x14ac:dyDescent="0.25">
      <c r="A9" s="44" t="s">
        <v>286</v>
      </c>
      <c r="B9" s="1" t="s">
        <v>56</v>
      </c>
    </row>
    <row customFormat="1" r="10" s="1" spans="1:11" x14ac:dyDescent="0.25">
      <c r="A10" s="45" t="s">
        <v>287</v>
      </c>
      <c r="B10" s="1" t="str">
        <f>VLOOKUP(B11,Master!$AW:$AX,2,FALSE)</f>
        <v>1111</v>
      </c>
      <c r="C10" s="1">
        <v>1145</v>
      </c>
      <c r="D10" s="1">
        <v>1145</v>
      </c>
      <c r="E10" s="1">
        <v>1145</v>
      </c>
    </row>
    <row customFormat="1" r="11" s="1" spans="1:11" x14ac:dyDescent="0.25">
      <c r="A11" s="44" t="s">
        <v>288</v>
      </c>
      <c r="B11" s="1" t="s">
        <v>3402</v>
      </c>
      <c r="C11" s="1" t="s">
        <v>3402</v>
      </c>
      <c r="D11" s="1" t="s">
        <v>3096</v>
      </c>
      <c r="E11" s="1" t="s">
        <v>3096</v>
      </c>
    </row>
    <row customFormat="1" r="12" s="1" spans="1:11" x14ac:dyDescent="0.25">
      <c r="A12" s="1" t="s">
        <v>57</v>
      </c>
      <c r="B12" s="1" t="s">
        <v>58</v>
      </c>
      <c r="C12" s="1" t="s">
        <v>58</v>
      </c>
      <c r="D12" s="1" t="s">
        <v>58</v>
      </c>
      <c r="E12" s="1" t="s">
        <v>58</v>
      </c>
    </row>
    <row customFormat="1" r="13" s="1" spans="1:11" x14ac:dyDescent="0.25">
      <c r="A13" s="44" t="s">
        <v>59</v>
      </c>
      <c r="B13" s="48">
        <v>43957</v>
      </c>
      <c r="C13" s="8" t="s">
        <v>3364</v>
      </c>
      <c r="D13" s="8" t="s">
        <v>3365</v>
      </c>
      <c r="E13" s="8" t="s">
        <v>3364</v>
      </c>
      <c r="F13" s="8"/>
      <c r="G13" s="8"/>
      <c r="H13" s="8"/>
      <c r="I13" s="8"/>
      <c r="J13" s="8"/>
      <c r="K13" s="8"/>
    </row>
    <row customFormat="1" r="14" s="1" spans="1:11" x14ac:dyDescent="0.25">
      <c r="A14" s="1" t="s">
        <v>289</v>
      </c>
      <c r="B14" s="2" t="s">
        <v>51</v>
      </c>
      <c r="C14" s="2" t="s">
        <v>51</v>
      </c>
      <c r="D14" s="2" t="s">
        <v>51</v>
      </c>
      <c r="E14" s="2" t="s">
        <v>51</v>
      </c>
      <c r="F14" s="2"/>
      <c r="G14" s="2"/>
      <c r="H14" s="2"/>
      <c r="I14" s="2"/>
      <c r="J14" s="2"/>
      <c r="K14" s="2"/>
    </row>
    <row customFormat="1" r="15" s="1" spans="1:11" x14ac:dyDescent="0.25">
      <c r="A15" s="1" t="s">
        <v>60</v>
      </c>
      <c r="B15" s="2">
        <v>100</v>
      </c>
      <c r="C15" s="2">
        <v>200</v>
      </c>
      <c r="D15" s="2">
        <v>100</v>
      </c>
      <c r="E15" s="2">
        <v>200</v>
      </c>
      <c r="F15" s="2"/>
      <c r="G15" s="2"/>
      <c r="H15" s="2"/>
      <c r="I15" s="2"/>
      <c r="J15" s="2"/>
      <c r="K15" s="2"/>
    </row>
    <row customFormat="1" r="16" s="59" spans="1:11" x14ac:dyDescent="0.25">
      <c r="A16" s="56" t="s">
        <v>3642</v>
      </c>
      <c r="B16" s="57"/>
      <c r="C16" s="57"/>
      <c r="D16" s="57"/>
      <c r="E16" s="57"/>
      <c r="F16" s="57"/>
      <c r="G16" s="57"/>
      <c r="H16" s="57"/>
      <c r="I16" s="57"/>
      <c r="J16" s="57"/>
      <c r="K16" s="58"/>
    </row>
    <row customFormat="1" r="17" s="1" spans="1:11" x14ac:dyDescent="0.25">
      <c r="A17" s="44" t="s">
        <v>32</v>
      </c>
      <c r="B17" s="1" t="s">
        <v>33</v>
      </c>
      <c r="C17" s="1" t="s">
        <v>34</v>
      </c>
      <c r="D17" s="1" t="s">
        <v>35</v>
      </c>
      <c r="E17" s="1" t="s">
        <v>36</v>
      </c>
    </row>
    <row customFormat="1" r="18" s="1" spans="1:11" x14ac:dyDescent="0.25">
      <c r="A18" s="44" t="s">
        <v>37</v>
      </c>
      <c r="B18" s="2">
        <v>23</v>
      </c>
      <c r="C18" s="2">
        <v>23</v>
      </c>
      <c r="D18" s="2">
        <v>23</v>
      </c>
      <c r="E18" s="2">
        <v>23</v>
      </c>
      <c r="F18" s="2"/>
      <c r="G18" s="2"/>
      <c r="H18" s="2"/>
      <c r="I18" s="2"/>
      <c r="J18" s="2"/>
      <c r="K18" s="2"/>
    </row>
    <row customFormat="1" r="19" s="1" spans="1:11" x14ac:dyDescent="0.25">
      <c r="A19" s="44" t="s">
        <v>38</v>
      </c>
      <c r="B19" s="2">
        <v>12</v>
      </c>
      <c r="C19" s="2">
        <v>12</v>
      </c>
      <c r="D19" s="2">
        <v>12</v>
      </c>
      <c r="E19" s="2">
        <v>12</v>
      </c>
      <c r="F19" s="2"/>
      <c r="G19" s="2"/>
      <c r="H19" s="2"/>
      <c r="I19" s="2"/>
      <c r="J19" s="2"/>
      <c r="K19" s="2"/>
    </row>
    <row customFormat="1" r="20" s="1" spans="1:11" x14ac:dyDescent="0.25">
      <c r="A20" s="44" t="s">
        <v>39</v>
      </c>
      <c r="B20" s="2">
        <v>11530</v>
      </c>
      <c r="C20" s="2">
        <v>11530</v>
      </c>
      <c r="D20" s="2">
        <v>11530</v>
      </c>
      <c r="E20" s="2">
        <v>11530</v>
      </c>
      <c r="F20" s="2"/>
      <c r="G20" s="2"/>
      <c r="H20" s="2"/>
      <c r="I20" s="2"/>
      <c r="J20" s="2"/>
      <c r="K20" s="2"/>
    </row>
    <row customFormat="1" r="21" s="1" spans="1:11" x14ac:dyDescent="0.25">
      <c r="A21" s="44" t="s">
        <v>40</v>
      </c>
      <c r="B21" s="1" t="s">
        <v>41</v>
      </c>
      <c r="C21" s="1" t="s">
        <v>41</v>
      </c>
      <c r="D21" s="1" t="s">
        <v>41</v>
      </c>
      <c r="E21" s="1" t="s">
        <v>41</v>
      </c>
    </row>
    <row customFormat="1" r="22" s="1" spans="1:11" x14ac:dyDescent="0.25">
      <c r="A22" s="44" t="s">
        <v>42</v>
      </c>
      <c r="B22" s="1" t="s">
        <v>41</v>
      </c>
      <c r="C22" s="1" t="s">
        <v>41</v>
      </c>
      <c r="D22" s="1" t="s">
        <v>41</v>
      </c>
      <c r="E22" s="1" t="s">
        <v>41</v>
      </c>
    </row>
    <row customFormat="1" r="23" s="1" spans="1:11" x14ac:dyDescent="0.25">
      <c r="A23" s="44" t="s">
        <v>43</v>
      </c>
      <c r="B23" s="1" t="s">
        <v>296</v>
      </c>
      <c r="C23" s="1" t="s">
        <v>296</v>
      </c>
      <c r="D23" s="1" t="s">
        <v>296</v>
      </c>
      <c r="E23" s="1" t="s">
        <v>296</v>
      </c>
    </row>
    <row customFormat="1" r="24" s="1" spans="1:11" x14ac:dyDescent="0.25">
      <c r="A24" s="2" t="s">
        <v>44</v>
      </c>
    </row>
    <row customFormat="1" r="25" s="1" spans="1:11" x14ac:dyDescent="0.25">
      <c r="A25" s="1" t="s">
        <v>297</v>
      </c>
      <c r="B25" s="2"/>
      <c r="C25" s="2"/>
      <c r="D25" s="2"/>
      <c r="E25" s="2"/>
      <c r="F25" s="2"/>
      <c r="G25" s="2"/>
      <c r="H25" s="2"/>
      <c r="I25" s="2"/>
      <c r="J25" s="2"/>
      <c r="K25" s="2"/>
    </row>
    <row customFormat="1" r="26" s="1" spans="1:11" x14ac:dyDescent="0.25">
      <c r="A26" s="1" t="s">
        <v>298</v>
      </c>
      <c r="B26" s="2"/>
      <c r="C26" s="2"/>
      <c r="D26" s="2"/>
      <c r="E26" s="2"/>
      <c r="F26" s="2"/>
      <c r="G26" s="2"/>
      <c r="H26" s="2"/>
      <c r="I26" s="2"/>
      <c r="J26" s="2"/>
      <c r="K26" s="2"/>
    </row>
    <row customFormat="1" r="27" s="1" spans="1:11" x14ac:dyDescent="0.25">
      <c r="A27" s="1" t="s">
        <v>299</v>
      </c>
      <c r="B27" s="2"/>
      <c r="C27" s="2"/>
      <c r="D27" s="2"/>
      <c r="E27" s="2"/>
      <c r="F27" s="2"/>
      <c r="G27" s="2"/>
      <c r="H27" s="2"/>
      <c r="I27" s="2"/>
      <c r="J27" s="2"/>
      <c r="K27" s="2"/>
    </row>
    <row customFormat="1" r="28" s="1" spans="1:11" x14ac:dyDescent="0.25">
      <c r="A28" s="1" t="s">
        <v>300</v>
      </c>
      <c r="B28" s="2"/>
      <c r="C28" s="2"/>
      <c r="D28" s="2"/>
      <c r="E28" s="2"/>
      <c r="F28" s="2"/>
      <c r="G28" s="2"/>
      <c r="H28" s="2"/>
      <c r="I28" s="2"/>
      <c r="J28" s="2"/>
      <c r="K28" s="2"/>
    </row>
    <row customFormat="1" r="29" s="1" spans="1:11" x14ac:dyDescent="0.25">
      <c r="A29" s="1" t="s">
        <v>301</v>
      </c>
      <c r="B29" s="2"/>
      <c r="C29" s="2"/>
      <c r="D29" s="2"/>
      <c r="E29" s="2"/>
      <c r="F29" s="2"/>
      <c r="G29" s="2"/>
      <c r="H29" s="2"/>
      <c r="I29" s="2"/>
      <c r="J29" s="2"/>
      <c r="K29" s="2"/>
    </row>
    <row customFormat="1" r="30" s="1" spans="1:11" x14ac:dyDescent="0.25">
      <c r="A30" s="1" t="s">
        <v>302</v>
      </c>
      <c r="B30" s="2"/>
      <c r="C30" s="2"/>
      <c r="D30" s="2"/>
      <c r="E30" s="2"/>
      <c r="F30" s="2"/>
      <c r="G30" s="2"/>
      <c r="H30" s="2"/>
      <c r="I30" s="2"/>
      <c r="J30" s="2"/>
      <c r="K30" s="2"/>
    </row>
    <row customFormat="1" r="31" s="1" spans="1:11" x14ac:dyDescent="0.25">
      <c r="A31" s="1" t="s">
        <v>303</v>
      </c>
      <c r="B31" s="2"/>
      <c r="C31" s="2"/>
      <c r="D31" s="2"/>
      <c r="E31" s="2"/>
      <c r="F31" s="2"/>
      <c r="G31" s="2"/>
      <c r="H31" s="2"/>
      <c r="I31" s="2"/>
      <c r="J31" s="2"/>
      <c r="K31" s="2"/>
    </row>
    <row customFormat="1" r="32" s="1" spans="1:11" x14ac:dyDescent="0.25">
      <c r="A32" s="1" t="s">
        <v>304</v>
      </c>
      <c r="B32" s="2"/>
      <c r="C32" s="2"/>
      <c r="D32" s="2"/>
      <c r="E32" s="2"/>
      <c r="F32" s="2"/>
      <c r="G32" s="2"/>
      <c r="H32" s="2"/>
      <c r="I32" s="2"/>
      <c r="J32" s="2"/>
      <c r="K32" s="2"/>
    </row>
    <row customFormat="1" r="33" s="1" spans="1:11" x14ac:dyDescent="0.25">
      <c r="A33" s="1" t="s">
        <v>305</v>
      </c>
      <c r="B33" s="2"/>
      <c r="C33" s="2"/>
      <c r="D33" s="2"/>
      <c r="E33" s="2"/>
      <c r="F33" s="2"/>
      <c r="G33" s="2"/>
      <c r="H33" s="2"/>
      <c r="I33" s="2"/>
      <c r="J33" s="2"/>
      <c r="K33" s="2"/>
    </row>
    <row customFormat="1" r="34" s="1" spans="1:11" x14ac:dyDescent="0.25">
      <c r="A34" s="1" t="s">
        <v>306</v>
      </c>
      <c r="B34" s="2"/>
      <c r="C34" s="2"/>
      <c r="D34" s="2"/>
      <c r="E34" s="2"/>
      <c r="F34" s="2"/>
      <c r="G34" s="2"/>
      <c r="H34" s="2"/>
      <c r="I34" s="2"/>
      <c r="J34" s="2"/>
      <c r="K34" s="2"/>
    </row>
    <row customFormat="1" r="35" s="1" spans="1:11" x14ac:dyDescent="0.25">
      <c r="A35" s="1" t="s">
        <v>307</v>
      </c>
      <c r="B35" s="2"/>
      <c r="C35" s="2"/>
      <c r="D35" s="2"/>
      <c r="E35" s="2"/>
      <c r="F35" s="2"/>
      <c r="G35" s="2"/>
      <c r="H35" s="2"/>
      <c r="I35" s="2"/>
      <c r="J35" s="2"/>
      <c r="K35" s="2"/>
    </row>
    <row customFormat="1" r="36" s="1" spans="1:11" x14ac:dyDescent="0.25">
      <c r="A36" s="2" t="s">
        <v>45</v>
      </c>
      <c r="B36" s="1" t="s">
        <v>46</v>
      </c>
      <c r="C36" s="1" t="s">
        <v>46</v>
      </c>
      <c r="D36" s="1" t="s">
        <v>46</v>
      </c>
      <c r="E36" s="1" t="s">
        <v>46</v>
      </c>
    </row>
    <row customFormat="1" r="37" s="59" spans="1:11" x14ac:dyDescent="0.25">
      <c r="A37" s="56" t="s">
        <v>3643</v>
      </c>
      <c r="B37" s="57"/>
      <c r="C37" s="57"/>
      <c r="D37" s="57"/>
      <c r="E37" s="57"/>
      <c r="F37" s="57"/>
      <c r="G37" s="57"/>
      <c r="H37" s="57"/>
      <c r="I37" s="57"/>
      <c r="J37" s="57"/>
      <c r="K37" s="58"/>
    </row>
    <row customFormat="1" r="38" s="1" spans="1:11" x14ac:dyDescent="0.25">
      <c r="A38" s="2" t="s">
        <v>290</v>
      </c>
    </row>
    <row customFormat="1" r="39" s="1" spans="1:11" x14ac:dyDescent="0.25">
      <c r="A39" s="2" t="s">
        <v>291</v>
      </c>
      <c r="B39" s="49"/>
    </row>
    <row customFormat="1" r="40" s="59" spans="1:11" x14ac:dyDescent="0.25">
      <c r="A40" s="56" t="s">
        <v>3644</v>
      </c>
      <c r="B40" s="57"/>
      <c r="C40" s="57"/>
      <c r="D40" s="57"/>
      <c r="E40" s="57"/>
      <c r="F40" s="57"/>
      <c r="G40" s="57"/>
      <c r="H40" s="57"/>
      <c r="I40" s="57"/>
      <c r="J40" s="57"/>
      <c r="K40" s="58"/>
    </row>
    <row customFormat="1" r="41" s="1" spans="1:11" x14ac:dyDescent="0.25">
      <c r="A41" s="2" t="s">
        <v>351</v>
      </c>
      <c r="B41" s="1" t="s">
        <v>33</v>
      </c>
      <c r="C41" s="1" t="s">
        <v>34</v>
      </c>
      <c r="D41" s="1" t="s">
        <v>35</v>
      </c>
      <c r="E41" s="1" t="s">
        <v>36</v>
      </c>
    </row>
    <row customFormat="1" r="42" s="1" spans="1:11" x14ac:dyDescent="0.25">
      <c r="A42" s="2" t="s">
        <v>352</v>
      </c>
      <c r="B42" s="2">
        <v>23</v>
      </c>
      <c r="C42" s="2">
        <v>23</v>
      </c>
      <c r="D42" s="2">
        <v>23</v>
      </c>
      <c r="E42" s="2">
        <v>23</v>
      </c>
      <c r="F42" s="2"/>
      <c r="G42" s="2"/>
      <c r="H42" s="2"/>
      <c r="I42" s="2"/>
      <c r="J42" s="2"/>
      <c r="K42" s="2"/>
    </row>
    <row customFormat="1" r="43" s="1" spans="1:11" x14ac:dyDescent="0.25">
      <c r="A43" s="2" t="s">
        <v>353</v>
      </c>
      <c r="B43" s="2">
        <v>12</v>
      </c>
      <c r="C43" s="2">
        <v>12</v>
      </c>
      <c r="D43" s="2">
        <v>12</v>
      </c>
      <c r="E43" s="2">
        <v>12</v>
      </c>
      <c r="F43" s="2"/>
      <c r="G43" s="2"/>
      <c r="H43" s="2"/>
      <c r="I43" s="2"/>
      <c r="J43" s="2"/>
      <c r="K43" s="2"/>
    </row>
    <row customFormat="1" r="44" s="1" spans="1:11" x14ac:dyDescent="0.25">
      <c r="A44" s="2" t="s">
        <v>354</v>
      </c>
      <c r="B44" s="2">
        <v>11530</v>
      </c>
      <c r="C44" s="2">
        <v>11530</v>
      </c>
      <c r="D44" s="2">
        <v>11530</v>
      </c>
      <c r="E44" s="2">
        <v>11530</v>
      </c>
      <c r="F44" s="2"/>
      <c r="G44" s="2"/>
      <c r="H44" s="2"/>
      <c r="I44" s="2"/>
      <c r="J44" s="2"/>
      <c r="K44" s="2"/>
    </row>
    <row customFormat="1" r="45" s="1" spans="1:11" x14ac:dyDescent="0.25">
      <c r="A45" s="2" t="s">
        <v>355</v>
      </c>
      <c r="B45" s="1" t="s">
        <v>41</v>
      </c>
      <c r="C45" s="1" t="s">
        <v>41</v>
      </c>
      <c r="D45" s="1" t="s">
        <v>41</v>
      </c>
      <c r="E45" s="1" t="s">
        <v>41</v>
      </c>
    </row>
    <row customFormat="1" r="46" s="1" spans="1:11" x14ac:dyDescent="0.25">
      <c r="A46" s="2" t="s">
        <v>356</v>
      </c>
      <c r="B46" s="1" t="s">
        <v>41</v>
      </c>
      <c r="C46" s="1" t="s">
        <v>41</v>
      </c>
      <c r="D46" s="1" t="s">
        <v>41</v>
      </c>
      <c r="E46" s="1" t="s">
        <v>41</v>
      </c>
    </row>
    <row customFormat="1" r="47" s="1" spans="1:11" x14ac:dyDescent="0.25">
      <c r="A47" s="2" t="s">
        <v>357</v>
      </c>
      <c r="B47" s="1" t="s">
        <v>296</v>
      </c>
      <c r="C47" s="1" t="s">
        <v>296</v>
      </c>
      <c r="D47" s="1" t="s">
        <v>296</v>
      </c>
      <c r="E47" s="1" t="s">
        <v>296</v>
      </c>
    </row>
    <row customFormat="1" r="48" s="1" spans="1:11" x14ac:dyDescent="0.25">
      <c r="A48" s="2" t="s">
        <v>358</v>
      </c>
    </row>
    <row customFormat="1" r="49" s="1" spans="1:11" x14ac:dyDescent="0.25">
      <c r="A49" s="1" t="s">
        <v>359</v>
      </c>
      <c r="B49" s="2"/>
      <c r="C49" s="2"/>
      <c r="D49" s="2"/>
      <c r="E49" s="2"/>
      <c r="F49" s="2"/>
      <c r="G49" s="2"/>
      <c r="H49" s="2"/>
      <c r="I49" s="2"/>
      <c r="J49" s="2"/>
      <c r="K49" s="2"/>
    </row>
    <row customFormat="1" r="50" s="1" spans="1:11" x14ac:dyDescent="0.25">
      <c r="A50" s="1" t="s">
        <v>360</v>
      </c>
      <c r="B50" s="2"/>
      <c r="C50" s="2"/>
      <c r="D50" s="2"/>
      <c r="E50" s="2"/>
      <c r="F50" s="2"/>
      <c r="G50" s="2"/>
      <c r="H50" s="2"/>
      <c r="I50" s="2"/>
      <c r="J50" s="2"/>
      <c r="K50" s="2"/>
    </row>
    <row customFormat="1" r="51" s="1" spans="1:11" x14ac:dyDescent="0.25">
      <c r="A51" s="1" t="s">
        <v>361</v>
      </c>
      <c r="B51" s="2"/>
      <c r="C51" s="2"/>
      <c r="D51" s="2"/>
      <c r="E51" s="2"/>
      <c r="F51" s="2"/>
      <c r="G51" s="2"/>
      <c r="H51" s="2"/>
      <c r="I51" s="2"/>
      <c r="J51" s="2"/>
      <c r="K51" s="2"/>
    </row>
    <row customFormat="1" r="52" s="1" spans="1:11" x14ac:dyDescent="0.25">
      <c r="A52" s="1" t="s">
        <v>362</v>
      </c>
      <c r="B52" s="2"/>
      <c r="C52" s="2"/>
      <c r="D52" s="2"/>
      <c r="E52" s="2"/>
      <c r="F52" s="2"/>
      <c r="G52" s="2"/>
      <c r="H52" s="2"/>
      <c r="I52" s="2"/>
      <c r="J52" s="2"/>
      <c r="K52" s="2"/>
    </row>
    <row customFormat="1" r="53" s="1" spans="1:11" x14ac:dyDescent="0.25">
      <c r="A53" s="1" t="s">
        <v>363</v>
      </c>
      <c r="B53" s="2"/>
      <c r="C53" s="2"/>
      <c r="D53" s="2"/>
      <c r="E53" s="2"/>
      <c r="F53" s="2"/>
      <c r="G53" s="2"/>
      <c r="H53" s="2"/>
      <c r="I53" s="2"/>
      <c r="J53" s="2"/>
      <c r="K53" s="2"/>
    </row>
    <row customFormat="1" r="54" s="1" spans="1:11" x14ac:dyDescent="0.25">
      <c r="A54" s="1" t="s">
        <v>364</v>
      </c>
      <c r="B54" s="2"/>
      <c r="C54" s="2"/>
      <c r="D54" s="2"/>
      <c r="E54" s="2"/>
      <c r="F54" s="2"/>
      <c r="G54" s="2"/>
      <c r="H54" s="2"/>
      <c r="I54" s="2"/>
      <c r="J54" s="2"/>
      <c r="K54" s="2"/>
    </row>
    <row customFormat="1" r="55" s="1" spans="1:11" x14ac:dyDescent="0.25">
      <c r="A55" s="1" t="s">
        <v>365</v>
      </c>
      <c r="B55" s="2"/>
      <c r="C55" s="2"/>
      <c r="D55" s="2"/>
      <c r="E55" s="2"/>
      <c r="F55" s="2"/>
      <c r="G55" s="2"/>
      <c r="H55" s="2"/>
      <c r="I55" s="2"/>
      <c r="J55" s="2"/>
      <c r="K55" s="2"/>
    </row>
    <row customFormat="1" r="56" s="1" spans="1:11" x14ac:dyDescent="0.25">
      <c r="A56" s="1" t="s">
        <v>366</v>
      </c>
      <c r="B56" s="2"/>
      <c r="C56" s="2"/>
      <c r="D56" s="2"/>
      <c r="E56" s="2"/>
      <c r="F56" s="2"/>
      <c r="G56" s="2"/>
      <c r="H56" s="2"/>
      <c r="I56" s="2"/>
      <c r="J56" s="2"/>
      <c r="K56" s="2"/>
    </row>
    <row customFormat="1" r="57" s="1" spans="1:11" x14ac:dyDescent="0.25">
      <c r="A57" s="1" t="s">
        <v>367</v>
      </c>
      <c r="B57" s="2"/>
      <c r="C57" s="2"/>
      <c r="D57" s="2"/>
      <c r="E57" s="2"/>
      <c r="F57" s="2"/>
      <c r="G57" s="2"/>
      <c r="H57" s="2"/>
      <c r="I57" s="2"/>
      <c r="J57" s="2"/>
      <c r="K57" s="2"/>
    </row>
    <row customFormat="1" r="58" s="1" spans="1:11" x14ac:dyDescent="0.25">
      <c r="A58" s="1" t="s">
        <v>368</v>
      </c>
      <c r="B58" s="2"/>
      <c r="C58" s="2"/>
      <c r="D58" s="2"/>
      <c r="E58" s="2"/>
      <c r="F58" s="2"/>
      <c r="G58" s="2"/>
      <c r="H58" s="2"/>
      <c r="I58" s="2"/>
      <c r="J58" s="2"/>
      <c r="K58" s="2"/>
    </row>
    <row customFormat="1" r="59" s="1" spans="1:11" x14ac:dyDescent="0.25">
      <c r="A59" s="1" t="s">
        <v>369</v>
      </c>
      <c r="B59" s="2"/>
      <c r="C59" s="2"/>
      <c r="D59" s="2"/>
      <c r="E59" s="2"/>
      <c r="F59" s="2"/>
      <c r="G59" s="2"/>
      <c r="H59" s="2"/>
      <c r="I59" s="2"/>
      <c r="J59" s="2"/>
      <c r="K59" s="2"/>
    </row>
    <row customFormat="1" r="60" s="1" spans="1:11" x14ac:dyDescent="0.25">
      <c r="A60" s="2" t="s">
        <v>370</v>
      </c>
      <c r="B60" s="1" t="s">
        <v>46</v>
      </c>
      <c r="C60" s="1" t="s">
        <v>46</v>
      </c>
      <c r="D60" s="1" t="s">
        <v>46</v>
      </c>
      <c r="E60" s="1" t="s">
        <v>46</v>
      </c>
    </row>
    <row customFormat="1" r="61" s="59" spans="1:11" x14ac:dyDescent="0.25">
      <c r="A61" s="56" t="s">
        <v>3645</v>
      </c>
      <c r="B61" s="57"/>
      <c r="C61" s="57"/>
      <c r="D61" s="57"/>
      <c r="E61" s="57"/>
      <c r="F61" s="57"/>
      <c r="G61" s="57"/>
      <c r="H61" s="57"/>
      <c r="I61" s="57"/>
      <c r="J61" s="57"/>
      <c r="K61" s="58"/>
    </row>
    <row customFormat="1" r="62" s="1" spans="1:11" x14ac:dyDescent="0.25">
      <c r="A62" s="2" t="s">
        <v>292</v>
      </c>
    </row>
    <row customFormat="1" r="63" s="1" spans="1:11" x14ac:dyDescent="0.25">
      <c r="A63" s="2" t="s">
        <v>293</v>
      </c>
    </row>
    <row customFormat="1" r="64" s="1" spans="1:11" x14ac:dyDescent="0.25">
      <c r="A64" s="2" t="s">
        <v>330</v>
      </c>
    </row>
    <row customFormat="1" r="65" s="1" spans="1:11" x14ac:dyDescent="0.25">
      <c r="A65" s="2" t="s">
        <v>294</v>
      </c>
    </row>
    <row customFormat="1" r="66" s="1" spans="1:11" x14ac:dyDescent="0.25">
      <c r="A66" s="2" t="s">
        <v>295</v>
      </c>
      <c r="B66" s="49"/>
    </row>
    <row customFormat="1" r="67" s="59" spans="1:11" x14ac:dyDescent="0.25">
      <c r="A67" s="56" t="s">
        <v>3646</v>
      </c>
      <c r="B67" s="57"/>
      <c r="C67" s="57"/>
      <c r="D67" s="57"/>
      <c r="E67" s="57"/>
      <c r="F67" s="57"/>
      <c r="G67" s="57"/>
      <c r="H67" s="57"/>
      <c r="I67" s="57"/>
      <c r="J67" s="57"/>
      <c r="K67" s="58"/>
    </row>
    <row customFormat="1" r="68" s="1" spans="1:11" x14ac:dyDescent="0.25">
      <c r="A68" s="2" t="s">
        <v>331</v>
      </c>
      <c r="B68" s="1" t="s">
        <v>33</v>
      </c>
      <c r="C68" s="1" t="s">
        <v>34</v>
      </c>
      <c r="D68" s="1" t="s">
        <v>35</v>
      </c>
      <c r="E68" s="1" t="s">
        <v>36</v>
      </c>
    </row>
    <row customFormat="1" r="69" s="1" spans="1:11" x14ac:dyDescent="0.25">
      <c r="A69" s="2" t="s">
        <v>332</v>
      </c>
      <c r="B69" s="2">
        <v>23</v>
      </c>
      <c r="C69" s="2">
        <v>23</v>
      </c>
      <c r="D69" s="2">
        <v>23</v>
      </c>
      <c r="E69" s="2">
        <v>23</v>
      </c>
      <c r="F69" s="2"/>
      <c r="G69" s="2"/>
      <c r="H69" s="2"/>
      <c r="I69" s="2"/>
      <c r="J69" s="2"/>
      <c r="K69" s="2"/>
    </row>
    <row customFormat="1" r="70" s="1" spans="1:11" x14ac:dyDescent="0.25">
      <c r="A70" s="2" t="s">
        <v>333</v>
      </c>
      <c r="B70" s="2">
        <v>12</v>
      </c>
      <c r="C70" s="2">
        <v>12</v>
      </c>
      <c r="D70" s="2">
        <v>12</v>
      </c>
      <c r="E70" s="2">
        <v>12</v>
      </c>
      <c r="F70" s="2"/>
      <c r="G70" s="2"/>
      <c r="H70" s="2"/>
      <c r="I70" s="2"/>
      <c r="J70" s="2"/>
      <c r="K70" s="2"/>
    </row>
    <row customFormat="1" r="71" s="1" spans="1:11" x14ac:dyDescent="0.25">
      <c r="A71" s="2" t="s">
        <v>334</v>
      </c>
      <c r="B71" s="2">
        <v>11530</v>
      </c>
      <c r="C71" s="2">
        <v>11530</v>
      </c>
      <c r="D71" s="2">
        <v>11530</v>
      </c>
      <c r="E71" s="2">
        <v>11530</v>
      </c>
      <c r="F71" s="2"/>
      <c r="G71" s="2"/>
      <c r="H71" s="2"/>
      <c r="I71" s="2"/>
      <c r="J71" s="2"/>
      <c r="K71" s="2"/>
    </row>
    <row customFormat="1" r="72" s="1" spans="1:11" x14ac:dyDescent="0.25">
      <c r="A72" s="2" t="s">
        <v>335</v>
      </c>
      <c r="B72" s="1" t="s">
        <v>41</v>
      </c>
      <c r="C72" s="1" t="s">
        <v>41</v>
      </c>
      <c r="D72" s="1" t="s">
        <v>41</v>
      </c>
      <c r="E72" s="1" t="s">
        <v>41</v>
      </c>
    </row>
    <row customFormat="1" r="73" s="1" spans="1:11" x14ac:dyDescent="0.25">
      <c r="A73" s="2" t="s">
        <v>336</v>
      </c>
      <c r="B73" s="1" t="s">
        <v>41</v>
      </c>
      <c r="C73" s="1" t="s">
        <v>41</v>
      </c>
      <c r="D73" s="1" t="s">
        <v>41</v>
      </c>
      <c r="E73" s="1" t="s">
        <v>41</v>
      </c>
    </row>
    <row customFormat="1" r="74" s="1" spans="1:11" x14ac:dyDescent="0.25">
      <c r="A74" s="2" t="s">
        <v>337</v>
      </c>
      <c r="B74" s="1" t="s">
        <v>296</v>
      </c>
      <c r="C74" s="1" t="s">
        <v>296</v>
      </c>
      <c r="D74" s="1" t="s">
        <v>296</v>
      </c>
      <c r="E74" s="1" t="s">
        <v>296</v>
      </c>
    </row>
    <row customFormat="1" r="75" s="1" spans="1:11" x14ac:dyDescent="0.25">
      <c r="A75" s="2" t="s">
        <v>338</v>
      </c>
    </row>
    <row customFormat="1" r="76" s="1" spans="1:11" x14ac:dyDescent="0.25">
      <c r="A76" s="1" t="s">
        <v>339</v>
      </c>
      <c r="B76" s="2"/>
      <c r="C76" s="2"/>
      <c r="D76" s="2"/>
      <c r="E76" s="2"/>
      <c r="F76" s="2"/>
      <c r="G76" s="2"/>
      <c r="H76" s="2"/>
      <c r="I76" s="2"/>
      <c r="J76" s="2"/>
      <c r="K76" s="2"/>
    </row>
    <row customFormat="1" r="77" s="1" spans="1:11" x14ac:dyDescent="0.25">
      <c r="A77" s="1" t="s">
        <v>340</v>
      </c>
      <c r="B77" s="2"/>
      <c r="C77" s="2"/>
      <c r="D77" s="2"/>
      <c r="E77" s="2"/>
      <c r="F77" s="2"/>
      <c r="G77" s="2"/>
      <c r="H77" s="2"/>
      <c r="I77" s="2"/>
      <c r="J77" s="2"/>
      <c r="K77" s="2"/>
    </row>
    <row customFormat="1" r="78" s="1" spans="1:11" x14ac:dyDescent="0.25">
      <c r="A78" s="1" t="s">
        <v>341</v>
      </c>
      <c r="B78" s="2"/>
      <c r="C78" s="2"/>
      <c r="D78" s="2"/>
      <c r="E78" s="2"/>
      <c r="F78" s="2"/>
      <c r="G78" s="2"/>
      <c r="H78" s="2"/>
      <c r="I78" s="2"/>
      <c r="J78" s="2"/>
      <c r="K78" s="2"/>
    </row>
    <row customFormat="1" r="79" s="1" spans="1:11" x14ac:dyDescent="0.25">
      <c r="A79" s="1" t="s">
        <v>342</v>
      </c>
      <c r="B79" s="2"/>
      <c r="C79" s="2"/>
      <c r="D79" s="2"/>
      <c r="E79" s="2"/>
      <c r="F79" s="2"/>
      <c r="G79" s="2"/>
      <c r="H79" s="2"/>
      <c r="I79" s="2"/>
      <c r="J79" s="2"/>
      <c r="K79" s="2"/>
    </row>
    <row customFormat="1" r="80" s="1" spans="1:11" x14ac:dyDescent="0.25">
      <c r="A80" s="1" t="s">
        <v>343</v>
      </c>
      <c r="B80" s="2"/>
      <c r="C80" s="2"/>
      <c r="D80" s="2"/>
      <c r="E80" s="2"/>
      <c r="F80" s="2"/>
      <c r="G80" s="2"/>
      <c r="H80" s="2"/>
      <c r="I80" s="2"/>
      <c r="J80" s="2"/>
      <c r="K80" s="2"/>
    </row>
    <row customFormat="1" r="81" s="1" spans="1:11" x14ac:dyDescent="0.25">
      <c r="A81" s="1" t="s">
        <v>344</v>
      </c>
      <c r="B81" s="2"/>
      <c r="C81" s="2"/>
      <c r="D81" s="2"/>
      <c r="E81" s="2"/>
      <c r="F81" s="2"/>
      <c r="G81" s="2"/>
      <c r="H81" s="2"/>
      <c r="I81" s="2"/>
      <c r="J81" s="2"/>
      <c r="K81" s="2"/>
    </row>
    <row customFormat="1" r="82" s="1" spans="1:11" x14ac:dyDescent="0.25">
      <c r="A82" s="1" t="s">
        <v>345</v>
      </c>
      <c r="B82" s="2"/>
      <c r="C82" s="2"/>
      <c r="D82" s="2"/>
      <c r="E82" s="2"/>
      <c r="F82" s="2"/>
      <c r="G82" s="2"/>
      <c r="H82" s="2"/>
      <c r="I82" s="2"/>
      <c r="J82" s="2"/>
      <c r="K82" s="2"/>
    </row>
    <row customFormat="1" r="83" s="1" spans="1:11" x14ac:dyDescent="0.25">
      <c r="A83" s="1" t="s">
        <v>346</v>
      </c>
      <c r="B83" s="2"/>
      <c r="C83" s="2"/>
      <c r="D83" s="2"/>
      <c r="E83" s="2"/>
      <c r="F83" s="2"/>
      <c r="G83" s="2"/>
      <c r="H83" s="2"/>
      <c r="I83" s="2"/>
      <c r="J83" s="2"/>
      <c r="K83" s="2"/>
    </row>
    <row customFormat="1" r="84" s="1" spans="1:11" x14ac:dyDescent="0.25">
      <c r="A84" s="1" t="s">
        <v>347</v>
      </c>
      <c r="B84" s="2"/>
      <c r="C84" s="2"/>
      <c r="D84" s="2"/>
      <c r="E84" s="2"/>
      <c r="F84" s="2"/>
      <c r="G84" s="2"/>
      <c r="H84" s="2"/>
      <c r="I84" s="2"/>
      <c r="J84" s="2"/>
      <c r="K84" s="2"/>
    </row>
    <row customFormat="1" r="85" s="1" spans="1:11" x14ac:dyDescent="0.25">
      <c r="A85" s="1" t="s">
        <v>348</v>
      </c>
      <c r="B85" s="2"/>
      <c r="C85" s="2"/>
      <c r="D85" s="2"/>
      <c r="E85" s="2"/>
      <c r="F85" s="2"/>
      <c r="G85" s="2"/>
      <c r="H85" s="2"/>
      <c r="I85" s="2"/>
      <c r="J85" s="2"/>
      <c r="K85" s="2"/>
    </row>
    <row customFormat="1" r="86" s="1" spans="1:11" x14ac:dyDescent="0.25">
      <c r="A86" s="1" t="s">
        <v>349</v>
      </c>
      <c r="B86" s="2"/>
      <c r="C86" s="2"/>
      <c r="D86" s="2"/>
      <c r="E86" s="2"/>
      <c r="F86" s="2"/>
      <c r="G86" s="2"/>
      <c r="H86" s="2"/>
      <c r="I86" s="2"/>
      <c r="J86" s="2"/>
      <c r="K86" s="2"/>
    </row>
    <row customFormat="1" r="87" s="1" spans="1:11" x14ac:dyDescent="0.25">
      <c r="A87" s="2" t="s">
        <v>350</v>
      </c>
      <c r="B87" s="1" t="s">
        <v>46</v>
      </c>
      <c r="C87" s="1" t="s">
        <v>46</v>
      </c>
      <c r="D87" s="1" t="s">
        <v>46</v>
      </c>
      <c r="E87" s="1" t="s">
        <v>46</v>
      </c>
    </row>
    <row r="88" spans="1:11" x14ac:dyDescent="0.25">
      <c r="A88" s="7"/>
    </row>
    <row r="89" spans="1:11" x14ac:dyDescent="0.25">
      <c r="A89" s="7"/>
    </row>
    <row customFormat="1" r="90" s="59" spans="1:11" x14ac:dyDescent="0.25">
      <c r="A90" s="59" t="s">
        <v>4146</v>
      </c>
    </row>
    <row customFormat="1" r="91" s="1" spans="1:11" x14ac:dyDescent="0.25">
      <c r="A91" s="1" t="s">
        <v>47</v>
      </c>
      <c r="B91" s="3" t="str">
        <f>VLOOKUP(B92,[2]Master!$A$1:$B$95,2,FALSE)</f>
        <v>ARCHT</v>
      </c>
      <c r="C91" s="3" t="e">
        <f>VLOOKUP(C92,[2]Master!$A$1:$B$95,2,FALSE)</f>
        <v>#N/A</v>
      </c>
      <c r="D91" s="3" t="e">
        <f>VLOOKUP(D92,[2]Master!$A$1:$B$95,2,FALSE)</f>
        <v>#N/A</v>
      </c>
      <c r="E91" s="3" t="e">
        <f>VLOOKUP(E92,[2]Master!$A$1:$B$95,2,FALSE)</f>
        <v>#N/A</v>
      </c>
    </row>
    <row customFormat="1" r="92" s="1" spans="1:11" x14ac:dyDescent="0.25">
      <c r="A92" s="1" t="s">
        <v>105</v>
      </c>
      <c r="B92" s="3" t="s">
        <v>251</v>
      </c>
      <c r="C92" s="3"/>
      <c r="D92" s="3"/>
      <c r="E92" s="3"/>
    </row>
    <row customFormat="1" r="93" s="1" spans="1:11" x14ac:dyDescent="0.25">
      <c r="A93" s="1" t="s">
        <v>55</v>
      </c>
      <c r="B93" s="1" t="s">
        <v>9</v>
      </c>
    </row>
    <row customFormat="1" r="94" s="1" spans="1:11" x14ac:dyDescent="0.25">
      <c r="A94" s="1" t="s">
        <v>286</v>
      </c>
      <c r="B94" s="1" t="s">
        <v>4147</v>
      </c>
    </row>
    <row customFormat="1" r="95" s="1" spans="1:11" x14ac:dyDescent="0.25">
      <c r="A95" s="1" t="s">
        <v>4148</v>
      </c>
      <c r="B95" s="1" t="str">
        <f>VLOOKUP(B96,[2]Master!$AW:$AX,2,FALSE)</f>
        <v>1380</v>
      </c>
      <c r="C95" s="1" t="e">
        <f>VLOOKUP(C96,[2]Master!$AW:$AX,2,FALSE)</f>
        <v>#N/A</v>
      </c>
      <c r="D95" s="1" t="e">
        <f>VLOOKUP(D96,[2]Master!$AW:$AX,2,FALSE)</f>
        <v>#N/A</v>
      </c>
      <c r="E95" s="1" t="e">
        <f>VLOOKUP(E96,[2]Master!$AW:$AX,2,FALSE)</f>
        <v>#N/A</v>
      </c>
    </row>
    <row customFormat="1" r="96" s="1" spans="1:11" x14ac:dyDescent="0.25">
      <c r="A96" s="1" t="s">
        <v>4149</v>
      </c>
      <c r="B96" s="1" t="s">
        <v>4150</v>
      </c>
    </row>
    <row customFormat="1" r="97" s="1" spans="1:11" x14ac:dyDescent="0.25">
      <c r="A97" s="1" t="s">
        <v>4151</v>
      </c>
      <c r="B97" s="1">
        <v>1823612693</v>
      </c>
    </row>
    <row customFormat="1" r="98" s="1" spans="1:11" x14ac:dyDescent="0.25">
      <c r="A98" s="1" t="s">
        <v>4152</v>
      </c>
      <c r="B98" s="55">
        <v>44442</v>
      </c>
    </row>
    <row customFormat="1" r="99" s="1" spans="1:11" x14ac:dyDescent="0.25">
      <c r="A99" s="1" t="s">
        <v>289</v>
      </c>
      <c r="B99" s="1" t="s">
        <v>317</v>
      </c>
    </row>
    <row customFormat="1" r="100" s="59" spans="1:11" x14ac:dyDescent="0.25">
      <c r="A100" s="59" t="s">
        <v>3642</v>
      </c>
    </row>
    <row customFormat="1" r="101" s="1" spans="1:11" x14ac:dyDescent="0.25">
      <c r="A101" s="44" t="s">
        <v>32</v>
      </c>
      <c r="B101" s="1" t="s">
        <v>33</v>
      </c>
      <c r="C101" s="1" t="s">
        <v>34</v>
      </c>
      <c r="D101" s="1" t="s">
        <v>35</v>
      </c>
      <c r="E101" s="1" t="s">
        <v>36</v>
      </c>
    </row>
    <row customFormat="1" r="102" s="1" spans="1:11" x14ac:dyDescent="0.25">
      <c r="A102" s="44" t="s">
        <v>37</v>
      </c>
      <c r="B102" s="2">
        <v>23</v>
      </c>
      <c r="C102" s="2">
        <v>23</v>
      </c>
      <c r="D102" s="2">
        <v>23</v>
      </c>
      <c r="E102" s="2">
        <v>23</v>
      </c>
      <c r="F102" s="2"/>
      <c r="G102" s="2"/>
      <c r="H102" s="2"/>
      <c r="I102" s="2"/>
      <c r="J102" s="2"/>
      <c r="K102" s="2"/>
    </row>
    <row customFormat="1" r="103" s="1" spans="1:11" x14ac:dyDescent="0.25">
      <c r="A103" s="44" t="s">
        <v>38</v>
      </c>
      <c r="B103" s="2">
        <v>12</v>
      </c>
      <c r="C103" s="2">
        <v>12</v>
      </c>
      <c r="D103" s="2">
        <v>12</v>
      </c>
      <c r="E103" s="2">
        <v>12</v>
      </c>
      <c r="F103" s="2"/>
      <c r="G103" s="2"/>
      <c r="H103" s="2"/>
      <c r="I103" s="2"/>
      <c r="J103" s="2"/>
      <c r="K103" s="2"/>
    </row>
    <row customFormat="1" r="104" s="1" spans="1:11" x14ac:dyDescent="0.25">
      <c r="A104" s="44" t="s">
        <v>39</v>
      </c>
      <c r="B104" s="2">
        <v>11530</v>
      </c>
      <c r="C104" s="2">
        <v>11530</v>
      </c>
      <c r="D104" s="2">
        <v>11530</v>
      </c>
      <c r="E104" s="2">
        <v>11530</v>
      </c>
      <c r="F104" s="2"/>
      <c r="G104" s="2"/>
      <c r="H104" s="2"/>
      <c r="I104" s="2"/>
      <c r="J104" s="2"/>
      <c r="K104" s="2"/>
    </row>
    <row customFormat="1" r="105" s="1" spans="1:11" x14ac:dyDescent="0.25">
      <c r="A105" s="44" t="s">
        <v>40</v>
      </c>
      <c r="B105" s="2" t="s">
        <v>41</v>
      </c>
      <c r="C105" s="2" t="s">
        <v>41</v>
      </c>
      <c r="D105" s="2" t="s">
        <v>41</v>
      </c>
      <c r="E105" s="2" t="s">
        <v>41</v>
      </c>
      <c r="F105" s="2"/>
      <c r="G105" s="2"/>
      <c r="H105" s="2"/>
      <c r="I105" s="2"/>
      <c r="J105" s="2"/>
      <c r="K105" s="2"/>
    </row>
    <row customFormat="1" r="106" s="1" spans="1:11" x14ac:dyDescent="0.25">
      <c r="A106" s="44" t="s">
        <v>42</v>
      </c>
      <c r="B106" s="2" t="s">
        <v>41</v>
      </c>
      <c r="C106" s="2" t="s">
        <v>41</v>
      </c>
      <c r="D106" s="2" t="s">
        <v>41</v>
      </c>
      <c r="E106" s="2" t="s">
        <v>41</v>
      </c>
      <c r="F106" s="2"/>
      <c r="G106" s="2"/>
      <c r="H106" s="2"/>
      <c r="I106" s="2"/>
      <c r="J106" s="2"/>
      <c r="K106" s="2"/>
    </row>
    <row customFormat="1" r="107" s="1" spans="1:11" x14ac:dyDescent="0.25">
      <c r="A107" s="44" t="s">
        <v>43</v>
      </c>
      <c r="B107" s="2" t="s">
        <v>296</v>
      </c>
      <c r="C107" s="2" t="s">
        <v>296</v>
      </c>
      <c r="D107" s="2" t="s">
        <v>296</v>
      </c>
      <c r="E107" s="2" t="s">
        <v>296</v>
      </c>
      <c r="F107" s="2"/>
      <c r="G107" s="2"/>
      <c r="H107" s="2"/>
      <c r="I107" s="2"/>
      <c r="J107" s="2"/>
      <c r="K107" s="2"/>
    </row>
    <row customFormat="1" r="108" s="1" spans="1:11" x14ac:dyDescent="0.25">
      <c r="A108" s="2" t="s">
        <v>44</v>
      </c>
      <c r="B108" s="2">
        <v>111</v>
      </c>
      <c r="C108" s="2"/>
      <c r="D108" s="2"/>
      <c r="E108" s="2"/>
      <c r="F108" s="2"/>
      <c r="G108" s="2"/>
      <c r="H108" s="2"/>
      <c r="I108" s="2"/>
      <c r="J108" s="2"/>
      <c r="K108" s="2"/>
    </row>
    <row customFormat="1" r="109" s="1" spans="1:11" x14ac:dyDescent="0.25">
      <c r="A109" s="1" t="s">
        <v>297</v>
      </c>
      <c r="B109" s="2">
        <v>11</v>
      </c>
      <c r="C109" s="2"/>
      <c r="D109" s="2"/>
      <c r="E109" s="2"/>
      <c r="F109" s="2"/>
      <c r="G109" s="2"/>
      <c r="H109" s="2"/>
      <c r="I109" s="2"/>
      <c r="J109" s="2"/>
      <c r="K109" s="2"/>
    </row>
    <row customFormat="1" r="110" s="1" spans="1:11" x14ac:dyDescent="0.25">
      <c r="A110" s="1" t="s">
        <v>298</v>
      </c>
      <c r="B110" s="2">
        <v>33</v>
      </c>
      <c r="C110" s="2"/>
      <c r="D110" s="2"/>
      <c r="E110" s="2"/>
      <c r="F110" s="2"/>
      <c r="G110" s="2"/>
      <c r="H110" s="2"/>
      <c r="I110" s="2"/>
      <c r="J110" s="2"/>
      <c r="K110" s="2"/>
    </row>
    <row customFormat="1" r="111" s="1" spans="1:11" x14ac:dyDescent="0.25">
      <c r="A111" s="1" t="s">
        <v>299</v>
      </c>
      <c r="B111" s="2">
        <v>22</v>
      </c>
      <c r="C111" s="2"/>
      <c r="D111" s="2"/>
      <c r="E111" s="2"/>
      <c r="F111" s="2"/>
      <c r="G111" s="2"/>
      <c r="H111" s="2"/>
      <c r="I111" s="2"/>
      <c r="J111" s="2"/>
      <c r="K111" s="2"/>
    </row>
    <row customFormat="1" r="112" s="1" spans="1:11" x14ac:dyDescent="0.25">
      <c r="A112" s="1" t="s">
        <v>300</v>
      </c>
      <c r="B112" s="2">
        <v>44</v>
      </c>
      <c r="C112" s="2"/>
      <c r="D112" s="2"/>
      <c r="E112" s="2"/>
      <c r="F112" s="2"/>
      <c r="G112" s="2"/>
      <c r="H112" s="2"/>
      <c r="I112" s="2"/>
      <c r="J112" s="2"/>
      <c r="K112" s="2"/>
    </row>
    <row customFormat="1" r="113" s="1" spans="1:11" x14ac:dyDescent="0.25">
      <c r="A113" s="1" t="s">
        <v>301</v>
      </c>
      <c r="B113" s="2">
        <v>66</v>
      </c>
      <c r="C113" s="2"/>
      <c r="D113" s="2"/>
      <c r="E113" s="2"/>
      <c r="F113" s="2"/>
      <c r="G113" s="2"/>
      <c r="H113" s="2"/>
      <c r="I113" s="2"/>
      <c r="J113" s="2"/>
      <c r="K113" s="2"/>
    </row>
    <row customFormat="1" r="114" s="1" spans="1:11" x14ac:dyDescent="0.25">
      <c r="A114" s="1" t="s">
        <v>302</v>
      </c>
      <c r="B114" s="2">
        <v>5</v>
      </c>
      <c r="C114" s="2"/>
      <c r="D114" s="2"/>
      <c r="E114" s="2"/>
      <c r="F114" s="2"/>
      <c r="G114" s="2"/>
      <c r="H114" s="2"/>
      <c r="I114" s="2"/>
      <c r="J114" s="2"/>
      <c r="K114" s="2"/>
    </row>
    <row customFormat="1" r="115" s="1" spans="1:11" x14ac:dyDescent="0.25">
      <c r="A115" s="1" t="s">
        <v>303</v>
      </c>
      <c r="B115" s="2">
        <v>66</v>
      </c>
      <c r="C115" s="2"/>
      <c r="D115" s="2"/>
      <c r="E115" s="2"/>
      <c r="F115" s="2"/>
      <c r="G115" s="2"/>
      <c r="H115" s="2"/>
      <c r="I115" s="2"/>
      <c r="J115" s="2"/>
      <c r="K115" s="2"/>
    </row>
    <row customFormat="1" r="116" s="1" spans="1:11" x14ac:dyDescent="0.25">
      <c r="A116" s="1" t="s">
        <v>304</v>
      </c>
      <c r="B116" s="2">
        <v>77</v>
      </c>
      <c r="C116" s="2"/>
      <c r="D116" s="2"/>
      <c r="E116" s="2"/>
      <c r="F116" s="2"/>
      <c r="G116" s="2"/>
      <c r="H116" s="2"/>
      <c r="I116" s="2"/>
      <c r="J116" s="2"/>
      <c r="K116" s="2"/>
    </row>
    <row customFormat="1" r="117" s="1" spans="1:11" x14ac:dyDescent="0.25">
      <c r="A117" s="1" t="s">
        <v>305</v>
      </c>
      <c r="B117" s="2">
        <v>88</v>
      </c>
      <c r="C117" s="2"/>
      <c r="D117" s="2"/>
      <c r="E117" s="2"/>
      <c r="F117" s="2"/>
      <c r="G117" s="2"/>
      <c r="H117" s="2"/>
      <c r="I117" s="2"/>
      <c r="J117" s="2"/>
      <c r="K117" s="2"/>
    </row>
    <row customFormat="1" r="118" s="1" spans="1:11" x14ac:dyDescent="0.25">
      <c r="A118" s="1" t="s">
        <v>306</v>
      </c>
      <c r="B118" s="2">
        <v>1232</v>
      </c>
      <c r="C118" s="2"/>
      <c r="D118" s="2"/>
      <c r="E118" s="2"/>
      <c r="F118" s="2"/>
      <c r="G118" s="2"/>
      <c r="H118" s="2"/>
      <c r="I118" s="2"/>
      <c r="J118" s="2"/>
      <c r="K118" s="2"/>
    </row>
    <row customFormat="1" r="119" s="1" spans="1:11" x14ac:dyDescent="0.25">
      <c r="A119" s="1" t="s">
        <v>307</v>
      </c>
      <c r="B119" s="2">
        <v>8</v>
      </c>
      <c r="C119" s="2"/>
      <c r="D119" s="2"/>
      <c r="E119" s="2"/>
      <c r="F119" s="2"/>
      <c r="G119" s="2"/>
      <c r="H119" s="2"/>
      <c r="I119" s="2"/>
      <c r="J119" s="2"/>
      <c r="K119" s="2"/>
    </row>
    <row customFormat="1" r="120" s="1" spans="1:11" x14ac:dyDescent="0.25">
      <c r="A120" s="2" t="s">
        <v>45</v>
      </c>
      <c r="B120" s="1" t="s">
        <v>46</v>
      </c>
      <c r="C120" s="1" t="s">
        <v>46</v>
      </c>
      <c r="D120" s="1" t="s">
        <v>46</v>
      </c>
      <c r="E120" s="1" t="s">
        <v>46</v>
      </c>
    </row>
    <row customFormat="1" r="121" s="59" spans="1:11" x14ac:dyDescent="0.25">
      <c r="A121" s="56" t="s">
        <v>3643</v>
      </c>
      <c r="B121" s="57"/>
      <c r="C121" s="57"/>
      <c r="D121" s="57"/>
      <c r="E121" s="57"/>
      <c r="F121" s="57"/>
      <c r="G121" s="57"/>
      <c r="H121" s="57"/>
      <c r="I121" s="57"/>
      <c r="J121" s="57"/>
      <c r="K121" s="58"/>
    </row>
    <row customFormat="1" r="122" s="1" spans="1:11" x14ac:dyDescent="0.25">
      <c r="A122" s="2" t="s">
        <v>290</v>
      </c>
      <c r="B122" s="1" t="s">
        <v>4153</v>
      </c>
    </row>
    <row customFormat="1" r="123" s="1" spans="1:11" x14ac:dyDescent="0.25">
      <c r="A123" s="2" t="s">
        <v>291</v>
      </c>
      <c r="B123" s="49">
        <v>44214</v>
      </c>
    </row>
    <row customFormat="1" r="124" s="59" spans="1:11" x14ac:dyDescent="0.25">
      <c r="A124" s="56" t="s">
        <v>3644</v>
      </c>
      <c r="B124" s="57"/>
      <c r="C124" s="57"/>
      <c r="D124" s="57"/>
      <c r="E124" s="57"/>
      <c r="F124" s="57"/>
      <c r="G124" s="57"/>
      <c r="H124" s="57"/>
      <c r="I124" s="57"/>
      <c r="J124" s="57"/>
      <c r="K124" s="58"/>
    </row>
    <row customFormat="1" r="125" s="1" spans="1:11" x14ac:dyDescent="0.25">
      <c r="A125" s="2" t="s">
        <v>351</v>
      </c>
      <c r="B125" s="1" t="s">
        <v>33</v>
      </c>
      <c r="C125" s="1" t="s">
        <v>34</v>
      </c>
      <c r="D125" s="1" t="s">
        <v>35</v>
      </c>
      <c r="E125" s="1" t="s">
        <v>36</v>
      </c>
    </row>
    <row customFormat="1" r="126" s="1" spans="1:11" x14ac:dyDescent="0.25">
      <c r="A126" s="2" t="s">
        <v>352</v>
      </c>
      <c r="B126" s="2">
        <v>23</v>
      </c>
      <c r="C126" s="2">
        <v>23</v>
      </c>
      <c r="D126" s="2">
        <v>23</v>
      </c>
      <c r="E126" s="2">
        <v>23</v>
      </c>
      <c r="F126" s="2"/>
      <c r="G126" s="2"/>
      <c r="H126" s="2"/>
      <c r="I126" s="2"/>
      <c r="J126" s="2"/>
      <c r="K126" s="2"/>
    </row>
    <row customFormat="1" r="127" s="1" spans="1:11" x14ac:dyDescent="0.25">
      <c r="A127" s="2" t="s">
        <v>353</v>
      </c>
      <c r="B127" s="2">
        <v>12</v>
      </c>
      <c r="C127" s="2">
        <v>12</v>
      </c>
      <c r="D127" s="2">
        <v>12</v>
      </c>
      <c r="E127" s="2">
        <v>12</v>
      </c>
      <c r="F127" s="2"/>
      <c r="G127" s="2"/>
      <c r="H127" s="2"/>
      <c r="I127" s="2"/>
      <c r="J127" s="2"/>
      <c r="K127" s="2"/>
    </row>
    <row customFormat="1" r="128" s="1" spans="1:11" x14ac:dyDescent="0.25">
      <c r="A128" s="2" t="s">
        <v>354</v>
      </c>
      <c r="B128" s="2">
        <v>11530</v>
      </c>
      <c r="C128" s="2">
        <v>11530</v>
      </c>
      <c r="D128" s="2">
        <v>11530</v>
      </c>
      <c r="E128" s="2">
        <v>11530</v>
      </c>
      <c r="F128" s="2"/>
      <c r="G128" s="2"/>
      <c r="H128" s="2"/>
      <c r="I128" s="2"/>
      <c r="J128" s="2"/>
      <c r="K128" s="2"/>
    </row>
    <row customFormat="1" r="129" s="1" spans="1:11" x14ac:dyDescent="0.25">
      <c r="A129" s="2" t="s">
        <v>355</v>
      </c>
      <c r="B129" s="2" t="s">
        <v>41</v>
      </c>
      <c r="C129" s="2" t="s">
        <v>41</v>
      </c>
      <c r="D129" s="2" t="s">
        <v>41</v>
      </c>
      <c r="E129" s="2" t="s">
        <v>41</v>
      </c>
      <c r="F129" s="2"/>
      <c r="G129" s="2"/>
      <c r="H129" s="2"/>
      <c r="I129" s="2"/>
      <c r="J129" s="2"/>
      <c r="K129" s="2"/>
    </row>
    <row customFormat="1" r="130" s="1" spans="1:11" x14ac:dyDescent="0.25">
      <c r="A130" s="2" t="s">
        <v>356</v>
      </c>
      <c r="B130" s="2" t="s">
        <v>41</v>
      </c>
      <c r="C130" s="2" t="s">
        <v>41</v>
      </c>
      <c r="D130" s="2" t="s">
        <v>41</v>
      </c>
      <c r="E130" s="2" t="s">
        <v>41</v>
      </c>
      <c r="F130" s="2"/>
      <c r="G130" s="2"/>
      <c r="H130" s="2"/>
      <c r="I130" s="2"/>
      <c r="J130" s="2"/>
      <c r="K130" s="2"/>
    </row>
    <row customFormat="1" r="131" s="1" spans="1:11" x14ac:dyDescent="0.25">
      <c r="A131" s="2" t="s">
        <v>357</v>
      </c>
      <c r="B131" s="2" t="s">
        <v>296</v>
      </c>
      <c r="C131" s="2" t="s">
        <v>296</v>
      </c>
      <c r="D131" s="2" t="s">
        <v>296</v>
      </c>
      <c r="E131" s="2" t="s">
        <v>296</v>
      </c>
      <c r="F131" s="2"/>
      <c r="G131" s="2"/>
      <c r="H131" s="2"/>
      <c r="I131" s="2"/>
      <c r="J131" s="2"/>
      <c r="K131" s="2"/>
    </row>
    <row customFormat="1" r="132" s="1" spans="1:11" x14ac:dyDescent="0.25">
      <c r="A132" s="2" t="s">
        <v>358</v>
      </c>
      <c r="B132" s="2">
        <v>111</v>
      </c>
      <c r="C132" s="2"/>
      <c r="D132" s="2"/>
      <c r="E132" s="2"/>
      <c r="F132" s="2"/>
      <c r="G132" s="2"/>
      <c r="H132" s="2"/>
      <c r="I132" s="2"/>
      <c r="J132" s="2"/>
      <c r="K132" s="2"/>
    </row>
    <row customFormat="1" r="133" s="1" spans="1:11" x14ac:dyDescent="0.25">
      <c r="A133" s="1" t="s">
        <v>359</v>
      </c>
      <c r="B133" s="2">
        <v>11</v>
      </c>
      <c r="C133" s="2"/>
      <c r="D133" s="2"/>
      <c r="E133" s="2"/>
      <c r="F133" s="2"/>
      <c r="G133" s="2"/>
      <c r="H133" s="2"/>
      <c r="I133" s="2"/>
      <c r="J133" s="2"/>
      <c r="K133" s="2"/>
    </row>
    <row customFormat="1" r="134" s="1" spans="1:11" x14ac:dyDescent="0.25">
      <c r="A134" s="1" t="s">
        <v>360</v>
      </c>
      <c r="B134" s="2">
        <v>33</v>
      </c>
      <c r="C134" s="2"/>
      <c r="D134" s="2"/>
      <c r="E134" s="2"/>
      <c r="F134" s="2"/>
      <c r="G134" s="2"/>
      <c r="H134" s="2"/>
      <c r="I134" s="2"/>
      <c r="J134" s="2"/>
      <c r="K134" s="2"/>
    </row>
    <row customFormat="1" r="135" s="1" spans="1:11" x14ac:dyDescent="0.25">
      <c r="A135" s="1" t="s">
        <v>361</v>
      </c>
      <c r="B135" s="2">
        <v>22</v>
      </c>
      <c r="C135" s="2"/>
      <c r="D135" s="2"/>
      <c r="E135" s="2"/>
      <c r="F135" s="2"/>
      <c r="G135" s="2"/>
      <c r="H135" s="2"/>
      <c r="I135" s="2"/>
      <c r="J135" s="2"/>
      <c r="K135" s="2"/>
    </row>
    <row customFormat="1" r="136" s="1" spans="1:11" x14ac:dyDescent="0.25">
      <c r="A136" s="1" t="s">
        <v>362</v>
      </c>
      <c r="B136" s="2">
        <v>44</v>
      </c>
      <c r="C136" s="2"/>
      <c r="D136" s="2"/>
      <c r="E136" s="2"/>
      <c r="F136" s="2"/>
      <c r="G136" s="2"/>
      <c r="H136" s="2"/>
      <c r="I136" s="2"/>
      <c r="J136" s="2"/>
      <c r="K136" s="2"/>
    </row>
    <row customFormat="1" r="137" s="1" spans="1:11" x14ac:dyDescent="0.25">
      <c r="A137" s="1" t="s">
        <v>363</v>
      </c>
      <c r="B137" s="2">
        <v>66</v>
      </c>
      <c r="C137" s="2"/>
      <c r="D137" s="2"/>
      <c r="E137" s="2"/>
      <c r="F137" s="2"/>
      <c r="G137" s="2"/>
      <c r="H137" s="2"/>
      <c r="I137" s="2"/>
      <c r="J137" s="2"/>
      <c r="K137" s="2"/>
    </row>
    <row customFormat="1" r="138" s="1" spans="1:11" x14ac:dyDescent="0.25">
      <c r="A138" s="1" t="s">
        <v>364</v>
      </c>
      <c r="B138" s="2">
        <v>5</v>
      </c>
      <c r="C138" s="2"/>
      <c r="D138" s="2"/>
      <c r="E138" s="2"/>
      <c r="F138" s="2"/>
      <c r="G138" s="2"/>
      <c r="H138" s="2"/>
      <c r="I138" s="2"/>
      <c r="J138" s="2"/>
      <c r="K138" s="2"/>
    </row>
    <row customFormat="1" r="139" s="1" spans="1:11" x14ac:dyDescent="0.25">
      <c r="A139" s="1" t="s">
        <v>365</v>
      </c>
      <c r="B139" s="2">
        <v>66</v>
      </c>
      <c r="C139" s="2"/>
      <c r="D139" s="2"/>
      <c r="E139" s="2"/>
      <c r="F139" s="2"/>
      <c r="G139" s="2"/>
      <c r="H139" s="2"/>
      <c r="I139" s="2"/>
      <c r="J139" s="2"/>
      <c r="K139" s="2"/>
    </row>
    <row customFormat="1" r="140" s="1" spans="1:11" x14ac:dyDescent="0.25">
      <c r="A140" s="1" t="s">
        <v>366</v>
      </c>
      <c r="B140" s="2">
        <v>77</v>
      </c>
      <c r="C140" s="2"/>
      <c r="D140" s="2"/>
      <c r="E140" s="2"/>
      <c r="F140" s="2"/>
      <c r="G140" s="2"/>
      <c r="H140" s="2"/>
      <c r="I140" s="2"/>
      <c r="J140" s="2"/>
      <c r="K140" s="2"/>
    </row>
    <row customFormat="1" r="141" s="1" spans="1:11" x14ac:dyDescent="0.25">
      <c r="A141" s="1" t="s">
        <v>367</v>
      </c>
      <c r="B141" s="2">
        <v>88</v>
      </c>
      <c r="C141" s="2"/>
      <c r="D141" s="2"/>
      <c r="E141" s="2"/>
      <c r="F141" s="2"/>
      <c r="G141" s="2"/>
      <c r="H141" s="2"/>
      <c r="I141" s="2"/>
      <c r="J141" s="2"/>
      <c r="K141" s="2"/>
    </row>
    <row customFormat="1" r="142" s="1" spans="1:11" x14ac:dyDescent="0.25">
      <c r="A142" s="1" t="s">
        <v>368</v>
      </c>
      <c r="B142" s="2">
        <v>1232</v>
      </c>
      <c r="C142" s="2"/>
      <c r="D142" s="2"/>
      <c r="E142" s="2"/>
      <c r="F142" s="2"/>
      <c r="G142" s="2"/>
      <c r="H142" s="2"/>
      <c r="I142" s="2"/>
      <c r="J142" s="2"/>
      <c r="K142" s="2"/>
    </row>
    <row customFormat="1" r="143" s="1" spans="1:11" x14ac:dyDescent="0.25">
      <c r="A143" s="1" t="s">
        <v>369</v>
      </c>
      <c r="B143" s="2">
        <v>8</v>
      </c>
      <c r="C143" s="2"/>
      <c r="D143" s="2"/>
      <c r="E143" s="2"/>
      <c r="F143" s="2"/>
      <c r="G143" s="2"/>
      <c r="H143" s="2"/>
      <c r="I143" s="2"/>
      <c r="J143" s="2"/>
      <c r="K143" s="2"/>
    </row>
    <row customFormat="1" r="144" s="1" spans="1:11" x14ac:dyDescent="0.25">
      <c r="A144" s="2" t="s">
        <v>370</v>
      </c>
      <c r="B144" s="1" t="s">
        <v>46</v>
      </c>
      <c r="C144" s="1" t="s">
        <v>46</v>
      </c>
      <c r="D144" s="1" t="s">
        <v>46</v>
      </c>
      <c r="E144" s="1" t="s">
        <v>46</v>
      </c>
    </row>
    <row customFormat="1" r="145" s="59" spans="1:11" x14ac:dyDescent="0.25">
      <c r="A145" s="56" t="s">
        <v>3645</v>
      </c>
      <c r="B145" s="57"/>
      <c r="C145" s="57"/>
      <c r="D145" s="57"/>
      <c r="E145" s="57"/>
      <c r="F145" s="57"/>
      <c r="G145" s="57"/>
      <c r="H145" s="57"/>
      <c r="I145" s="57"/>
      <c r="J145" s="57"/>
      <c r="K145" s="58"/>
    </row>
    <row customFormat="1" r="146" s="1" spans="1:11" x14ac:dyDescent="0.25">
      <c r="A146" s="2" t="s">
        <v>292</v>
      </c>
      <c r="B146" s="1" t="s">
        <v>4154</v>
      </c>
    </row>
    <row customFormat="1" r="147" s="1" spans="1:11" x14ac:dyDescent="0.25">
      <c r="A147" s="2" t="s">
        <v>293</v>
      </c>
      <c r="B147" s="1" t="s">
        <v>4155</v>
      </c>
    </row>
    <row customFormat="1" r="148" s="1" spans="1:11" x14ac:dyDescent="0.25">
      <c r="A148" s="2" t="s">
        <v>330</v>
      </c>
      <c r="B148" s="1" t="s">
        <v>4156</v>
      </c>
    </row>
    <row customFormat="1" r="149" s="1" spans="1:11" x14ac:dyDescent="0.25">
      <c r="A149" s="2" t="s">
        <v>294</v>
      </c>
      <c r="B149" s="1" t="s">
        <v>4157</v>
      </c>
    </row>
    <row customFormat="1" r="150" s="1" spans="1:11" x14ac:dyDescent="0.25">
      <c r="A150" s="2" t="s">
        <v>295</v>
      </c>
      <c r="B150" s="49">
        <v>44082</v>
      </c>
    </row>
    <row customFormat="1" r="151" s="59" spans="1:11" x14ac:dyDescent="0.25">
      <c r="A151" s="56" t="s">
        <v>3646</v>
      </c>
      <c r="B151" s="57"/>
      <c r="C151" s="57"/>
      <c r="D151" s="57"/>
      <c r="E151" s="57"/>
      <c r="F151" s="57"/>
      <c r="G151" s="57"/>
      <c r="H151" s="57"/>
      <c r="I151" s="57"/>
      <c r="J151" s="57"/>
      <c r="K151" s="58"/>
    </row>
    <row customFormat="1" r="152" s="1" spans="1:11" x14ac:dyDescent="0.25">
      <c r="A152" s="2" t="s">
        <v>331</v>
      </c>
      <c r="B152" s="1" t="s">
        <v>33</v>
      </c>
      <c r="C152" s="1" t="s">
        <v>34</v>
      </c>
      <c r="D152" s="1" t="s">
        <v>35</v>
      </c>
      <c r="E152" s="1" t="s">
        <v>36</v>
      </c>
    </row>
    <row customFormat="1" r="153" s="1" spans="1:11" x14ac:dyDescent="0.25">
      <c r="A153" s="2" t="s">
        <v>332</v>
      </c>
      <c r="B153" s="2">
        <v>23</v>
      </c>
      <c r="C153" s="2">
        <v>23</v>
      </c>
      <c r="D153" s="2">
        <v>23</v>
      </c>
      <c r="E153" s="2">
        <v>23</v>
      </c>
      <c r="F153" s="2"/>
      <c r="G153" s="2"/>
      <c r="H153" s="2"/>
      <c r="I153" s="2"/>
      <c r="J153" s="2"/>
      <c r="K153" s="2"/>
    </row>
    <row customFormat="1" r="154" s="1" spans="1:11" x14ac:dyDescent="0.25">
      <c r="A154" s="2" t="s">
        <v>333</v>
      </c>
      <c r="B154" s="2">
        <v>12</v>
      </c>
      <c r="C154" s="2">
        <v>12</v>
      </c>
      <c r="D154" s="2">
        <v>12</v>
      </c>
      <c r="E154" s="2">
        <v>12</v>
      </c>
      <c r="F154" s="2"/>
      <c r="G154" s="2"/>
      <c r="H154" s="2"/>
      <c r="I154" s="2"/>
      <c r="J154" s="2"/>
      <c r="K154" s="2"/>
    </row>
    <row customFormat="1" r="155" s="1" spans="1:11" x14ac:dyDescent="0.25">
      <c r="A155" s="2" t="s">
        <v>334</v>
      </c>
      <c r="B155" s="2">
        <v>11530</v>
      </c>
      <c r="C155" s="2">
        <v>11530</v>
      </c>
      <c r="D155" s="2">
        <v>11530</v>
      </c>
      <c r="E155" s="2">
        <v>11530</v>
      </c>
      <c r="F155" s="2"/>
      <c r="G155" s="2"/>
      <c r="H155" s="2"/>
      <c r="I155" s="2"/>
      <c r="J155" s="2"/>
      <c r="K155" s="2"/>
    </row>
    <row customFormat="1" r="156" s="1" spans="1:11" x14ac:dyDescent="0.25">
      <c r="A156" s="2" t="s">
        <v>335</v>
      </c>
      <c r="B156" s="1" t="s">
        <v>41</v>
      </c>
      <c r="C156" s="1" t="s">
        <v>41</v>
      </c>
      <c r="D156" s="1" t="s">
        <v>41</v>
      </c>
      <c r="E156" s="1" t="s">
        <v>41</v>
      </c>
    </row>
    <row customFormat="1" r="157" s="1" spans="1:11" x14ac:dyDescent="0.25">
      <c r="A157" s="2" t="s">
        <v>336</v>
      </c>
      <c r="B157" s="1" t="s">
        <v>41</v>
      </c>
      <c r="C157" s="1" t="s">
        <v>41</v>
      </c>
      <c r="D157" s="1" t="s">
        <v>41</v>
      </c>
      <c r="E157" s="1" t="s">
        <v>41</v>
      </c>
    </row>
    <row customFormat="1" r="158" s="1" spans="1:11" x14ac:dyDescent="0.25">
      <c r="A158" s="2" t="s">
        <v>337</v>
      </c>
      <c r="B158" s="1" t="s">
        <v>296</v>
      </c>
      <c r="C158" s="1" t="s">
        <v>296</v>
      </c>
      <c r="D158" s="1" t="s">
        <v>296</v>
      </c>
      <c r="E158" s="1" t="s">
        <v>296</v>
      </c>
    </row>
    <row customFormat="1" r="159" s="1" spans="1:11" x14ac:dyDescent="0.25">
      <c r="A159" s="2" t="s">
        <v>338</v>
      </c>
      <c r="B159" s="2">
        <v>111</v>
      </c>
      <c r="C159" s="2"/>
      <c r="D159" s="2"/>
      <c r="E159" s="2"/>
      <c r="F159" s="2"/>
      <c r="G159" s="2"/>
      <c r="H159" s="2"/>
      <c r="I159" s="2"/>
      <c r="J159" s="2"/>
      <c r="K159" s="2"/>
    </row>
    <row customFormat="1" r="160" s="1" spans="1:11" x14ac:dyDescent="0.25">
      <c r="A160" s="1" t="s">
        <v>339</v>
      </c>
      <c r="B160" s="2">
        <v>11</v>
      </c>
      <c r="C160" s="2"/>
      <c r="D160" s="2"/>
      <c r="E160" s="2"/>
      <c r="F160" s="2"/>
      <c r="G160" s="2"/>
      <c r="H160" s="2"/>
      <c r="I160" s="2"/>
      <c r="J160" s="2"/>
      <c r="K160" s="2"/>
    </row>
    <row customFormat="1" r="161" s="1" spans="1:11" x14ac:dyDescent="0.25">
      <c r="A161" s="1" t="s">
        <v>340</v>
      </c>
      <c r="B161" s="2">
        <v>33</v>
      </c>
      <c r="C161" s="2"/>
      <c r="D161" s="2"/>
      <c r="E161" s="2"/>
      <c r="F161" s="2"/>
      <c r="G161" s="2"/>
      <c r="H161" s="2"/>
      <c r="I161" s="2"/>
      <c r="J161" s="2"/>
      <c r="K161" s="2"/>
    </row>
    <row customFormat="1" r="162" s="1" spans="1:11" x14ac:dyDescent="0.25">
      <c r="A162" s="1" t="s">
        <v>341</v>
      </c>
      <c r="B162" s="2">
        <v>22</v>
      </c>
      <c r="C162" s="2"/>
      <c r="D162" s="2"/>
      <c r="E162" s="2"/>
      <c r="F162" s="2"/>
      <c r="G162" s="2"/>
      <c r="H162" s="2"/>
      <c r="I162" s="2"/>
      <c r="J162" s="2"/>
      <c r="K162" s="2"/>
    </row>
    <row customFormat="1" r="163" s="1" spans="1:11" x14ac:dyDescent="0.25">
      <c r="A163" s="1" t="s">
        <v>342</v>
      </c>
      <c r="B163" s="2">
        <v>44</v>
      </c>
      <c r="C163" s="2"/>
      <c r="D163" s="2"/>
      <c r="E163" s="2"/>
      <c r="F163" s="2"/>
      <c r="G163" s="2"/>
      <c r="H163" s="2"/>
      <c r="I163" s="2"/>
      <c r="J163" s="2"/>
      <c r="K163" s="2"/>
    </row>
    <row customFormat="1" r="164" s="1" spans="1:11" x14ac:dyDescent="0.25">
      <c r="A164" s="1" t="s">
        <v>343</v>
      </c>
      <c r="B164" s="2">
        <v>66</v>
      </c>
      <c r="C164" s="2"/>
      <c r="D164" s="2"/>
      <c r="E164" s="2"/>
      <c r="F164" s="2"/>
      <c r="G164" s="2"/>
      <c r="H164" s="2"/>
      <c r="I164" s="2"/>
      <c r="J164" s="2"/>
      <c r="K164" s="2"/>
    </row>
    <row customFormat="1" r="165" s="1" spans="1:11" x14ac:dyDescent="0.25">
      <c r="A165" s="1" t="s">
        <v>344</v>
      </c>
      <c r="B165" s="2">
        <v>5</v>
      </c>
      <c r="C165" s="2"/>
      <c r="D165" s="2"/>
      <c r="E165" s="2"/>
      <c r="F165" s="2"/>
      <c r="G165" s="2"/>
      <c r="H165" s="2"/>
      <c r="I165" s="2"/>
      <c r="J165" s="2"/>
      <c r="K165" s="2"/>
    </row>
    <row customFormat="1" r="166" s="1" spans="1:11" x14ac:dyDescent="0.25">
      <c r="A166" s="1" t="s">
        <v>345</v>
      </c>
      <c r="B166" s="2">
        <v>66</v>
      </c>
      <c r="C166" s="2"/>
      <c r="D166" s="2"/>
      <c r="E166" s="2"/>
      <c r="F166" s="2"/>
      <c r="G166" s="2"/>
      <c r="H166" s="2"/>
      <c r="I166" s="2"/>
      <c r="J166" s="2"/>
      <c r="K166" s="2"/>
    </row>
    <row customFormat="1" r="167" s="1" spans="1:11" x14ac:dyDescent="0.25">
      <c r="A167" s="1" t="s">
        <v>346</v>
      </c>
      <c r="B167" s="2">
        <v>77</v>
      </c>
      <c r="C167" s="2"/>
      <c r="D167" s="2"/>
      <c r="E167" s="2"/>
      <c r="F167" s="2"/>
      <c r="G167" s="2"/>
      <c r="H167" s="2"/>
      <c r="I167" s="2"/>
      <c r="J167" s="2"/>
      <c r="K167" s="2"/>
    </row>
    <row customFormat="1" r="168" s="1" spans="1:11" x14ac:dyDescent="0.25">
      <c r="A168" s="1" t="s">
        <v>347</v>
      </c>
      <c r="B168" s="2">
        <v>88</v>
      </c>
      <c r="C168" s="2"/>
      <c r="D168" s="2"/>
      <c r="E168" s="2"/>
      <c r="F168" s="2"/>
      <c r="G168" s="2"/>
      <c r="H168" s="2"/>
      <c r="I168" s="2"/>
      <c r="J168" s="2"/>
      <c r="K168" s="2"/>
    </row>
    <row customFormat="1" r="169" s="1" spans="1:11" x14ac:dyDescent="0.25">
      <c r="A169" s="1" t="s">
        <v>348</v>
      </c>
      <c r="B169" s="2">
        <v>1232</v>
      </c>
      <c r="C169" s="2"/>
      <c r="D169" s="2"/>
      <c r="E169" s="2"/>
      <c r="F169" s="2"/>
      <c r="G169" s="2"/>
      <c r="H169" s="2"/>
      <c r="I169" s="2"/>
      <c r="J169" s="2"/>
      <c r="K169" s="2"/>
    </row>
    <row customFormat="1" r="170" s="1" spans="1:11" x14ac:dyDescent="0.25">
      <c r="A170" s="1" t="s">
        <v>349</v>
      </c>
      <c r="B170" s="2">
        <v>8</v>
      </c>
      <c r="C170" s="2"/>
      <c r="D170" s="2"/>
      <c r="E170" s="2"/>
      <c r="F170" s="2"/>
      <c r="G170" s="2"/>
      <c r="H170" s="2"/>
      <c r="I170" s="2"/>
      <c r="J170" s="2"/>
      <c r="K170" s="2"/>
    </row>
    <row customFormat="1" r="171" s="1" spans="1:11" x14ac:dyDescent="0.25">
      <c r="A171" s="2" t="s">
        <v>350</v>
      </c>
      <c r="B171" s="1" t="s">
        <v>46</v>
      </c>
      <c r="C171" s="1" t="s">
        <v>46</v>
      </c>
      <c r="D171" s="1" t="s">
        <v>46</v>
      </c>
      <c r="E171" s="1" t="s">
        <v>46</v>
      </c>
    </row>
    <row customFormat="1" r="172" s="28" spans="1:11" x14ac:dyDescent="0.25">
      <c r="A172" s="7"/>
    </row>
    <row customFormat="1" r="174" s="59" spans="1:11" x14ac:dyDescent="0.25">
      <c r="A174" s="59" t="s">
        <v>4158</v>
      </c>
    </row>
    <row customFormat="1" r="175" s="1" spans="1:11" x14ac:dyDescent="0.25">
      <c r="A175" s="1" t="s">
        <v>47</v>
      </c>
      <c r="B175" s="3" t="str">
        <f>VLOOKUP(B176,[2]Master!$A$1:$B$95,2,FALSE)</f>
        <v>SMPLPR</v>
      </c>
    </row>
    <row customFormat="1" r="176" s="1" spans="1:11" x14ac:dyDescent="0.25">
      <c r="A176" s="1" t="s">
        <v>105</v>
      </c>
      <c r="B176" s="3" t="s">
        <v>4159</v>
      </c>
    </row>
    <row customFormat="1" r="177" s="1" spans="1:2" x14ac:dyDescent="0.25">
      <c r="A177" s="1" t="s">
        <v>289</v>
      </c>
      <c r="B177" s="1" t="s">
        <v>4160</v>
      </c>
    </row>
    <row customFormat="1" r="180" s="59" spans="1:2" x14ac:dyDescent="0.25">
      <c r="A180" s="59" t="s">
        <v>4161</v>
      </c>
    </row>
    <row customFormat="1" r="181" s="1" spans="1:2" x14ac:dyDescent="0.25">
      <c r="A181" s="1" t="s">
        <v>47</v>
      </c>
      <c r="B181" s="3" t="str">
        <f>VLOOKUP(B182,[2]Master!$A$1:$B$95,2,FALSE)</f>
        <v>PO</v>
      </c>
    </row>
    <row customFormat="1" r="182" s="1" spans="1:2" x14ac:dyDescent="0.25">
      <c r="A182" s="1" t="s">
        <v>105</v>
      </c>
      <c r="B182" s="3" t="s">
        <v>277</v>
      </c>
    </row>
    <row customFormat="1" r="183" s="1" spans="1:2" x14ac:dyDescent="0.25">
      <c r="A183" s="1" t="s">
        <v>49</v>
      </c>
      <c r="B183" s="3" t="s">
        <v>318</v>
      </c>
    </row>
    <row customFormat="1" r="184" s="1" spans="1:2" x14ac:dyDescent="0.25">
      <c r="A184" s="1" t="s">
        <v>55</v>
      </c>
      <c r="B184" s="1" t="s">
        <v>9</v>
      </c>
    </row>
    <row customFormat="1" r="185" s="1" spans="1:2" x14ac:dyDescent="0.25">
      <c r="A185" s="1" t="s">
        <v>286</v>
      </c>
      <c r="B185" s="1" t="s">
        <v>4162</v>
      </c>
    </row>
    <row customFormat="1" r="186" s="1" spans="1:2" x14ac:dyDescent="0.25">
      <c r="A186" s="1" t="s">
        <v>4148</v>
      </c>
      <c r="B186" s="1" t="str">
        <f>VLOOKUP(B187,[2]Master!$AW:$AX,2,FALSE)</f>
        <v>1115</v>
      </c>
    </row>
    <row customFormat="1" r="187" s="1" spans="1:2" x14ac:dyDescent="0.25">
      <c r="A187" s="1" t="s">
        <v>4149</v>
      </c>
      <c r="B187" s="1" t="s">
        <v>3404</v>
      </c>
    </row>
    <row customFormat="1" r="188" s="1" spans="1:2" x14ac:dyDescent="0.25">
      <c r="A188" s="1" t="s">
        <v>4163</v>
      </c>
      <c r="B188" s="1" t="s">
        <v>58</v>
      </c>
    </row>
    <row customFormat="1" r="189" s="1" spans="1:2" x14ac:dyDescent="0.25">
      <c r="A189" s="1" t="s">
        <v>4164</v>
      </c>
      <c r="B189" s="48">
        <v>43957</v>
      </c>
    </row>
    <row customFormat="1" r="190" s="1" spans="1:2" x14ac:dyDescent="0.25">
      <c r="A190" s="1" t="s">
        <v>289</v>
      </c>
      <c r="B190" s="2" t="s">
        <v>51</v>
      </c>
    </row>
    <row customFormat="1" r="191" s="1" spans="1:2" x14ac:dyDescent="0.25">
      <c r="A191" s="1" t="s">
        <v>60</v>
      </c>
      <c r="B191" s="2">
        <v>100</v>
      </c>
    </row>
    <row customFormat="1" r="192" s="1" spans="1:2" x14ac:dyDescent="0.25">
      <c r="A192" s="1" t="s">
        <v>4165</v>
      </c>
      <c r="B192" s="1" t="s">
        <v>4166</v>
      </c>
    </row>
    <row customFormat="1" r="193" s="59" spans="1:11" x14ac:dyDescent="0.25">
      <c r="A193" s="59" t="s">
        <v>3642</v>
      </c>
    </row>
    <row customFormat="1" r="194" s="1" spans="1:11" x14ac:dyDescent="0.25">
      <c r="A194" s="44" t="s">
        <v>32</v>
      </c>
      <c r="B194" s="1" t="s">
        <v>33</v>
      </c>
      <c r="C194" s="1" t="s">
        <v>34</v>
      </c>
      <c r="D194" s="1" t="s">
        <v>35</v>
      </c>
      <c r="E194" s="1" t="s">
        <v>36</v>
      </c>
    </row>
    <row customFormat="1" r="195" s="1" spans="1:11" x14ac:dyDescent="0.25">
      <c r="A195" s="44" t="s">
        <v>37</v>
      </c>
      <c r="B195" s="2">
        <v>23</v>
      </c>
      <c r="C195" s="2">
        <v>23</v>
      </c>
      <c r="D195" s="2">
        <v>23</v>
      </c>
      <c r="E195" s="2">
        <v>23</v>
      </c>
      <c r="F195" s="2"/>
      <c r="G195" s="2"/>
      <c r="H195" s="2"/>
      <c r="I195" s="2"/>
      <c r="J195" s="2"/>
      <c r="K195" s="2"/>
    </row>
    <row customFormat="1" r="196" s="1" spans="1:11" x14ac:dyDescent="0.25">
      <c r="A196" s="44" t="s">
        <v>38</v>
      </c>
      <c r="B196" s="2">
        <v>12</v>
      </c>
      <c r="C196" s="2">
        <v>12</v>
      </c>
      <c r="D196" s="2">
        <v>12</v>
      </c>
      <c r="E196" s="2">
        <v>12</v>
      </c>
      <c r="F196" s="2"/>
      <c r="G196" s="2"/>
      <c r="H196" s="2"/>
      <c r="I196" s="2"/>
      <c r="J196" s="2"/>
      <c r="K196" s="2"/>
    </row>
    <row customFormat="1" r="197" s="1" spans="1:11" x14ac:dyDescent="0.25">
      <c r="A197" s="44" t="s">
        <v>39</v>
      </c>
      <c r="B197" s="2">
        <v>11530</v>
      </c>
      <c r="C197" s="2">
        <v>11530</v>
      </c>
      <c r="D197" s="2">
        <v>11530</v>
      </c>
      <c r="E197" s="2">
        <v>11530</v>
      </c>
      <c r="F197" s="2"/>
      <c r="G197" s="2"/>
      <c r="H197" s="2"/>
      <c r="I197" s="2"/>
      <c r="J197" s="2"/>
      <c r="K197" s="2"/>
    </row>
    <row customFormat="1" r="198" s="1" spans="1:11" x14ac:dyDescent="0.25">
      <c r="A198" s="44" t="s">
        <v>40</v>
      </c>
      <c r="B198" s="2" t="s">
        <v>41</v>
      </c>
      <c r="C198" s="2" t="s">
        <v>41</v>
      </c>
      <c r="D198" s="2" t="s">
        <v>41</v>
      </c>
      <c r="E198" s="2" t="s">
        <v>41</v>
      </c>
      <c r="F198" s="2"/>
      <c r="G198" s="2"/>
      <c r="H198" s="2"/>
      <c r="I198" s="2"/>
      <c r="J198" s="2"/>
      <c r="K198" s="2"/>
    </row>
    <row customFormat="1" r="199" s="1" spans="1:11" x14ac:dyDescent="0.25">
      <c r="A199" s="44" t="s">
        <v>42</v>
      </c>
      <c r="B199" s="2" t="s">
        <v>41</v>
      </c>
      <c r="C199" s="2" t="s">
        <v>41</v>
      </c>
      <c r="D199" s="2" t="s">
        <v>41</v>
      </c>
      <c r="E199" s="2" t="s">
        <v>41</v>
      </c>
      <c r="F199" s="2"/>
      <c r="G199" s="2"/>
      <c r="H199" s="2"/>
      <c r="I199" s="2"/>
      <c r="J199" s="2"/>
      <c r="K199" s="2"/>
    </row>
    <row customFormat="1" r="200" s="1" spans="1:11" x14ac:dyDescent="0.25">
      <c r="A200" s="44" t="s">
        <v>43</v>
      </c>
      <c r="B200" s="2" t="s">
        <v>296</v>
      </c>
      <c r="C200" s="2" t="s">
        <v>296</v>
      </c>
      <c r="D200" s="2" t="s">
        <v>296</v>
      </c>
      <c r="E200" s="2" t="s">
        <v>296</v>
      </c>
      <c r="F200" s="2"/>
      <c r="G200" s="2"/>
      <c r="H200" s="2"/>
      <c r="I200" s="2"/>
      <c r="J200" s="2"/>
      <c r="K200" s="2"/>
    </row>
    <row customFormat="1" r="201" s="1" spans="1:11" x14ac:dyDescent="0.25">
      <c r="A201" s="2" t="s">
        <v>44</v>
      </c>
      <c r="B201" s="2">
        <v>111</v>
      </c>
      <c r="C201" s="2"/>
      <c r="D201" s="2"/>
      <c r="E201" s="2"/>
      <c r="F201" s="2"/>
      <c r="G201" s="2"/>
      <c r="H201" s="2"/>
      <c r="I201" s="2"/>
      <c r="J201" s="2"/>
      <c r="K201" s="2"/>
    </row>
    <row customFormat="1" r="202" s="1" spans="1:11" x14ac:dyDescent="0.25">
      <c r="A202" s="1" t="s">
        <v>297</v>
      </c>
      <c r="B202" s="2">
        <v>11</v>
      </c>
      <c r="C202" s="2"/>
      <c r="D202" s="2"/>
      <c r="E202" s="2"/>
      <c r="F202" s="2"/>
      <c r="G202" s="2"/>
      <c r="H202" s="2"/>
      <c r="I202" s="2"/>
      <c r="J202" s="2"/>
      <c r="K202" s="2"/>
    </row>
    <row customFormat="1" r="203" s="1" spans="1:11" x14ac:dyDescent="0.25">
      <c r="A203" s="1" t="s">
        <v>298</v>
      </c>
      <c r="B203" s="2">
        <v>33</v>
      </c>
      <c r="C203" s="2"/>
      <c r="D203" s="2"/>
      <c r="E203" s="2"/>
      <c r="F203" s="2"/>
      <c r="G203" s="2"/>
      <c r="H203" s="2"/>
      <c r="I203" s="2"/>
      <c r="J203" s="2"/>
      <c r="K203" s="2"/>
    </row>
    <row customFormat="1" r="204" s="1" spans="1:11" x14ac:dyDescent="0.25">
      <c r="A204" s="1" t="s">
        <v>299</v>
      </c>
      <c r="B204" s="2">
        <v>22</v>
      </c>
      <c r="C204" s="2"/>
      <c r="D204" s="2"/>
      <c r="E204" s="2"/>
      <c r="F204" s="2"/>
      <c r="G204" s="2"/>
      <c r="H204" s="2"/>
      <c r="I204" s="2"/>
      <c r="J204" s="2"/>
      <c r="K204" s="2"/>
    </row>
    <row customFormat="1" r="205" s="1" spans="1:11" x14ac:dyDescent="0.25">
      <c r="A205" s="1" t="s">
        <v>300</v>
      </c>
      <c r="B205" s="2">
        <v>44</v>
      </c>
      <c r="C205" s="2"/>
      <c r="D205" s="2"/>
      <c r="E205" s="2"/>
      <c r="F205" s="2"/>
      <c r="G205" s="2"/>
      <c r="H205" s="2"/>
      <c r="I205" s="2"/>
      <c r="J205" s="2"/>
      <c r="K205" s="2"/>
    </row>
    <row customFormat="1" r="206" s="1" spans="1:11" x14ac:dyDescent="0.25">
      <c r="A206" s="1" t="s">
        <v>301</v>
      </c>
      <c r="B206" s="2">
        <v>66</v>
      </c>
      <c r="C206" s="2"/>
      <c r="D206" s="2"/>
      <c r="E206" s="2"/>
      <c r="F206" s="2"/>
      <c r="G206" s="2"/>
      <c r="H206" s="2"/>
      <c r="I206" s="2"/>
      <c r="J206" s="2"/>
      <c r="K206" s="2"/>
    </row>
    <row customFormat="1" r="207" s="1" spans="1:11" x14ac:dyDescent="0.25">
      <c r="A207" s="1" t="s">
        <v>302</v>
      </c>
      <c r="B207" s="2">
        <v>5</v>
      </c>
      <c r="C207" s="2"/>
      <c r="D207" s="2"/>
      <c r="E207" s="2"/>
      <c r="F207" s="2"/>
      <c r="G207" s="2"/>
      <c r="H207" s="2"/>
      <c r="I207" s="2"/>
      <c r="J207" s="2"/>
      <c r="K207" s="2"/>
    </row>
    <row customFormat="1" r="208" s="1" spans="1:11" x14ac:dyDescent="0.25">
      <c r="A208" s="1" t="s">
        <v>303</v>
      </c>
      <c r="B208" s="2">
        <v>66</v>
      </c>
      <c r="C208" s="2"/>
      <c r="D208" s="2"/>
      <c r="E208" s="2"/>
      <c r="F208" s="2"/>
      <c r="G208" s="2"/>
      <c r="H208" s="2"/>
      <c r="I208" s="2"/>
      <c r="J208" s="2"/>
      <c r="K208" s="2"/>
    </row>
    <row customFormat="1" r="209" s="1" spans="1:11" x14ac:dyDescent="0.25">
      <c r="A209" s="1" t="s">
        <v>304</v>
      </c>
      <c r="B209" s="2">
        <v>77</v>
      </c>
      <c r="C209" s="2"/>
      <c r="D209" s="2"/>
      <c r="E209" s="2"/>
      <c r="F209" s="2"/>
      <c r="G209" s="2"/>
      <c r="H209" s="2"/>
      <c r="I209" s="2"/>
      <c r="J209" s="2"/>
      <c r="K209" s="2"/>
    </row>
    <row customFormat="1" r="210" s="1" spans="1:11" x14ac:dyDescent="0.25">
      <c r="A210" s="1" t="s">
        <v>305</v>
      </c>
      <c r="B210" s="2">
        <v>88</v>
      </c>
      <c r="C210" s="2"/>
      <c r="D210" s="2"/>
      <c r="E210" s="2"/>
      <c r="F210" s="2"/>
      <c r="G210" s="2"/>
      <c r="H210" s="2"/>
      <c r="I210" s="2"/>
      <c r="J210" s="2"/>
      <c r="K210" s="2"/>
    </row>
    <row customFormat="1" r="211" s="1" spans="1:11" x14ac:dyDescent="0.25">
      <c r="A211" s="1" t="s">
        <v>306</v>
      </c>
      <c r="B211" s="2">
        <v>1232</v>
      </c>
      <c r="C211" s="2"/>
      <c r="D211" s="2"/>
      <c r="E211" s="2"/>
      <c r="F211" s="2"/>
      <c r="G211" s="2"/>
      <c r="H211" s="2"/>
      <c r="I211" s="2"/>
      <c r="J211" s="2"/>
      <c r="K211" s="2"/>
    </row>
    <row customFormat="1" r="212" s="1" spans="1:11" x14ac:dyDescent="0.25">
      <c r="A212" s="1" t="s">
        <v>307</v>
      </c>
      <c r="B212" s="2">
        <v>8</v>
      </c>
      <c r="C212" s="2"/>
      <c r="D212" s="2"/>
      <c r="E212" s="2"/>
      <c r="F212" s="2"/>
      <c r="G212" s="2"/>
      <c r="H212" s="2"/>
      <c r="I212" s="2"/>
      <c r="J212" s="2"/>
      <c r="K212" s="2"/>
    </row>
    <row customFormat="1" r="213" s="1" spans="1:11" x14ac:dyDescent="0.25">
      <c r="A213" s="2" t="s">
        <v>45</v>
      </c>
      <c r="B213" s="1" t="s">
        <v>46</v>
      </c>
      <c r="C213" s="1" t="s">
        <v>46</v>
      </c>
      <c r="D213" s="1" t="s">
        <v>46</v>
      </c>
      <c r="E213" s="1" t="s">
        <v>46</v>
      </c>
    </row>
    <row customFormat="1" r="214" s="59" spans="1:11" x14ac:dyDescent="0.25">
      <c r="A214" s="59" t="s">
        <v>3643</v>
      </c>
    </row>
    <row customFormat="1" r="215" s="1" spans="1:11" x14ac:dyDescent="0.25">
      <c r="A215" s="2" t="s">
        <v>290</v>
      </c>
      <c r="B215" s="1" t="s">
        <v>4167</v>
      </c>
    </row>
    <row customFormat="1" r="216" s="1" spans="1:11" x14ac:dyDescent="0.25">
      <c r="A216" s="2" t="s">
        <v>291</v>
      </c>
      <c r="B216" s="49">
        <v>44081</v>
      </c>
    </row>
    <row customFormat="1" r="217" s="59" spans="1:11" x14ac:dyDescent="0.25">
      <c r="A217" s="59" t="s">
        <v>3644</v>
      </c>
    </row>
    <row customFormat="1" r="218" s="1" spans="1:11" x14ac:dyDescent="0.25">
      <c r="A218" s="2" t="s">
        <v>351</v>
      </c>
      <c r="B218" s="1" t="s">
        <v>33</v>
      </c>
      <c r="C218" s="1" t="s">
        <v>34</v>
      </c>
      <c r="D218" s="1" t="s">
        <v>35</v>
      </c>
      <c r="E218" s="1" t="s">
        <v>36</v>
      </c>
    </row>
    <row customFormat="1" r="219" s="1" spans="1:11" x14ac:dyDescent="0.25">
      <c r="A219" s="2" t="s">
        <v>352</v>
      </c>
      <c r="B219" s="2">
        <v>23</v>
      </c>
      <c r="C219" s="2">
        <v>23</v>
      </c>
      <c r="D219" s="2">
        <v>23</v>
      </c>
      <c r="E219" s="2">
        <v>23</v>
      </c>
      <c r="F219" s="2"/>
      <c r="G219" s="2"/>
      <c r="H219" s="2"/>
      <c r="I219" s="2"/>
      <c r="J219" s="2"/>
      <c r="K219" s="2"/>
    </row>
    <row customFormat="1" r="220" s="1" spans="1:11" x14ac:dyDescent="0.25">
      <c r="A220" s="2" t="s">
        <v>353</v>
      </c>
      <c r="B220" s="2">
        <v>12</v>
      </c>
      <c r="C220" s="2">
        <v>12</v>
      </c>
      <c r="D220" s="2">
        <v>12</v>
      </c>
      <c r="E220" s="2">
        <v>12</v>
      </c>
      <c r="F220" s="2"/>
      <c r="G220" s="2"/>
      <c r="H220" s="2"/>
      <c r="I220" s="2"/>
      <c r="J220" s="2"/>
      <c r="K220" s="2"/>
    </row>
    <row customFormat="1" r="221" s="1" spans="1:11" x14ac:dyDescent="0.25">
      <c r="A221" s="2" t="s">
        <v>354</v>
      </c>
      <c r="B221" s="2">
        <v>11530</v>
      </c>
      <c r="C221" s="2">
        <v>11530</v>
      </c>
      <c r="D221" s="2">
        <v>11530</v>
      </c>
      <c r="E221" s="2">
        <v>11530</v>
      </c>
      <c r="F221" s="2"/>
      <c r="G221" s="2"/>
      <c r="H221" s="2"/>
      <c r="I221" s="2"/>
      <c r="J221" s="2"/>
      <c r="K221" s="2"/>
    </row>
    <row customFormat="1" r="222" s="1" spans="1:11" x14ac:dyDescent="0.25">
      <c r="A222" s="2" t="s">
        <v>355</v>
      </c>
      <c r="B222" s="2" t="s">
        <v>41</v>
      </c>
      <c r="C222" s="2" t="s">
        <v>41</v>
      </c>
      <c r="D222" s="2" t="s">
        <v>41</v>
      </c>
      <c r="E222" s="2" t="s">
        <v>41</v>
      </c>
      <c r="F222" s="2"/>
      <c r="G222" s="2"/>
      <c r="H222" s="2"/>
      <c r="I222" s="2"/>
      <c r="J222" s="2"/>
      <c r="K222" s="2"/>
    </row>
    <row customFormat="1" r="223" s="1" spans="1:11" x14ac:dyDescent="0.25">
      <c r="A223" s="2" t="s">
        <v>356</v>
      </c>
      <c r="B223" s="2" t="s">
        <v>41</v>
      </c>
      <c r="C223" s="2" t="s">
        <v>41</v>
      </c>
      <c r="D223" s="2" t="s">
        <v>41</v>
      </c>
      <c r="E223" s="2" t="s">
        <v>41</v>
      </c>
      <c r="F223" s="2"/>
      <c r="G223" s="2"/>
      <c r="H223" s="2"/>
      <c r="I223" s="2"/>
      <c r="J223" s="2"/>
      <c r="K223" s="2"/>
    </row>
    <row customFormat="1" r="224" s="1" spans="1:11" x14ac:dyDescent="0.25">
      <c r="A224" s="2" t="s">
        <v>357</v>
      </c>
      <c r="B224" s="2" t="s">
        <v>296</v>
      </c>
      <c r="C224" s="2" t="s">
        <v>296</v>
      </c>
      <c r="D224" s="2" t="s">
        <v>296</v>
      </c>
      <c r="E224" s="2" t="s">
        <v>296</v>
      </c>
      <c r="F224" s="2"/>
      <c r="G224" s="2"/>
      <c r="H224" s="2"/>
      <c r="I224" s="2"/>
      <c r="J224" s="2"/>
      <c r="K224" s="2"/>
    </row>
    <row customFormat="1" r="225" s="1" spans="1:11" x14ac:dyDescent="0.25">
      <c r="A225" s="2" t="s">
        <v>358</v>
      </c>
      <c r="B225" s="2">
        <v>111</v>
      </c>
      <c r="C225" s="2"/>
      <c r="D225" s="2"/>
      <c r="E225" s="2"/>
      <c r="F225" s="2"/>
      <c r="G225" s="2"/>
      <c r="H225" s="2"/>
      <c r="I225" s="2"/>
      <c r="J225" s="2"/>
      <c r="K225" s="2"/>
    </row>
    <row customFormat="1" r="226" s="1" spans="1:11" x14ac:dyDescent="0.25">
      <c r="A226" s="1" t="s">
        <v>359</v>
      </c>
      <c r="B226" s="2">
        <v>11</v>
      </c>
      <c r="C226" s="2"/>
      <c r="D226" s="2"/>
      <c r="E226" s="2"/>
      <c r="F226" s="2"/>
      <c r="G226" s="2"/>
      <c r="H226" s="2"/>
      <c r="I226" s="2"/>
      <c r="J226" s="2"/>
      <c r="K226" s="2"/>
    </row>
    <row customFormat="1" r="227" s="1" spans="1:11" x14ac:dyDescent="0.25">
      <c r="A227" s="1" t="s">
        <v>360</v>
      </c>
      <c r="B227" s="2">
        <v>33</v>
      </c>
      <c r="C227" s="2"/>
      <c r="D227" s="2"/>
      <c r="E227" s="2"/>
      <c r="F227" s="2"/>
      <c r="G227" s="2"/>
      <c r="H227" s="2"/>
      <c r="I227" s="2"/>
      <c r="J227" s="2"/>
      <c r="K227" s="2"/>
    </row>
    <row customFormat="1" r="228" s="1" spans="1:11" x14ac:dyDescent="0.25">
      <c r="A228" s="1" t="s">
        <v>361</v>
      </c>
      <c r="B228" s="2">
        <v>22</v>
      </c>
      <c r="C228" s="2"/>
      <c r="D228" s="2"/>
      <c r="E228" s="2"/>
      <c r="F228" s="2"/>
      <c r="G228" s="2"/>
      <c r="H228" s="2"/>
      <c r="I228" s="2"/>
      <c r="J228" s="2"/>
      <c r="K228" s="2"/>
    </row>
    <row customFormat="1" r="229" s="1" spans="1:11" x14ac:dyDescent="0.25">
      <c r="A229" s="1" t="s">
        <v>362</v>
      </c>
      <c r="B229" s="2">
        <v>44</v>
      </c>
      <c r="C229" s="2"/>
      <c r="D229" s="2"/>
      <c r="E229" s="2"/>
      <c r="F229" s="2"/>
      <c r="G229" s="2"/>
      <c r="H229" s="2"/>
      <c r="I229" s="2"/>
      <c r="J229" s="2"/>
      <c r="K229" s="2"/>
    </row>
    <row customFormat="1" r="230" s="1" spans="1:11" x14ac:dyDescent="0.25">
      <c r="A230" s="1" t="s">
        <v>363</v>
      </c>
      <c r="B230" s="2">
        <v>66</v>
      </c>
      <c r="C230" s="2"/>
      <c r="D230" s="2"/>
      <c r="E230" s="2"/>
      <c r="F230" s="2"/>
      <c r="G230" s="2"/>
      <c r="H230" s="2"/>
      <c r="I230" s="2"/>
      <c r="J230" s="2"/>
      <c r="K230" s="2"/>
    </row>
    <row customFormat="1" r="231" s="1" spans="1:11" x14ac:dyDescent="0.25">
      <c r="A231" s="1" t="s">
        <v>364</v>
      </c>
      <c r="B231" s="2">
        <v>5</v>
      </c>
      <c r="C231" s="2"/>
      <c r="D231" s="2"/>
      <c r="E231" s="2"/>
      <c r="F231" s="2"/>
      <c r="G231" s="2"/>
      <c r="H231" s="2"/>
      <c r="I231" s="2"/>
      <c r="J231" s="2"/>
      <c r="K231" s="2"/>
    </row>
    <row customFormat="1" r="232" s="1" spans="1:11" x14ac:dyDescent="0.25">
      <c r="A232" s="1" t="s">
        <v>365</v>
      </c>
      <c r="B232" s="2">
        <v>66</v>
      </c>
      <c r="C232" s="2"/>
      <c r="D232" s="2"/>
      <c r="E232" s="2"/>
      <c r="F232" s="2"/>
      <c r="G232" s="2"/>
      <c r="H232" s="2"/>
      <c r="I232" s="2"/>
      <c r="J232" s="2"/>
      <c r="K232" s="2"/>
    </row>
    <row customFormat="1" r="233" s="1" spans="1:11" x14ac:dyDescent="0.25">
      <c r="A233" s="1" t="s">
        <v>366</v>
      </c>
      <c r="B233" s="2">
        <v>77</v>
      </c>
      <c r="C233" s="2"/>
      <c r="D233" s="2"/>
      <c r="E233" s="2"/>
      <c r="F233" s="2"/>
      <c r="G233" s="2"/>
      <c r="H233" s="2"/>
      <c r="I233" s="2"/>
      <c r="J233" s="2"/>
      <c r="K233" s="2"/>
    </row>
    <row customFormat="1" r="234" s="1" spans="1:11" x14ac:dyDescent="0.25">
      <c r="A234" s="1" t="s">
        <v>367</v>
      </c>
      <c r="B234" s="2">
        <v>88</v>
      </c>
      <c r="C234" s="2"/>
      <c r="D234" s="2"/>
      <c r="E234" s="2"/>
      <c r="F234" s="2"/>
      <c r="G234" s="2"/>
      <c r="H234" s="2"/>
      <c r="I234" s="2"/>
      <c r="J234" s="2"/>
      <c r="K234" s="2"/>
    </row>
    <row customFormat="1" r="235" s="1" spans="1:11" x14ac:dyDescent="0.25">
      <c r="A235" s="1" t="s">
        <v>368</v>
      </c>
      <c r="B235" s="2">
        <v>1232</v>
      </c>
      <c r="C235" s="2"/>
      <c r="D235" s="2"/>
      <c r="E235" s="2"/>
      <c r="F235" s="2"/>
      <c r="G235" s="2"/>
      <c r="H235" s="2"/>
      <c r="I235" s="2"/>
      <c r="J235" s="2"/>
      <c r="K235" s="2"/>
    </row>
    <row customFormat="1" r="236" s="1" spans="1:11" x14ac:dyDescent="0.25">
      <c r="A236" s="1" t="s">
        <v>369</v>
      </c>
      <c r="B236" s="2">
        <v>8</v>
      </c>
      <c r="C236" s="2"/>
      <c r="D236" s="2"/>
      <c r="E236" s="2"/>
      <c r="F236" s="2"/>
      <c r="G236" s="2"/>
      <c r="H236" s="2"/>
      <c r="I236" s="2"/>
      <c r="J236" s="2"/>
      <c r="K236" s="2"/>
    </row>
    <row customFormat="1" r="237" s="1" spans="1:11" x14ac:dyDescent="0.25">
      <c r="A237" s="2" t="s">
        <v>370</v>
      </c>
      <c r="B237" s="1" t="s">
        <v>46</v>
      </c>
      <c r="C237" s="1" t="s">
        <v>46</v>
      </c>
      <c r="D237" s="1" t="s">
        <v>46</v>
      </c>
      <c r="E237" s="1" t="s">
        <v>46</v>
      </c>
    </row>
    <row customFormat="1" r="238" s="59" spans="1:11" x14ac:dyDescent="0.25">
      <c r="A238" s="56" t="s">
        <v>3645</v>
      </c>
      <c r="B238" s="57"/>
      <c r="C238" s="57"/>
      <c r="D238" s="57"/>
      <c r="E238" s="57"/>
      <c r="F238" s="57"/>
      <c r="G238" s="57"/>
      <c r="H238" s="57"/>
      <c r="I238" s="57"/>
      <c r="J238" s="57"/>
      <c r="K238" s="58"/>
    </row>
    <row customFormat="1" r="239" s="1" spans="1:11" x14ac:dyDescent="0.25">
      <c r="A239" s="2" t="s">
        <v>292</v>
      </c>
      <c r="B239" s="1" t="s">
        <v>4168</v>
      </c>
    </row>
    <row customFormat="1" r="240" s="1" spans="1:11" x14ac:dyDescent="0.25">
      <c r="A240" s="2" t="s">
        <v>293</v>
      </c>
      <c r="B240" s="1" t="s">
        <v>4169</v>
      </c>
    </row>
    <row customFormat="1" r="241" s="1" spans="1:11" x14ac:dyDescent="0.25">
      <c r="A241" s="2" t="s">
        <v>330</v>
      </c>
      <c r="B241" s="1" t="s">
        <v>4170</v>
      </c>
    </row>
    <row customFormat="1" r="242" s="1" spans="1:11" x14ac:dyDescent="0.25">
      <c r="A242" s="2" t="s">
        <v>294</v>
      </c>
      <c r="B242" s="1" t="s">
        <v>4171</v>
      </c>
    </row>
    <row customFormat="1" r="243" s="1" spans="1:11" x14ac:dyDescent="0.25">
      <c r="A243" s="2" t="s">
        <v>295</v>
      </c>
      <c r="B243" s="49">
        <v>44050</v>
      </c>
    </row>
    <row customFormat="1" r="244" s="59" spans="1:11" x14ac:dyDescent="0.25">
      <c r="A244" s="56" t="s">
        <v>3646</v>
      </c>
      <c r="B244" s="57"/>
      <c r="C244" s="57"/>
      <c r="D244" s="57"/>
      <c r="E244" s="57"/>
      <c r="F244" s="57"/>
      <c r="G244" s="57"/>
      <c r="H244" s="57"/>
      <c r="I244" s="57"/>
      <c r="J244" s="57"/>
      <c r="K244" s="58"/>
    </row>
    <row customFormat="1" r="245" s="1" spans="1:11" x14ac:dyDescent="0.25">
      <c r="A245" s="2" t="s">
        <v>331</v>
      </c>
      <c r="B245" s="1" t="s">
        <v>33</v>
      </c>
      <c r="C245" s="1" t="s">
        <v>34</v>
      </c>
      <c r="D245" s="1" t="s">
        <v>35</v>
      </c>
      <c r="E245" s="1" t="s">
        <v>36</v>
      </c>
    </row>
    <row customFormat="1" r="246" s="1" spans="1:11" x14ac:dyDescent="0.25">
      <c r="A246" s="2" t="s">
        <v>332</v>
      </c>
      <c r="B246" s="2">
        <v>23</v>
      </c>
      <c r="C246" s="2">
        <v>23</v>
      </c>
      <c r="D246" s="2">
        <v>23</v>
      </c>
      <c r="E246" s="2">
        <v>23</v>
      </c>
      <c r="F246" s="2"/>
      <c r="G246" s="2"/>
      <c r="H246" s="2"/>
      <c r="I246" s="2"/>
      <c r="J246" s="2"/>
      <c r="K246" s="2"/>
    </row>
    <row customFormat="1" r="247" s="1" spans="1:11" x14ac:dyDescent="0.25">
      <c r="A247" s="2" t="s">
        <v>333</v>
      </c>
      <c r="B247" s="2">
        <v>12</v>
      </c>
      <c r="C247" s="2">
        <v>12</v>
      </c>
      <c r="D247" s="2">
        <v>12</v>
      </c>
      <c r="E247" s="2">
        <v>12</v>
      </c>
      <c r="F247" s="2"/>
      <c r="G247" s="2"/>
      <c r="H247" s="2"/>
      <c r="I247" s="2"/>
      <c r="J247" s="2"/>
      <c r="K247" s="2"/>
    </row>
    <row customFormat="1" r="248" s="1" spans="1:11" x14ac:dyDescent="0.25">
      <c r="A248" s="2" t="s">
        <v>334</v>
      </c>
      <c r="B248" s="2">
        <v>11530</v>
      </c>
      <c r="C248" s="2">
        <v>11530</v>
      </c>
      <c r="D248" s="2">
        <v>11530</v>
      </c>
      <c r="E248" s="2">
        <v>11530</v>
      </c>
      <c r="F248" s="2"/>
      <c r="G248" s="2"/>
      <c r="H248" s="2"/>
      <c r="I248" s="2"/>
      <c r="J248" s="2"/>
      <c r="K248" s="2"/>
    </row>
    <row customFormat="1" r="249" s="1" spans="1:11" x14ac:dyDescent="0.25">
      <c r="A249" s="2" t="s">
        <v>335</v>
      </c>
      <c r="B249" s="1" t="s">
        <v>41</v>
      </c>
      <c r="C249" s="1" t="s">
        <v>41</v>
      </c>
      <c r="D249" s="1" t="s">
        <v>41</v>
      </c>
      <c r="E249" s="1" t="s">
        <v>41</v>
      </c>
    </row>
    <row customFormat="1" r="250" s="1" spans="1:11" x14ac:dyDescent="0.25">
      <c r="A250" s="2" t="s">
        <v>336</v>
      </c>
      <c r="B250" s="1" t="s">
        <v>41</v>
      </c>
      <c r="C250" s="1" t="s">
        <v>41</v>
      </c>
      <c r="D250" s="1" t="s">
        <v>41</v>
      </c>
      <c r="E250" s="1" t="s">
        <v>41</v>
      </c>
    </row>
    <row customFormat="1" r="251" s="1" spans="1:11" x14ac:dyDescent="0.25">
      <c r="A251" s="2" t="s">
        <v>337</v>
      </c>
      <c r="B251" s="1" t="s">
        <v>296</v>
      </c>
      <c r="C251" s="1" t="s">
        <v>296</v>
      </c>
      <c r="D251" s="1" t="s">
        <v>296</v>
      </c>
      <c r="E251" s="1" t="s">
        <v>296</v>
      </c>
    </row>
    <row customFormat="1" r="252" s="1" spans="1:11" x14ac:dyDescent="0.25">
      <c r="A252" s="2" t="s">
        <v>338</v>
      </c>
      <c r="B252" s="2">
        <v>111</v>
      </c>
      <c r="C252" s="2"/>
      <c r="D252" s="2"/>
      <c r="E252" s="2"/>
      <c r="F252" s="2"/>
      <c r="G252" s="2"/>
      <c r="H252" s="2"/>
      <c r="I252" s="2"/>
      <c r="J252" s="2"/>
      <c r="K252" s="2"/>
    </row>
    <row customFormat="1" r="253" s="1" spans="1:11" x14ac:dyDescent="0.25">
      <c r="A253" s="1" t="s">
        <v>339</v>
      </c>
      <c r="B253" s="2">
        <v>11</v>
      </c>
      <c r="C253" s="2"/>
      <c r="D253" s="2"/>
      <c r="E253" s="2"/>
      <c r="F253" s="2"/>
      <c r="G253" s="2"/>
      <c r="H253" s="2"/>
      <c r="I253" s="2"/>
      <c r="J253" s="2"/>
      <c r="K253" s="2"/>
    </row>
    <row customFormat="1" r="254" s="1" spans="1:11" x14ac:dyDescent="0.25">
      <c r="A254" s="1" t="s">
        <v>340</v>
      </c>
      <c r="B254" s="2">
        <v>33</v>
      </c>
      <c r="C254" s="2"/>
      <c r="D254" s="2"/>
      <c r="E254" s="2"/>
      <c r="F254" s="2"/>
      <c r="G254" s="2"/>
      <c r="H254" s="2"/>
      <c r="I254" s="2"/>
      <c r="J254" s="2"/>
      <c r="K254" s="2"/>
    </row>
    <row customFormat="1" r="255" s="1" spans="1:11" x14ac:dyDescent="0.25">
      <c r="A255" s="1" t="s">
        <v>341</v>
      </c>
      <c r="B255" s="2">
        <v>22</v>
      </c>
      <c r="C255" s="2"/>
      <c r="D255" s="2"/>
      <c r="E255" s="2"/>
      <c r="F255" s="2"/>
      <c r="G255" s="2"/>
      <c r="H255" s="2"/>
      <c r="I255" s="2"/>
      <c r="J255" s="2"/>
      <c r="K255" s="2"/>
    </row>
    <row customFormat="1" r="256" s="1" spans="1:11" x14ac:dyDescent="0.25">
      <c r="A256" s="1" t="s">
        <v>342</v>
      </c>
      <c r="B256" s="2">
        <v>44</v>
      </c>
      <c r="C256" s="2"/>
      <c r="D256" s="2"/>
      <c r="E256" s="2"/>
      <c r="F256" s="2"/>
      <c r="G256" s="2"/>
      <c r="H256" s="2"/>
      <c r="I256" s="2"/>
      <c r="J256" s="2"/>
      <c r="K256" s="2"/>
    </row>
    <row customFormat="1" r="257" s="1" spans="1:11" x14ac:dyDescent="0.25">
      <c r="A257" s="1" t="s">
        <v>343</v>
      </c>
      <c r="B257" s="2">
        <v>66</v>
      </c>
      <c r="C257" s="2"/>
      <c r="D257" s="2"/>
      <c r="E257" s="2"/>
      <c r="F257" s="2"/>
      <c r="G257" s="2"/>
      <c r="H257" s="2"/>
      <c r="I257" s="2"/>
      <c r="J257" s="2"/>
      <c r="K257" s="2"/>
    </row>
    <row customFormat="1" r="258" s="1" spans="1:11" x14ac:dyDescent="0.25">
      <c r="A258" s="1" t="s">
        <v>344</v>
      </c>
      <c r="B258" s="2">
        <v>5</v>
      </c>
      <c r="C258" s="2"/>
      <c r="D258" s="2"/>
      <c r="E258" s="2"/>
      <c r="F258" s="2"/>
      <c r="G258" s="2"/>
      <c r="H258" s="2"/>
      <c r="I258" s="2"/>
      <c r="J258" s="2"/>
      <c r="K258" s="2"/>
    </row>
    <row customFormat="1" r="259" s="1" spans="1:11" x14ac:dyDescent="0.25">
      <c r="A259" s="1" t="s">
        <v>345</v>
      </c>
      <c r="B259" s="2">
        <v>66</v>
      </c>
      <c r="C259" s="2"/>
      <c r="D259" s="2"/>
      <c r="E259" s="2"/>
      <c r="F259" s="2"/>
      <c r="G259" s="2"/>
      <c r="H259" s="2"/>
      <c r="I259" s="2"/>
      <c r="J259" s="2"/>
      <c r="K259" s="2"/>
    </row>
    <row customFormat="1" r="260" s="1" spans="1:11" x14ac:dyDescent="0.25">
      <c r="A260" s="1" t="s">
        <v>346</v>
      </c>
      <c r="B260" s="2">
        <v>77</v>
      </c>
      <c r="C260" s="2"/>
      <c r="D260" s="2"/>
      <c r="E260" s="2"/>
      <c r="F260" s="2"/>
      <c r="G260" s="2"/>
      <c r="H260" s="2"/>
      <c r="I260" s="2"/>
      <c r="J260" s="2"/>
      <c r="K260" s="2"/>
    </row>
    <row customFormat="1" r="261" s="1" spans="1:11" x14ac:dyDescent="0.25">
      <c r="A261" s="1" t="s">
        <v>347</v>
      </c>
      <c r="B261" s="2">
        <v>88</v>
      </c>
      <c r="C261" s="2"/>
      <c r="D261" s="2"/>
      <c r="E261" s="2"/>
      <c r="F261" s="2"/>
      <c r="G261" s="2"/>
      <c r="H261" s="2"/>
      <c r="I261" s="2"/>
      <c r="J261" s="2"/>
      <c r="K261" s="2"/>
    </row>
    <row customFormat="1" r="262" s="1" spans="1:11" x14ac:dyDescent="0.25">
      <c r="A262" s="1" t="s">
        <v>348</v>
      </c>
      <c r="B262" s="2">
        <v>1232</v>
      </c>
      <c r="C262" s="2"/>
      <c r="D262" s="2"/>
      <c r="E262" s="2"/>
      <c r="F262" s="2"/>
      <c r="G262" s="2"/>
      <c r="H262" s="2"/>
      <c r="I262" s="2"/>
      <c r="J262" s="2"/>
      <c r="K262" s="2"/>
    </row>
    <row customFormat="1" r="263" s="1" spans="1:11" x14ac:dyDescent="0.25">
      <c r="A263" s="1" t="s">
        <v>349</v>
      </c>
      <c r="B263" s="2">
        <v>8</v>
      </c>
      <c r="C263" s="2"/>
      <c r="D263" s="2"/>
      <c r="E263" s="2"/>
      <c r="F263" s="2"/>
      <c r="G263" s="2"/>
      <c r="H263" s="2"/>
      <c r="I263" s="2"/>
      <c r="J263" s="2"/>
      <c r="K263" s="2"/>
    </row>
    <row customFormat="1" r="264" s="1" spans="1:11" x14ac:dyDescent="0.25">
      <c r="A264" s="2" t="s">
        <v>350</v>
      </c>
      <c r="B264" s="1" t="s">
        <v>46</v>
      </c>
      <c r="C264" s="1" t="s">
        <v>46</v>
      </c>
      <c r="D264" s="1" t="s">
        <v>46</v>
      </c>
      <c r="E264" s="1" t="s">
        <v>46</v>
      </c>
    </row>
  </sheetData>
  <mergeCells count="19">
    <mergeCell ref="A217:XFD217"/>
    <mergeCell ref="A238:XFD238"/>
    <mergeCell ref="A244:XFD244"/>
    <mergeCell ref="A151:XFD151"/>
    <mergeCell ref="A174:XFD174"/>
    <mergeCell ref="A180:XFD180"/>
    <mergeCell ref="A193:XFD193"/>
    <mergeCell ref="A214:XFD214"/>
    <mergeCell ref="A90:XFD90"/>
    <mergeCell ref="A100:XFD100"/>
    <mergeCell ref="A121:XFD121"/>
    <mergeCell ref="A124:XFD124"/>
    <mergeCell ref="A145:XFD145"/>
    <mergeCell ref="A67:XFD67"/>
    <mergeCell ref="A2:XFD2"/>
    <mergeCell ref="A16:XFD16"/>
    <mergeCell ref="A37:XFD37"/>
    <mergeCell ref="A40:XFD40"/>
    <mergeCell ref="A61:XFD61"/>
  </mergeCells>
  <dataValidations count="9">
    <dataValidation allowBlank="1" showErrorMessage="1" showInputMessage="1" sqref="B7:K8 F11:K11 B93:E93 B184" type="list">
      <formula1>"Yes, No"</formula1>
    </dataValidation>
    <dataValidation showErrorMessage="1" showInputMessage="1" sqref="B87:K87 B36:K36 B60:K60 B171:K172 B120:K120 B144:K144 B264:K264 B213:K213 B237:K237"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92:E92 B182 B176" type="list">
      <formula1>ListJobProfession</formula1>
    </dataValidation>
    <dataValidation allowBlank="1" showErrorMessage="1" showInputMessage="1" sqref="B5 B183" type="list">
      <formula1>ListJobPosition</formula1>
    </dataValidation>
    <dataValidation allowBlank="1" showErrorMessage="1" showInputMessage="1" sqref="B11 B96:E96 B187" type="list">
      <formula1>ListIndustryType</formula1>
    </dataValidation>
    <dataValidation allowBlank="1" showErrorMessage="1" showInputMessage="1" sqref="B191" type="whole">
      <formula1>0</formula1>
      <formula2>999999999999999000000</formula2>
    </dataValidation>
    <dataValidation allowBlank="1" showErrorMessage="1" showInputMessage="1" sqref="B192" type="list">
      <formula1>"Domestic Investment, Foreign Investment"</formula1>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4" sqref="B4"/>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28</v>
      </c>
      <c r="B1" t="s">
        <v>3358</v>
      </c>
      <c r="C1" s="1" t="s">
        <v>3357</v>
      </c>
      <c r="D1" s="1" t="s">
        <v>3357</v>
      </c>
      <c r="E1" s="1" t="s">
        <v>3357</v>
      </c>
    </row>
    <row customFormat="1" r="2" s="1" spans="1:11" x14ac:dyDescent="0.25">
      <c r="A2" s="44" t="s">
        <v>371</v>
      </c>
      <c r="B2" s="4" t="s">
        <v>383</v>
      </c>
    </row>
    <row customFormat="1" r="3" s="1" spans="1:11" x14ac:dyDescent="0.25">
      <c r="A3" s="44" t="s">
        <v>63</v>
      </c>
      <c r="B3" s="1" t="s">
        <v>384</v>
      </c>
      <c r="C3" s="1" t="s">
        <v>64</v>
      </c>
      <c r="D3" s="1" t="s">
        <v>65</v>
      </c>
      <c r="E3" s="1" t="s">
        <v>66</v>
      </c>
      <c r="F3" s="2"/>
      <c r="G3" s="2"/>
      <c r="H3" s="2"/>
      <c r="I3" s="2"/>
      <c r="J3" s="2"/>
      <c r="K3" s="2"/>
    </row>
    <row customFormat="1" r="4" s="1" spans="1:11" x14ac:dyDescent="0.25">
      <c r="A4" s="44" t="s">
        <v>67</v>
      </c>
      <c r="B4" s="8" t="s">
        <v>381</v>
      </c>
      <c r="C4" s="8" t="s">
        <v>381</v>
      </c>
      <c r="D4" s="8" t="s">
        <v>381</v>
      </c>
      <c r="E4" s="8" t="s">
        <v>381</v>
      </c>
      <c r="F4" s="8"/>
      <c r="G4" s="8"/>
      <c r="H4" s="8"/>
      <c r="I4" s="8"/>
      <c r="J4" s="8"/>
      <c r="K4" s="8"/>
    </row>
    <row customFormat="1" r="5" s="1" spans="1:11" x14ac:dyDescent="0.25">
      <c r="A5" s="2" t="s">
        <v>31</v>
      </c>
      <c r="B5" s="1" t="s">
        <v>69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13" sqref="B13"/>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28</v>
      </c>
      <c r="B1" t="s">
        <v>3358</v>
      </c>
      <c r="C1" s="1" t="s">
        <v>3357</v>
      </c>
      <c r="D1" s="1" t="s">
        <v>3357</v>
      </c>
      <c r="E1" s="1" t="s">
        <v>3357</v>
      </c>
    </row>
    <row customFormat="1" r="2" s="59" spans="1:11" x14ac:dyDescent="0.25">
      <c r="A2" s="56" t="s">
        <v>3647</v>
      </c>
      <c r="B2" s="57"/>
      <c r="C2" s="57"/>
      <c r="D2" s="57"/>
      <c r="E2" s="57"/>
      <c r="F2" s="57"/>
      <c r="G2" s="57"/>
      <c r="H2" s="57"/>
      <c r="I2" s="57"/>
      <c r="J2" s="57"/>
      <c r="K2" s="58"/>
    </row>
    <row customFormat="1" r="3" s="1" spans="1:11" x14ac:dyDescent="0.25">
      <c r="A3" s="44" t="s">
        <v>70</v>
      </c>
      <c r="B3" s="51">
        <v>100000000</v>
      </c>
      <c r="C3" s="51">
        <v>100000000</v>
      </c>
      <c r="D3" s="51">
        <v>100000000</v>
      </c>
      <c r="E3" s="51">
        <v>100000000</v>
      </c>
      <c r="F3" s="8"/>
      <c r="G3" s="8"/>
      <c r="H3" s="8"/>
      <c r="I3" s="8"/>
      <c r="J3" s="8"/>
      <c r="K3" s="8"/>
    </row>
    <row customFormat="1" r="4" s="1" spans="1:11" x14ac:dyDescent="0.25">
      <c r="A4" s="1" t="s">
        <v>71</v>
      </c>
      <c r="B4" s="51">
        <v>10000000</v>
      </c>
      <c r="C4" s="51">
        <v>10000000</v>
      </c>
      <c r="D4" s="51">
        <v>10000000</v>
      </c>
      <c r="E4" s="51">
        <v>10000000</v>
      </c>
      <c r="F4" s="8"/>
      <c r="G4" s="8"/>
      <c r="H4" s="8"/>
      <c r="I4" s="8"/>
      <c r="J4" s="8"/>
      <c r="K4" s="8"/>
    </row>
    <row customFormat="1" r="5" s="1" spans="1:11" x14ac:dyDescent="0.25">
      <c r="A5" s="1" t="s">
        <v>72</v>
      </c>
      <c r="B5" s="2" t="s">
        <v>73</v>
      </c>
      <c r="C5" s="2" t="s">
        <v>74</v>
      </c>
      <c r="D5" s="2" t="s">
        <v>75</v>
      </c>
      <c r="E5" s="2" t="s">
        <v>76</v>
      </c>
      <c r="F5" s="2"/>
      <c r="G5" s="2"/>
      <c r="H5" s="2"/>
      <c r="I5" s="2"/>
      <c r="J5" s="2"/>
      <c r="K5" s="2"/>
    </row>
    <row customFormat="1" r="6" s="1" spans="1:11" x14ac:dyDescent="0.25">
      <c r="A6" s="1" t="s">
        <v>77</v>
      </c>
      <c r="B6" s="50">
        <v>3500000</v>
      </c>
      <c r="C6" s="50">
        <v>3500000</v>
      </c>
      <c r="D6" s="50">
        <v>3500000</v>
      </c>
      <c r="E6" s="50">
        <v>3500000</v>
      </c>
      <c r="F6" s="2"/>
      <c r="G6" s="2"/>
      <c r="H6" s="2"/>
      <c r="I6" s="2"/>
      <c r="J6" s="2"/>
      <c r="K6" s="2"/>
    </row>
    <row customFormat="1" r="7" s="1" spans="1:11" x14ac:dyDescent="0.25">
      <c r="A7" s="1" t="s">
        <v>78</v>
      </c>
      <c r="B7" s="50">
        <v>80000000</v>
      </c>
      <c r="C7" s="50">
        <v>80000000</v>
      </c>
      <c r="D7" s="50">
        <v>80000000</v>
      </c>
      <c r="E7" s="50">
        <v>80000000</v>
      </c>
      <c r="F7" s="2"/>
      <c r="G7" s="2"/>
      <c r="H7" s="2"/>
      <c r="I7" s="2"/>
      <c r="J7" s="2"/>
      <c r="K7" s="2"/>
    </row>
    <row customFormat="1" r="8" s="1" spans="1:11" x14ac:dyDescent="0.25">
      <c r="A8" s="44" t="s">
        <v>385</v>
      </c>
      <c r="B8" s="48">
        <v>43324</v>
      </c>
      <c r="C8" s="8" t="s">
        <v>3361</v>
      </c>
      <c r="D8" s="8" t="s">
        <v>3362</v>
      </c>
      <c r="E8" s="8" t="s">
        <v>3363</v>
      </c>
      <c r="F8" s="8"/>
      <c r="G8" s="8"/>
      <c r="H8" s="8"/>
      <c r="I8" s="8"/>
      <c r="J8" s="8"/>
      <c r="K8" s="8"/>
    </row>
    <row customFormat="1" r="9" s="59" spans="1:11" x14ac:dyDescent="0.25">
      <c r="A9" s="56" t="s">
        <v>3648</v>
      </c>
      <c r="B9" s="57"/>
      <c r="C9" s="57"/>
      <c r="D9" s="57"/>
      <c r="E9" s="57"/>
      <c r="F9" s="57"/>
      <c r="G9" s="57"/>
      <c r="H9" s="57"/>
      <c r="I9" s="57"/>
      <c r="J9" s="57"/>
      <c r="K9" s="58"/>
    </row>
    <row customFormat="1" r="10" s="1" spans="1:11" x14ac:dyDescent="0.25">
      <c r="A10" s="1" t="s">
        <v>79</v>
      </c>
      <c r="B10" s="50">
        <v>1000000000</v>
      </c>
      <c r="C10" s="2">
        <v>1000000001</v>
      </c>
      <c r="D10" s="2">
        <v>1000000002</v>
      </c>
      <c r="E10" s="2">
        <v>1000000003</v>
      </c>
      <c r="F10" s="2"/>
      <c r="G10" s="2"/>
      <c r="H10" s="2"/>
      <c r="I10" s="2"/>
      <c r="J10" s="2"/>
      <c r="K10" s="2"/>
    </row>
    <row customFormat="1" r="11" s="59" spans="1:11" x14ac:dyDescent="0.25">
      <c r="A11" s="56" t="s">
        <v>3649</v>
      </c>
      <c r="B11" s="57"/>
      <c r="C11" s="57"/>
      <c r="D11" s="57"/>
      <c r="E11" s="57"/>
      <c r="F11" s="57"/>
      <c r="G11" s="57"/>
      <c r="H11" s="57"/>
      <c r="I11" s="57"/>
      <c r="J11" s="57"/>
      <c r="K11" s="58"/>
    </row>
    <row customFormat="1" r="12" s="1" spans="1:1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734</v>
      </c>
      <c r="B13" s="3" t="s">
        <v>504</v>
      </c>
      <c r="C13" s="3" t="s">
        <v>504</v>
      </c>
      <c r="D13" s="3" t="s">
        <v>504</v>
      </c>
      <c r="E13" s="3" t="s">
        <v>504</v>
      </c>
      <c r="F13" s="3"/>
      <c r="G13" s="3"/>
      <c r="H13" s="3"/>
      <c r="I13" s="3"/>
      <c r="J13" s="3"/>
      <c r="K13" s="3"/>
    </row>
    <row customFormat="1" r="14" s="1" spans="1:11" x14ac:dyDescent="0.25">
      <c r="A14" s="43" t="s">
        <v>82</v>
      </c>
      <c r="B14" s="1" t="s">
        <v>83</v>
      </c>
      <c r="C14" s="1" t="s">
        <v>83</v>
      </c>
      <c r="D14" s="1" t="s">
        <v>83</v>
      </c>
      <c r="E14" s="1" t="s">
        <v>83</v>
      </c>
    </row>
    <row customFormat="1" r="15" s="1" spans="1:11" x14ac:dyDescent="0.25">
      <c r="A15" s="43" t="s">
        <v>84</v>
      </c>
      <c r="B15" s="1" t="s">
        <v>85</v>
      </c>
      <c r="C15" s="1" t="s">
        <v>85</v>
      </c>
      <c r="D15" s="1" t="s">
        <v>85</v>
      </c>
      <c r="E15" s="1" t="s">
        <v>85</v>
      </c>
    </row>
    <row customFormat="1" r="16" s="1" spans="1:11" x14ac:dyDescent="0.25">
      <c r="A16" s="43" t="s">
        <v>86</v>
      </c>
      <c r="B16" s="8" t="s">
        <v>87</v>
      </c>
      <c r="C16" s="8" t="s">
        <v>88</v>
      </c>
      <c r="D16" s="8" t="s">
        <v>87</v>
      </c>
      <c r="E16" s="8" t="s">
        <v>88</v>
      </c>
      <c r="F16" s="8"/>
      <c r="G16" s="8"/>
      <c r="H16" s="8"/>
      <c r="I16" s="8"/>
      <c r="J16" s="8"/>
      <c r="K16" s="8"/>
    </row>
    <row customFormat="1" r="17" s="1" spans="1:5" x14ac:dyDescent="0.25">
      <c r="A17" s="1" t="s">
        <v>89</v>
      </c>
      <c r="B17" s="1" t="s">
        <v>11</v>
      </c>
      <c r="C17" s="1" t="s">
        <v>11</v>
      </c>
      <c r="D17" s="1" t="s">
        <v>11</v>
      </c>
      <c r="E17" s="1" t="s">
        <v>11</v>
      </c>
    </row>
    <row customFormat="1" r="18" s="1" spans="1:5" x14ac:dyDescent="0.25">
      <c r="A18" s="1" t="s">
        <v>90</v>
      </c>
      <c r="B18" s="1" t="s">
        <v>11</v>
      </c>
      <c r="C18" s="1" t="s">
        <v>11</v>
      </c>
      <c r="D18" s="1" t="s">
        <v>11</v>
      </c>
      <c r="E18" s="1" t="s">
        <v>11</v>
      </c>
    </row>
    <row customFormat="1" r="19" s="1" spans="1:5" x14ac:dyDescent="0.25">
      <c r="A19" s="43" t="s">
        <v>735</v>
      </c>
      <c r="B19" s="17">
        <v>100000000</v>
      </c>
      <c r="C19" s="17"/>
      <c r="D19" s="17"/>
      <c r="E19" s="17"/>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28</v>
      </c>
      <c r="B1" t="s">
        <v>3358</v>
      </c>
      <c r="C1" s="1" t="s">
        <v>3357</v>
      </c>
      <c r="D1" s="1" t="s">
        <v>3357</v>
      </c>
      <c r="E1" s="1" t="s">
        <v>3357</v>
      </c>
    </row>
    <row customFormat="1" r="2" s="1" spans="1:5" x14ac:dyDescent="0.25">
      <c r="A2" s="43" t="s">
        <v>91</v>
      </c>
      <c r="C2" s="1" t="s">
        <v>92</v>
      </c>
      <c r="D2" s="1" t="s">
        <v>92</v>
      </c>
      <c r="E2" s="1" t="s">
        <v>92</v>
      </c>
    </row>
    <row customFormat="1" r="3" s="1" spans="1:5" x14ac:dyDescent="0.25">
      <c r="A3" s="1" t="s">
        <v>93</v>
      </c>
      <c r="C3" s="1" t="s">
        <v>94</v>
      </c>
      <c r="D3" s="1" t="s">
        <v>94</v>
      </c>
      <c r="E3" s="1" t="s">
        <v>94</v>
      </c>
    </row>
    <row customFormat="1" r="4" s="1" spans="1:5" x14ac:dyDescent="0.25">
      <c r="A4" s="43" t="s">
        <v>95</v>
      </c>
      <c r="B4" s="50"/>
      <c r="C4" s="50">
        <v>600000000</v>
      </c>
      <c r="D4" s="50">
        <v>600000000</v>
      </c>
      <c r="E4" s="50">
        <v>600000000</v>
      </c>
    </row>
    <row customFormat="1" r="5" s="1" spans="1:5" x14ac:dyDescent="0.25">
      <c r="A5" s="43" t="s">
        <v>96</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3" workbookViewId="0">
      <selection activeCell="B33" sqref="B33"/>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28</v>
      </c>
      <c r="B1" t="s">
        <v>3358</v>
      </c>
      <c r="C1" s="1" t="s">
        <v>3357</v>
      </c>
      <c r="D1" s="1" t="s">
        <v>3357</v>
      </c>
      <c r="E1" s="1" t="s">
        <v>3357</v>
      </c>
    </row>
    <row customFormat="1" r="2" s="59" spans="1:5" x14ac:dyDescent="0.25">
      <c r="A2" s="56" t="s">
        <v>3650</v>
      </c>
      <c r="B2" s="57"/>
      <c r="C2" s="57"/>
      <c r="D2" s="57"/>
      <c r="E2" s="58"/>
    </row>
    <row customFormat="1" r="3" s="1" spans="1:5"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736</v>
      </c>
      <c r="B4" s="14" t="s">
        <v>746</v>
      </c>
      <c r="C4" s="14" t="s">
        <v>746</v>
      </c>
      <c r="D4" s="14" t="s">
        <v>746</v>
      </c>
      <c r="E4" s="14" t="s">
        <v>746</v>
      </c>
    </row>
    <row customFormat="1" r="5" s="1" spans="1:5" x14ac:dyDescent="0.25">
      <c r="A5" s="45" t="s">
        <v>102</v>
      </c>
      <c r="B5" s="15" t="str">
        <f>VLOOKUP(B6,Master!$P:$Q,2,FALSE)</f>
        <v>2</v>
      </c>
      <c r="C5" s="15" t="str">
        <f>VLOOKUP(C6,Master!$P:$Q,2,FALSE)</f>
        <v>2</v>
      </c>
      <c r="D5" s="15" t="str">
        <f>VLOOKUP(D6,Master!$P:$Q,2,FALSE)</f>
        <v>2</v>
      </c>
      <c r="E5" s="15" t="str">
        <f>VLOOKUP(E6,Master!$P:$Q,2,FALSE)</f>
        <v>2</v>
      </c>
    </row>
    <row customFormat="1" r="6" s="1" spans="1:5" x14ac:dyDescent="0.25">
      <c r="A6" s="44" t="s">
        <v>737</v>
      </c>
      <c r="B6" s="15" t="s">
        <v>1289</v>
      </c>
      <c r="C6" s="15" t="s">
        <v>1289</v>
      </c>
      <c r="D6" s="15" t="s">
        <v>1289</v>
      </c>
      <c r="E6" s="15" t="s">
        <v>1289</v>
      </c>
    </row>
    <row customFormat="1" r="7" s="1" spans="1:5" x14ac:dyDescent="0.25">
      <c r="A7" s="45" t="s">
        <v>1472</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738</v>
      </c>
      <c r="B8" s="15" t="s">
        <v>1295</v>
      </c>
      <c r="C8" s="15" t="s">
        <v>1295</v>
      </c>
      <c r="D8" s="15" t="s">
        <v>1295</v>
      </c>
      <c r="E8" s="15" t="s">
        <v>1295</v>
      </c>
    </row>
    <row customFormat="1" r="9" s="1" spans="1:5" x14ac:dyDescent="0.25">
      <c r="A9" s="45" t="s">
        <v>1473</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739</v>
      </c>
      <c r="B10" s="15" t="s">
        <v>1462</v>
      </c>
      <c r="C10" s="15" t="s">
        <v>1462</v>
      </c>
      <c r="D10" s="15" t="s">
        <v>1462</v>
      </c>
      <c r="E10" s="15" t="s">
        <v>1462</v>
      </c>
    </row>
    <row customFormat="1" r="11" s="59" spans="1:5" x14ac:dyDescent="0.25">
      <c r="A11" s="56" t="s">
        <v>3651</v>
      </c>
      <c r="B11" s="57"/>
      <c r="C11" s="57"/>
      <c r="D11" s="57"/>
      <c r="E11" s="58"/>
    </row>
    <row customFormat="1" r="12" s="1" spans="1:5" x14ac:dyDescent="0.25">
      <c r="A12" s="2" t="s">
        <v>1653</v>
      </c>
      <c r="B12" s="15"/>
      <c r="C12" s="15"/>
      <c r="D12" s="15"/>
      <c r="E12" s="15"/>
    </row>
    <row customFormat="1" r="13" s="1" spans="1:5" x14ac:dyDescent="0.25">
      <c r="A13" s="45" t="s">
        <v>1654</v>
      </c>
      <c r="B13" s="16" t="e">
        <f>VLOOKUP(B14,Master!$Y:$Z,2,FALSE)</f>
        <v>#N/A</v>
      </c>
      <c r="C13" s="16" t="e">
        <f>VLOOKUP(C14,Master!$Y:$Z,2,FALSE)</f>
        <v>#N/A</v>
      </c>
      <c r="D13" s="16" t="e">
        <f>VLOOKUP(D14,Master!$Y:$Z,2,FALSE)</f>
        <v>#N/A</v>
      </c>
      <c r="E13" s="16" t="e">
        <f>VLOOKUP(E14,Master!$Y:$Z,2,FALSE)</f>
        <v>#N/A</v>
      </c>
    </row>
    <row customFormat="1" r="14" s="1" spans="1:5" x14ac:dyDescent="0.25">
      <c r="A14" s="44" t="s">
        <v>1655</v>
      </c>
      <c r="B14" s="15"/>
      <c r="C14" s="15"/>
      <c r="D14" s="15"/>
      <c r="E14" s="15"/>
    </row>
    <row customFormat="1" r="15" s="1" spans="1:5" x14ac:dyDescent="0.25">
      <c r="A15" s="2" t="s">
        <v>1656</v>
      </c>
      <c r="B15" s="15"/>
      <c r="C15" s="15"/>
      <c r="D15" s="15"/>
      <c r="E15" s="15"/>
    </row>
    <row customFormat="1" r="16" s="1" spans="1:5" x14ac:dyDescent="0.25">
      <c r="A16" s="2" t="s">
        <v>1657</v>
      </c>
      <c r="B16" s="15"/>
      <c r="C16" s="15"/>
      <c r="D16" s="15"/>
      <c r="E16" s="15"/>
    </row>
    <row customFormat="1" r="17" s="1" spans="1:5" x14ac:dyDescent="0.25">
      <c r="A17" s="45" t="s">
        <v>1661</v>
      </c>
      <c r="B17" s="16" t="e">
        <f>VLOOKUP(B18,Master!$AB:$AC,2,FALSE)</f>
        <v>#N/A</v>
      </c>
      <c r="C17" s="16" t="e">
        <f>VLOOKUP(C18,Master!$AB:$AC,2,FALSE)</f>
        <v>#N/A</v>
      </c>
      <c r="D17" s="16" t="e">
        <f>VLOOKUP(D18,Master!$AB:$AC,2,FALSE)</f>
        <v>#N/A</v>
      </c>
      <c r="E17" s="16" t="e">
        <f>VLOOKUP(E18,Master!$AB:$AC,2,FALSE)</f>
        <v>#N/A</v>
      </c>
    </row>
    <row customFormat="1" r="18" s="1" spans="1:5" x14ac:dyDescent="0.25">
      <c r="A18" s="44" t="s">
        <v>1658</v>
      </c>
      <c r="B18" s="15"/>
      <c r="C18" s="15"/>
      <c r="D18" s="15"/>
      <c r="E18" s="15"/>
    </row>
    <row customFormat="1" r="19" s="1" spans="1:5" x14ac:dyDescent="0.25">
      <c r="A19" s="45" t="s">
        <v>1660</v>
      </c>
      <c r="B19" s="16" t="e">
        <f>VLOOKUP(B20,Master!$AE:$AF,2,FALSE)</f>
        <v>#N/A</v>
      </c>
      <c r="C19" s="16" t="e">
        <f>VLOOKUP(C20,Master!$AE:$AF,2,FALSE)</f>
        <v>#N/A</v>
      </c>
      <c r="D19" s="16" t="e">
        <f>VLOOKUP(D20,Master!$AE:$AF,2,FALSE)</f>
        <v>#N/A</v>
      </c>
      <c r="E19" s="16" t="e">
        <f>VLOOKUP(E20,Master!$AE:$AF,2,FALSE)</f>
        <v>#N/A</v>
      </c>
    </row>
    <row customFormat="1" r="20" s="1" spans="1:5" x14ac:dyDescent="0.25">
      <c r="A20" s="44" t="s">
        <v>1659</v>
      </c>
      <c r="B20" s="15"/>
      <c r="C20" s="15"/>
      <c r="D20" s="15"/>
      <c r="E20" s="15"/>
    </row>
    <row customFormat="1" r="21" s="1" spans="1:5" x14ac:dyDescent="0.25">
      <c r="A21" s="47" t="s">
        <v>1663</v>
      </c>
      <c r="B21" s="16" t="str">
        <f>VLOOKUP(B22,Master!$AH:$AI,2,FALSE)</f>
        <v>00055</v>
      </c>
      <c r="C21" s="16" t="e">
        <f>VLOOKUP(C22,Master!$AH:$AI,2,FALSE)</f>
        <v>#N/A</v>
      </c>
      <c r="D21" s="16" t="e">
        <f>VLOOKUP(D22,Master!$AH:$AI,2,FALSE)</f>
        <v>#N/A</v>
      </c>
      <c r="E21" s="16" t="e">
        <f>VLOOKUP(E22,Master!$AH:$AI,2,FALSE)</f>
        <v>#N/A</v>
      </c>
    </row>
    <row customFormat="1" ht="30" r="22" s="1" spans="1:5" x14ac:dyDescent="0.25">
      <c r="A22" s="46" t="s">
        <v>1662</v>
      </c>
      <c r="B22" s="16" t="s">
        <v>3039</v>
      </c>
      <c r="C22" s="16"/>
      <c r="D22" s="16"/>
      <c r="E22" s="16"/>
    </row>
    <row customFormat="1" r="23" s="1" spans="1:5" x14ac:dyDescent="0.25">
      <c r="A23" s="45" t="s">
        <v>1664</v>
      </c>
      <c r="B23" s="16" t="e">
        <f>VLOOKUP(B24,Master!$AK:$AL,2,FALSE)</f>
        <v>#N/A</v>
      </c>
      <c r="C23" s="16" t="e">
        <f>VLOOKUP(C24,Master!$AK:$AL,2,FALSE)</f>
        <v>#N/A</v>
      </c>
      <c r="D23" s="16" t="e">
        <f>VLOOKUP(D24,Master!$AK:$AL,2,FALSE)</f>
        <v>#N/A</v>
      </c>
      <c r="E23" s="16" t="e">
        <f>VLOOKUP(E24,Master!$AK:$AL,2,FALSE)</f>
        <v>#N/A</v>
      </c>
    </row>
    <row customFormat="1" r="24" s="1" spans="1:5" x14ac:dyDescent="0.25">
      <c r="A24" s="44" t="s">
        <v>1665</v>
      </c>
      <c r="B24" s="16"/>
      <c r="C24" s="16"/>
      <c r="D24" s="16"/>
      <c r="E24" s="16"/>
    </row>
    <row customFormat="1" r="25" s="1" spans="1:5" x14ac:dyDescent="0.25">
      <c r="A25" s="44" t="s">
        <v>1666</v>
      </c>
      <c r="B25" s="15"/>
      <c r="C25" s="15"/>
      <c r="D25" s="15"/>
      <c r="E25" s="15"/>
    </row>
    <row customFormat="1" r="26" s="1" spans="1:5" x14ac:dyDescent="0.25">
      <c r="A26" s="45" t="s">
        <v>1667</v>
      </c>
      <c r="B26" s="16" t="e">
        <f>VLOOKUP(B27,Master!$AN:$AO,2,FALSE)</f>
        <v>#N/A</v>
      </c>
      <c r="C26" s="16" t="e">
        <f>VLOOKUP(C27,Master!$AN:$AO,2,FALSE)</f>
        <v>#N/A</v>
      </c>
      <c r="D26" s="16" t="e">
        <f>VLOOKUP(D27,Master!$AN:$AO,2,FALSE)</f>
        <v>#N/A</v>
      </c>
      <c r="E26" s="16" t="e">
        <f>VLOOKUP(E27,Master!$AN:$AO,2,FALSE)</f>
        <v>#N/A</v>
      </c>
    </row>
    <row customFormat="1" r="27" s="1" spans="1:5" x14ac:dyDescent="0.25">
      <c r="A27" s="2" t="s">
        <v>1668</v>
      </c>
      <c r="B27" s="16"/>
      <c r="C27" s="16"/>
      <c r="D27" s="16"/>
      <c r="E27" s="16"/>
    </row>
    <row customFormat="1" r="28" s="1" spans="1:5" x14ac:dyDescent="0.25">
      <c r="A28" s="44" t="s">
        <v>103</v>
      </c>
      <c r="B28" s="52">
        <v>43863</v>
      </c>
      <c r="C28" s="16" t="s">
        <v>3359</v>
      </c>
      <c r="D28" s="16" t="s">
        <v>3359</v>
      </c>
      <c r="E28" s="16" t="s">
        <v>3359</v>
      </c>
    </row>
    <row customFormat="1" r="29" s="1" spans="1:5"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1670</v>
      </c>
      <c r="B30" s="53" t="s">
        <v>3059</v>
      </c>
      <c r="C30" s="53" t="s">
        <v>3059</v>
      </c>
      <c r="D30" s="53" t="s">
        <v>3059</v>
      </c>
      <c r="E30" s="53" t="s">
        <v>3059</v>
      </c>
    </row>
    <row customFormat="1" r="31" s="1" spans="1:5" x14ac:dyDescent="0.25">
      <c r="A31" s="44" t="s">
        <v>1671</v>
      </c>
      <c r="B31" s="52">
        <v>43864</v>
      </c>
      <c r="C31" s="16" t="s">
        <v>3360</v>
      </c>
      <c r="D31" s="16" t="s">
        <v>3360</v>
      </c>
      <c r="E31" s="16" t="s">
        <v>3360</v>
      </c>
    </row>
    <row customFormat="1" r="32" s="1" spans="1:5" x14ac:dyDescent="0.25">
      <c r="A32" s="45" t="s">
        <v>1672</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1673</v>
      </c>
      <c r="B33" s="16" t="s">
        <v>3068</v>
      </c>
      <c r="C33" s="16" t="s">
        <v>3068</v>
      </c>
      <c r="D33" s="16" t="s">
        <v>3068</v>
      </c>
      <c r="E33" s="16" t="s">
        <v>3068</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ht="30" r="3" spans="1:57"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ht="30" r="4" spans="1:57"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ht="30" r="5" spans="1:57"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ht="30" r="6" spans="1:57"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ht="30" r="8" spans="1:57"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ht="30" r="10" spans="1:57"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ht="30" r="11" spans="1:57"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ht="30" r="12" spans="1:57"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ht="30" r="13" spans="1:57"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ht="30" r="77" spans="1:54"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ht="30" r="78" spans="1:54"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ht="30" r="90" spans="1:54"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ht="30" r="91" spans="1:54"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ht="30" r="103" spans="10:106"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ht="30" r="104" spans="10:106"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ht="30" r="109" spans="10:106"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ht="30" r="115" spans="10:54"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ht="30" r="116" spans="10:54"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ht="30" r="138" spans="10:54"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ht="30" r="152" spans="10:54"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ht="30" r="153" spans="10:54"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2022-06-28T07:39:08Z</dcterms:modified>
</cp:coreProperties>
</file>