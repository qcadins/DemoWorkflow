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Excel\"/>
    </mc:Choice>
  </mc:AlternateContent>
  <bookViews>
    <workbookView xWindow="0" yWindow="0" windowWidth="20490" windowHeight="5850" activeTab="2"/>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<sst xmlns="http://schemas.openxmlformats.org/spreadsheetml/2006/main" count="3657" uniqueCount="3468">
  <si>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</si>
  <si>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</si>
  <si>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</si>
  <si>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</si>
  <si>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</si>
  <si>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</si>
  <si>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</si>
  <si>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</si>
  <si>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</si>
  <si>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</si>
  <si>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</si>
  <si>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</si>
  <si>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</si>
  <si>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</si>
  <si>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</si>
  <si>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</si>
  <si>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</si>
  <si>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</si>
  <si>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</si>
  <si>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</si>
  <si>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</si>
  <si>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</si>
  <si>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</si>
  <si>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</si>
  <si>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</si>
  <si>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</si>
  <si>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</si>
  <si>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</si>
  <si>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</si>
  <si>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</si>
  <si>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</si>
  <si>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</si>
  <si>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</si>
  <si>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</si>
  <si>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</si>
  <si>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</si>
  <si>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</si>
  <si>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</si>
  <si>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</si>
  <si>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</si>
  <si>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</si>
  <si>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</si>
  <si>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</si>
  <si>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</si>
  <si>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</si>
  <si>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</si>
  <si>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</si>
  <si>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</si>
  <si>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</si>
  <si>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</si>
  <si>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</si>
  <si>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</si>
  <si>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</si>
  <si>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</si>
  <si>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</si>
  <si>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</si>
  <si>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</si>
  <si>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</si>
  <si>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</si>
  <si>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</si>
  <si>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</si>
  <si>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</si>
  <si>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</si>
  <si>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</si>
  <si>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</si>
  <si>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</si>
  <si>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</si>
  <si>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</si>
  <si>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</si>
  <si>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</si>
  <si>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</si>
  <si>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</si>
  <si>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</si>
  <si>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</si>
  <si>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</si>
  <si>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</si>
  <si>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</si>
  <si>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</si>
  <si>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</si>
  <si>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</si>
  <si>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</si>
  <si>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</si>
  <si>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</si>
  <si>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</si>
  <si>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</si>
  <si>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</si>
  <si>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</si>
  <si>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</si>
  <si>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</si>
  <si>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</si>
  <si>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</si>
  <si>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</si>
  <si>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</si>
  <si>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</si>
  <si>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</si>
  <si>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</si>
  <si>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</si>
  <si>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</si>
  <si>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</si>
  <si>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</si>
  <si>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</si>
  <si>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</si>
  <si>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</si>
  <si>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</si>
  <si>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</si>
  <si>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</si>
  <si>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</si>
  <si>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</si>
  <si>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</si>
  <si>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</si>
  <si>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</si>
  <si>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</si>
  <si>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</si>
  <si>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</si>
  <si>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</si>
  <si>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</si>
  <si>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</si>
  <si>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</si>
  <si>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</si>
  <si>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</si>
  <si>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</si>
  <si>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</si>
  <si>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</si>
  <si>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</si>
  <si>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</si>
  <si>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</si>
  <si>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</si>
  <si>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</si>
  <si>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</si>
  <si>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</si>
  <si>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</si>
  <si>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</si>
  <si>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</si>
  <si>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</si>
  <si>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</si>
  <si>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</si>
  <si>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</si>
  <si>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</si>
  <si>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</si>
  <si>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</si>
  <si>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</si>
  <si>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</si>
  <si>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</si>
  <si>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</si>
  <si>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</si>
  <si>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</si>
  <si>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</si>
  <si>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</si>
  <si>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</si>
  <si>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</si>
  <si>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</si>
  <si>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</si>
  <si>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</si>
  <si>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</si>
  <si>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</si>
  <si>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</si>
  <si>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</si>
  <si>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</si>
  <si>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</si>
  <si>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</si>
  <si>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</si>
  <si>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</si>
  <si>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</si>
  <si>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</si>
  <si>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</si>
  <si>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</si>
  <si>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</si>
  <si>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</si>
  <si>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</si>
  <si>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</si>
  <si>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</si>
  <si>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</si>
  <si>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</si>
  <si>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</si>
  <si>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</si>
  <si>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</si>
  <si>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</si>
  <si>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</si>
  <si>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</si>
  <si>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</si>
  <si>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</si>
  <si>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</si>
  <si>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</si>
  <si>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</si>
  <si>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</si>
  <si>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</si>
  <si>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</si>
  <si>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</si>
  <si>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</si>
  <si>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</si>
  <si>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</si>
  <si>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</si>
  <si>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</si>
  <si>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</si>
  <si>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</si>
  <si>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</si>
  <si>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</si>
  <si>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</si>
  <si>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</si>
  <si>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</si>
  <si>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</si>
  <si>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</si>
  <si>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</si>
  <si>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</si>
  <si>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</si>
  <si>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</si>
  <si>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</si>
  <si>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</si>
  <si>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</si>
  <si>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</si>
  <si>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</si>
  <si>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</si>
  <si>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</si>
  <si>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</si>
  <si>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</si>
  <si>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</si>
  <si>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</si>
  <si>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</si>
  <si>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</si>
  <si>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</si>
  <si>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</si>
  <si>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</si>
  <si>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</si>
  <si>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</si>
  <si>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</si>
  <si>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</si>
  <si>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</si>
  <si>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</si>
  <si>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</si>
  <si>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</si>
  <si>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</si>
  <si>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</si>
  <si>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</si>
  <si>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</si>
  <si>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</si>
  <si>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</si>
  <si>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</si>
  <si>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</si>
  <si>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</si>
  <si>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</si>
  <si>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</si>
  <si>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</si>
  <si>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</si>
  <si>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</si>
  <si>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</si>
  <si>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</si>
  <si>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</si>
  <si>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</si>
  <si>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</si>
  <si>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</si>
  <si>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</si>
  <si>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</si>
  <si>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</si>
  <si>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</si>
  <si>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</si>
  <si>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</si>
  <si>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</si>
  <si>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</si>
  <si>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</si>
  <si>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</si>
  <si>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</si>
  <si>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</si>
  <si>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</si>
  <si>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</si>
  <si>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</si>
  <si>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</si>
  <si>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</si>
  <si>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</si>
  <si>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</si>
  <si>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</si>
  <si>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</si>
  <si>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</si>
  <si>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</si>
  <si>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</si>
  <si>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</si>
  <si>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</si>
  <si>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</si>
  <si>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</si>
  <si>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</si>
  <si>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</si>
  <si>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</si>
  <si>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</si>
  <si>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</si>
  <si>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</si>
  <si>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</si>
  <si>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</si>
  <si>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</si>
  <si>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</si>
  <si>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</si>
  <si>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</si>
  <si>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</si>
  <si>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</si>
  <si>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</si>
  <si>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</si>
  <si>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</si>
  <si>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</si>
  <si>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</si>
  <si>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</si>
  <si>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</si>
  <si>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</si>
  <si>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</si>
  <si>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</si>
  <si>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</si>
  <si>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</si>
  <si>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</si>
  <si>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</si>
  <si>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</si>
  <si>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</si>
  <si>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</si>
  <si>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</si>
  <si>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</si>
  <si>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</si>
  <si>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</si>
  <si>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</si>
  <si>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</si>
  <si>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</si>
  <si>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</si>
  <si>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</si>
  <si>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</si>
  <si>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</si>
  <si>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</si>
  <si>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</si>
  <si>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</si>
  <si>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</si>
  <si>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</si>
  <si>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</si>
  <si>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</si>
  <si>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</si>
  <si>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</si>
  <si>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</si>
  <si>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</si>
  <si>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</si>
  <si>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</si>
  <si>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</si>
  <si>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</si>
  <si>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</si>
  <si>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</si>
  <si>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</si>
  <si>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</si>
  <si>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</si>
  <si>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</si>
  <si>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</si>
  <si>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</si>
  <si>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</si>
  <si>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</si>
  <si>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</si>
  <si>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</si>
  <si>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</si>
  <si>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</si>
  <si>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</si>
  <si>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</si>
  <si>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</si>
  <si>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</si>
  <si>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</si>
  <si>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</si>
  <si>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</si>
  <si>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</si>
  <si>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</si>
  <si>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</si>
  <si>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</si>
  <si>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</si>
  <si>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</si>
  <si>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</si>
  <si>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</si>
  <si>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</si>
  <si>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</si>
  <si>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</si>
  <si>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</si>
  <si>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</si>
  <si>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</si>
  <si>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</si>
  <si>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</si>
  <si>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</si>
  <si>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</si>
  <si>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</si>
  <si>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</si>
  <si>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</si>
  <si>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</si>
  <si>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</si>
  <si>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</si>
  <si>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</si>
  <si>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</si>
  <si>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</si>
  <si>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</si>
  <si>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</si>
  <si>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</si>
  <si>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</si>
  <si>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</si>
  <si>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</si>
  <si>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</si>
  <si>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</si>
  <si>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</si>
  <si>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</si>
  <si>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</si>
  <si>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</si>
  <si>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</si>
  <si>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</si>
  <si>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</si>
  <si>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</si>
  <si>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</si>
  <si>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</si>
  <si>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</si>
  <si>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</si>
  <si>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</si>
  <si>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</si>
  <si>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</si>
  <si>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</si>
  <si>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</si>
  <si>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</si>
  <si>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</si>
  <si>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</si>
  <si>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</si>
  <si>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</si>
  <si>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</si>
  <si>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</si>
  <si>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</si>
  <si>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</si>
  <si>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</si>
  <si>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</si>
  <si>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</si>
  <si>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</si>
  <si>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</si>
  <si>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</si>
  <si>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</si>
  <si>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</si>
  <si>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</si>
  <si>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</si>
  <si>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</si>
  <si>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</si>
  <si>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</si>
  <si>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</si>
  <si>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</si>
  <si>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</si>
  <si>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</si>
  <si>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</si>
  <si>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</si>
  <si>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</si>
  <si>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</si>
  <si>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</si>
  <si>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</si>
  <si>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</si>
  <si>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</si>
  <si>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</si>
  <si>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</si>
  <si>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</si>
  <si>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</si>
  <si>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</si>
  <si>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</si>
  <si>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</si>
  <si>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</si>
  <si>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</si>
  <si>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</si>
  <si>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</si>
  <si>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</si>
  <si>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</si>
  <si>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</si>
  <si>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</si>
  <si>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</si>
  <si>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</si>
  <si>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</si>
  <si>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</si>
  <si>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</si>
  <si>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</si>
  <si>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</si>
  <si>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</si>
  <si>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</si>
  <si>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</si>
  <si>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</si>
  <si>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</si>
  <si>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</si>
  <si>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</si>
  <si>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</si>
  <si>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</si>
  <si>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</si>
  <si>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</si>
  <si>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</si>
  <si>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</si>
  <si>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</si>
  <si>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</si>
  <si>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</si>
  <si>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</si>
  <si>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</si>
  <si>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</si>
  <si>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</si>
  <si>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</si>
  <si>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</si>
  <si>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</si>
  <si>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</si>
  <si>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</si>
  <si>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</si>
  <si>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</si>
  <si>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</si>
  <si>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</si>
  <si>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</si>
  <si>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</si>
  <si>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</si>
  <si>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</si>
  <si>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</si>
  <si>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</si>
  <si>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</si>
  <si>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</si>
  <si>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</si>
  <si>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</si>
  <si>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</si>
  <si>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</si>
  <si>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</si>
  <si>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</si>
  <si>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</si>
  <si>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</si>
  <si>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</si>
  <si>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</si>
  <si>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</si>
  <si>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</si>
  <si>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</si>
  <si>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</si>
  <si>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</si>
  <si>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</si>
  <si>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</si>
  <si>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</si>
  <si>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</si>
  <si>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</si>
  <si>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</si>
  <si>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</si>
  <si>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</si>
  <si>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</si>
  <si>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</si>
  <si>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</si>
  <si>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</si>
  <si>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</si>
  <si>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</si>
  <si>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</si>
  <si>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</si>
  <si>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</si>
  <si>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</si>
  <si>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</si>
  <si>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</si>
  <si>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</si>
  <si>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</si>
  <si>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</si>
  <si>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</si>
  <si>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</si>
  <si>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</si>
  <si>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</si>
  <si>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</si>
  <si>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</si>
  <si>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</si>
  <si>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</si>
  <si>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</si>
  <si>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</si>
  <si>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</si>
  <si>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</si>
  <si>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</si>
  <si>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</si>
  <si>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</si>
  <si>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</si>
  <si>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</si>
  <si>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</si>
  <si>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</si>
  <si>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</si>
  <si>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</si>
  <si>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</si>
  <si>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</si>
  <si>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</si>
  <si>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</si>
  <si>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</si>
  <si>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</si>
  <si>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</si>
  <si>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</si>
  <si>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</si>
  <si>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</si>
  <si>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</si>
  <si>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</si>
  <si>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</si>
  <si>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</si>
  <si>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</si>
  <si>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</si>
  <si>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</si>
  <si>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</si>
  <si>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</si>
  <si>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</si>
  <si>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</si>
  <si>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</si>
  <si>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</si>
  <si>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</si>
  <si>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</si>
  <si>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</si>
  <si>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</si>
  <si>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</si>
  <si>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</si>
  <si>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</si>
  <si>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</si>
  <si>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</si>
  <si>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</si>
  <si>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</si>
  <si>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</si>
  <si>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</si>
  <si>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</si>
  <si>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</si>
  <si>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</si>
  <si>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</si>
  <si>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</si>
  <si>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</si>
  <si>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</si>
  <si>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</si>
  <si>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</si>
  <si>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</si>
  <si>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</si>
  <si>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</si>
  <si>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</si>
  <si>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</si>
  <si>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</si>
  <si>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</si>
  <si>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</si>
  <si>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</si>
  <si>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</si>
  <si>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</si>
  <si>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</si>
  <si>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</si>
  <si>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</si>
  <si>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</si>
  <si>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</si>
  <si>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</si>
  <si>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</si>
  <si>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</si>
  <si>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</si>
  <si>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</si>
  <si>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</si>
  <si>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</si>
  <si>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</si>
  <si>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</si>
  <si>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</si>
  <si>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</si>
  <si>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</si>
  <si>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</si>
  <si>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</si>
  <si>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</si>
  <si>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</si>
  <si>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</si>
  <si>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</si>
  <si>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</si>
  <si>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</si>
  <si>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</si>
  <si>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</si>
  <si>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</si>
  <si>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</si>
  <si>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</si>
  <si>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</si>
  <si>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</si>
  <si>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</si>
  <si>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</si>
  <si>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</si>
  <si>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</si>
  <si>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</si>
  <si>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</si>
  <si>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</si>
  <si>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</si>
  <si>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</si>
  <si>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</si>
  <si>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</si>
  <si>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</si>
  <si>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</si>
  <si>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</si>
  <si>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</si>
  <si>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</si>
  <si>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</si>
  <si>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</si>
  <si>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</si>
  <si>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</si>
  <si>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</si>
  <si>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</si>
  <si>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</si>
  <si>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</si>
  <si>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</si>
  <si>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</si>
  <si>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</si>
  <si>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</si>
  <si>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</si>
  <si>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</si>
  <si>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</si>
  <si>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</si>
  <si>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</si>
  <si>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</si>
  <si>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</si>
  <si>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</si>
  <si>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</si>
  <si>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</si>
  <si>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</si>
  <si>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</si>
  <si>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</si>
  <si>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</si>
  <si>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</si>
  <si>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</si>
  <si>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</si>
  <si>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</si>
  <si>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</si>
  <si>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</si>
  <si>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</si>
  <si>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</si>
  <si>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</si>
  <si>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</si>
  <si>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</si>
  <si>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</si>
  <si>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</si>
  <si>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</si>
  <si>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</si>
  <si>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</si>
  <si>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</si>
  <si>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</si>
  <si>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</si>
  <si>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</si>
  <si>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</si>
  <si>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</si>
  <si>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</si>
  <si>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</si>
  <si>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</si>
  <si>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</si>
  <si>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</si>
  <si>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</si>
  <si>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</si>
  <si>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</si>
  <si>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</si>
  <si>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</si>
  <si>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</si>
  <si>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</si>
  <si>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</si>
  <si>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</si>
  <si>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</si>
  <si>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</si>
  <si>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</si>
  <si>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</si>
  <si>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</si>
  <si>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</si>
  <si>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</si>
  <si>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</si>
  <si>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</si>
  <si>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</si>
  <si>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</si>
  <si>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</si>
  <si>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</si>
  <si>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</si>
  <si>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</si>
  <si>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</si>
  <si>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</si>
  <si>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</si>
  <si>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</si>
  <si>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</si>
  <si>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</si>
  <si>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</si>
  <si>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</si>
  <si>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</si>
  <si>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</si>
  <si>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</si>
  <si>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</si>
  <si>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</si>
  <si>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</si>
  <si>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</si>
  <si>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</si>
  <si>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</si>
  <si>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</si>
  <si>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</si>
  <si>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</si>
  <si>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</si>
  <si>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</si>
  <si>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</si>
  <si>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</si>
  <si>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</si>
  <si>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</si>
  <si>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</si>
  <si>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</si>
  <si>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</si>
  <si>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</si>
  <si>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</si>
  <si>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</si>
  <si>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</si>
  <si>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</si>
  <si>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</si>
  <si>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</si>
  <si>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</si>
  <si>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</si>
  <si>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</si>
  <si>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</si>
  <si>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</si>
  <si>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</si>
  <si>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</si>
  <si>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</si>
  <si>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</si>
  <si>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</si>
  <si>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</si>
  <si>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</si>
  <si>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</si>
  <si>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</si>
  <si>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</si>
  <si>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</si>
  <si>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</si>
  <si>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</si>
  <si>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</si>
  <si>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</si>
  <si>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</si>
  <si>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</si>
  <si>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</si>
  <si>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</si>
  <si>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</si>
  <si>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</si>
  <si>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</si>
  <si>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</si>
  <si>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</si>
  <si>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</si>
  <si>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</si>
  <si>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</si>
  <si>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</si>
  <si>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</si>
  <si>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</si>
  <si>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</si>
  <si>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</si>
  <si>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</si>
  <si>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</si>
  <si>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</si>
  <si>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</si>
  <si>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</si>
  <si>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</si>
  <si>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</si>
  <si>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</si>
  <si>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</si>
  <si>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</si>
  <si>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</si>
  <si>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</si>
  <si>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</si>
  <si>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</si>
  <si>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</si>
  <si>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</si>
  <si>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</si>
  <si>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</si>
  <si>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</si>
  <si>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</si>
  <si>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</si>
  <si>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</si>
  <si>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</si>
  <si>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</si>
  <si>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</si>
  <si>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</si>
  <si>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</si>
  <si>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</si>
  <si>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</si>
  <si>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</si>
  <si>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</si>
  <si>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</si>
  <si>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</si>
  <si>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</si>
  <si>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</si>
  <si>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</si>
  <si>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</si>
  <si>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</si>
  <si>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</si>
  <si>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</si>
  <si>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</si>
  <si>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</si>
  <si>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</si>
  <si>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</si>
  <si>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</si>
  <si>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</si>
  <si>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</si>
  <si>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</si>
  <si>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</si>
  <si>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</si>
  <si>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</si>
  <si>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</si>
  <si>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</si>
  <si>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</si>
  <si>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</si>
  <si>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</si>
  <si>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</si>
  <si>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</si>
  <si>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</si>
  <si>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</si>
  <si>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</si>
  <si>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</si>
  <si>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</si>
  <si>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</si>
  <si>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</si>
  <si>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</si>
  <si>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</si>
  <si>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</si>
  <si>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</si>
  <si>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</si>
  <si>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</si>
  <si>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</si>
  <si>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</si>
  <si>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</si>
  <si>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</si>
  <si>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</si>
  <si>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</si>
  <si>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</si>
  <si>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</si>
  <si>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</si>
  <si>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</si>
  <si>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</si>
  <si>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</si>
  <si>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</si>
  <si>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</si>
  <si>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</si>
  <si>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</si>
  <si>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</si>
  <si>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</si>
  <si>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</si>
  <si>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</si>
  <si>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</si>
  <si>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</si>
  <si>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</si>
  <si>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</si>
  <si>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</si>
  <si>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</si>
  <si>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</si>
  <si>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</si>
  <si>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</si>
  <si>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</si>
  <si>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</si>
  <si>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</si>
  <si>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</si>
  <si>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</si>
  <si>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</si>
  <si>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</si>
  <si>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</si>
  <si>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</si>
  <si>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</si>
  <si>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</si>
  <si>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</si>
  <si>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</si>
  <si>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</si>
  <si>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</si>
  <si>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</si>
  <si>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</si>
  <si>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</si>
  <si>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</si>
  <si>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</si>
  <si>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</si>
  <si>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</si>
  <si>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</si>
  <si>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</si>
  <si>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</si>
  <si>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</si>
  <si>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</si>
  <si>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</si>
  <si>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</si>
  <si>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</si>
  <si>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</si>
  <si>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</si>
  <si>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</si>
  <si>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</si>
  <si>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</si>
  <si>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</si>
  <si>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</si>
  <si>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</si>
  <si>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</si>
  <si>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</si>
  <si>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</si>
  <si>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</si>
  <si>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</si>
  <si>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</si>
  <si>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</si>
  <si>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</si>
  <si>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</si>
  <si>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</si>
  <si>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</si>
  <si>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</si>
  <si>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</si>
  <si>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</si>
  <si>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</si>
  <si>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</si>
  <si>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</si>
  <si>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</si>
  <si>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</si>
  <si>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</si>
  <si>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</si>
  <si>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</si>
  <si>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</si>
  <si>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</si>
  <si>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</si>
  <si>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</si>
  <si>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</si>
  <si>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</si>
  <si>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</si>
  <si>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</si>
  <si>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</si>
  <si>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</si>
  <si>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</si>
  <si>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</si>
  <si>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</si>
  <si>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</si>
  <si>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</si>
  <si>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</si>
  <si>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</si>
  <si>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</si>
  <si>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</si>
  <si>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</si>
  <si>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</si>
  <si>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</si>
  <si>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</si>
  <si>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</si>
  <si>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</si>
  <si>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</si>
  <si>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</si>
  <si>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</si>
  <si>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</si>
  <si>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</si>
  <si>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</si>
  <si>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</si>
  <si>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</si>
  <si>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</si>
  <si>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</si>
  <si>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</si>
  <si>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</si>
  <si>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</si>
  <si>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</si>
  <si>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</si>
  <si>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</si>
  <si>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</si>
  <si>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</si>
  <si>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</si>
  <si>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</si>
  <si>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</si>
  <si>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</si>
  <si>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</si>
  <si>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</si>
  <si>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</si>
  <si>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</si>
  <si>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</si>
  <si>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</si>
  <si>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</si>
  <si>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</si>
  <si>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</si>
  <si>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</si>
  <si>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</si>
  <si>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</si>
  <si>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</si>
  <si>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</si>
  <si>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</si>
  <si>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</si>
  <si>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</si>
  <si>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</si>
  <si>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</si>
  <si>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</si>
  <si>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</si>
  <si>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</si>
  <si>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</si>
  <si>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</si>
  <si>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</si>
  <si>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</si>
  <si>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</si>
  <si>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</si>
  <si>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</si>
  <si>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</si>
  <si>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</si>
  <si>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</si>
  <si>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</si>
  <si>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</si>
  <si>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</si>
  <si>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</si>
  <si>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</si>
  <si>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</si>
  <si>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</si>
  <si>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</si>
  <si>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</si>
  <si>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</si>
  <si>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</si>
  <si>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</si>
  <si>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</si>
  <si>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</si>
  <si>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</si>
  <si>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</si>
  <si>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</si>
  <si>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</si>
  <si>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</si>
  <si>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</si>
  <si>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</si>
  <si>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</si>
  <si>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</si>
  <si>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</si>
  <si>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</si>
  <si>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</si>
  <si>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</si>
  <si>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</si>
  <si>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</si>
  <si>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</si>
  <si>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</si>
  <si>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</si>
  <si>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</si>
  <si>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</si>
  <si>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</si>
  <si>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</si>
  <si>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</si>
  <si>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</si>
  <si>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</si>
  <si>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</si>
  <si>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</si>
  <si>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</si>
  <si>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</si>
  <si>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</si>
  <si>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</si>
  <si>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</si>
  <si>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</si>
  <si>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</si>
  <si>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</si>
  <si>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</si>
  <si>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</si>
  <si>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</si>
  <si>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</si>
  <si>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</si>
  <si>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</si>
  <si>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</si>
  <si>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</si>
  <si>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</si>
  <si>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</si>
  <si>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</si>
  <si>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</si>
  <si>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</si>
  <si>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</si>
  <si>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</si>
  <si>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</si>
  <si>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</si>
  <si>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</si>
  <si>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</si>
  <si>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</si>
  <si>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</si>
  <si>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</si>
  <si>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</si>
  <si>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</si>
  <si>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</si>
  <si>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</si>
  <si>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</si>
  <si>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</si>
  <si>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</si>
  <si>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</si>
  <si>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</si>
  <si>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</si>
  <si>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</si>
  <si>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</si>
  <si>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</si>
  <si>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</si>
  <si>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</si>
  <si>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</si>
  <si>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</si>
  <si>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</si>
  <si>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</si>
  <si>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</si>
  <si>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</si>
  <si>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</si>
  <si>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</si>
  <si>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</si>
  <si>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</si>
  <si>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</si>
  <si>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</si>
  <si>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</si>
  <si>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</si>
  <si>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</si>
  <si>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</si>
  <si>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</si>
  <si>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</si>
  <si>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</si>
  <si>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</si>
  <si>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</si>
  <si>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</si>
  <si>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</si>
  <si>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</si>
  <si>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</si>
  <si>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</si>
  <si>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</si>
  <si>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</si>
  <si>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</si>
  <si>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</si>
  <si>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</si>
  <si>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</si>
  <si>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</si>
  <si>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</si>
  <si>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</si>
  <si>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</si>
  <si>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</si>
  <si>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</si>
  <si>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</si>
  <si>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</si>
  <si>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</si>
  <si>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</si>
  <si>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</si>
  <si>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</si>
  <si>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</si>
  <si>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</si>
  <si>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</si>
  <si>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</si>
  <si>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</si>
  <si>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</si>
  <si>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</si>
  <si>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</si>
  <si>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</si>
  <si>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</si>
  <si>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</si>
  <si>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</si>
  <si>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</si>
  <si>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</si>
  <si>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</si>
  <si>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</si>
  <si>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</si>
  <si>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</si>
  <si>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</si>
  <si>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</si>
  <si>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</si>
  <si>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</si>
  <si>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</si>
  <si>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</si>
  <si>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</si>
  <si>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</si>
  <si>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</si>
  <si>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</si>
  <si>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</si>
  <si>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</si>
  <si>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</si>
  <si>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</si>
  <si>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</si>
  <si>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</si>
  <si>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</si>
  <si>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</si>
  <si>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</si>
  <si>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</si>
  <si>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</si>
  <si>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</si>
  <si>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</si>
  <si>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</si>
  <si>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</si>
  <si>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</si>
  <si>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</si>
  <si>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</si>
  <si>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</si>
  <si>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</si>
  <si>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</si>
  <si>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</si>
  <si>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</si>
  <si>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</si>
  <si>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</si>
  <si>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</si>
  <si>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</si>
  <si>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</si>
  <si>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</si>
  <si>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</si>
  <si>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</si>
  <si>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</si>
  <si>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</si>
  <si>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</si>
  <si>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</si>
  <si>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</si>
  <si>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</si>
  <si>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</si>
  <si>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</si>
  <si>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</si>
  <si>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</si>
  <si>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</si>
  <si>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</si>
  <si>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</si>
  <si>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</si>
  <si>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</si>
  <si>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</si>
  <si>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</si>
  <si>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</si>
  <si>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</si>
  <si>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</si>
  <si>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</si>
  <si>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</si>
  <si>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</si>
  <si>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</si>
  <si>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</si>
  <si>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</si>
  <si>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</si>
  <si>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</si>
  <si>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</si>
  <si>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</si>
  <si>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</si>
  <si>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</si>
  <si>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</si>
  <si>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</si>
  <si>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</si>
  <si>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</si>
  <si>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</si>
  <si>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</si>
  <si>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</si>
  <si>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</si>
  <si>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</si>
  <si>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</si>
  <si>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</si>
  <si>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</si>
  <si>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</si>
  <si>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</si>
  <si>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</si>
  <si>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</si>
  <si>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</si>
  <si>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</si>
  <si>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</si>
  <si>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</si>
  <si>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</si>
  <si>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</si>
  <si>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</si>
  <si>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</si>
  <si>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</si>
  <si>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</si>
  <si>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</si>
  <si>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</si>
  <si>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</si>
  <si>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</si>
  <si>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</si>
  <si>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</si>
  <si>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</si>
  <si>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</si>
  <si>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</si>
  <si>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</si>
  <si>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</si>
  <si>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</si>
  <si>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</si>
  <si>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</si>
  <si>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</si>
  <si>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</si>
  <si>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</si>
  <si>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</si>
  <si>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</si>
  <si>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</si>
  <si>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</si>
  <si>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</si>
  <si>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</si>
  <si>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</si>
  <si>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</si>
  <si>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</si>
  <si>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</si>
  <si>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</si>
  <si>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</si>
  <si>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</si>
  <si>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</si>
  <si>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</si>
  <si>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</si>
  <si>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</si>
  <si>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</si>
  <si>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</si>
  <si>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</si>
  <si>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</si>
  <si>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</si>
  <si>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</si>
  <si>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</si>
  <si>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</si>
  <si>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</si>
  <si>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</si>
  <si>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</si>
  <si>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</si>
  <si>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</si>
  <si>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</si>
  <si>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</si>
  <si>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</si>
  <si>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</si>
  <si>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</si>
  <si>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</si>
  <si>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</si>
  <si>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</si>
  <si>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</si>
  <si>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</si>
  <si>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</si>
  <si>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</si>
  <si>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</si>
  <si>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</si>
  <si>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</si>
  <si>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</si>
  <si>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</si>
  <si>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</si>
  <si>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</si>
  <si>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</si>
  <si>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</si>
  <si>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</si>
  <si>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</si>
  <si>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</si>
  <si>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</si>
  <si>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</si>
  <si>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</si>
  <si>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</si>
  <si>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</si>
  <si>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</si>
  <si>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</si>
  <si>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</si>
  <si>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</si>
  <si>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</si>
  <si>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</si>
  <si>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</si>
  <si>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</si>
  <si>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</si>
  <si>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</si>
  <si>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</si>
  <si>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</si>
  <si>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</si>
  <si>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</si>
  <si>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</si>
  <si>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</si>
  <si>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</si>
  <si>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</si>
  <si>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</si>
  <si>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</si>
  <si>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</si>
  <si>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</si>
  <si>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</si>
  <si>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</si>
  <si>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</si>
  <si>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</si>
  <si>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</si>
  <si>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</si>
  <si>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</si>
  <si>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</si>
  <si>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</si>
  <si>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</si>
  <si>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</si>
  <si>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</si>
  <si>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</si>
  <si>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</si>
  <si>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</si>
  <si>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</si>
  <si>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</si>
  <si>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</si>
  <si>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</si>
  <si>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</si>
  <si>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</si>
  <si>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</si>
  <si>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</si>
  <si>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</si>
  <si>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</si>
  <si>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</si>
  <si>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</si>
  <si>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</si>
  <si>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</si>
  <si>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</si>
  <si>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</si>
  <si>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</si>
  <si>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</si>
  <si>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</si>
  <si>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</si>
  <si>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</si>
  <si>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</si>
  <si>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</si>
  <si>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</si>
  <si>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</si>
  <si>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</si>
  <si>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</si>
  <si>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</si>
  <si>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</si>
  <si>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</si>
  <si>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</si>
  <si>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</si>
  <si>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</si>
  <si>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</si>
  <si>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</si>
  <si>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</si>
  <si>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</si>
  <si>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</si>
  <si>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</si>
  <si>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</si>
  <si>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</si>
  <si>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</si>
  <si>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</si>
  <si>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</si>
  <si>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</si>
  <si>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</si>
  <si>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</si>
  <si>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</si>
  <si>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</si>
  <si>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</si>
  <si>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</si>
  <si>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</si>
  <si>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</si>
  <si>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</si>
  <si>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</si>
  <si>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</si>
  <si>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</si>
  <si>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</si>
  <si>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</si>
  <si>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</si>
  <si>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</si>
  <si>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</si>
  <si>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</si>
  <si>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</si>
  <si>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</si>
  <si>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</si>
  <si>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</si>
  <si>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</si>
  <si>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</si>
  <si>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</si>
  <si>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</si>
  <si>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</si>
  <si>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</si>
  <si>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</si>
  <si>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</si>
  <si>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</si>
  <si>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</si>
  <si>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</si>
  <si>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</si>
  <si>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</si>
  <si>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</si>
  <si>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</si>
  <si>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</si>
  <si>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</si>
  <si>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</si>
  <si>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</si>
  <si>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</si>
  <si>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</si>
  <si>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</si>
  <si>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</si>
  <si>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</si>
  <si>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</si>
  <si>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</si>
  <si>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</si>
  <si>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</si>
  <si>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</si>
  <si>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</si>
  <si>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</si>
  <si>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</si>
  <si>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</si>
  <si>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</si>
  <si>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</si>
  <si>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</si>
  <si>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</si>
  <si>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</si>
  <si>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</si>
  <si>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</si>
  <si>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</si>
  <si>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</si>
  <si>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</si>
  <si>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</si>
  <si>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</si>
  <si>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</si>
  <si>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</si>
  <si>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</si>
  <si>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</si>
  <si>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</si>
  <si>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</si>
  <si>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</si>
  <si>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</si>
  <si>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</si>
  <si>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</si>
  <si>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</si>
  <si>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</si>
  <si>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</si>
  <si>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</si>
  <si>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</si>
  <si>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</si>
  <si>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</si>
  <si>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</si>
  <si>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</si>
  <si>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</si>
  <si>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</si>
  <si>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</si>
  <si>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</si>
  <si>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</si>
  <si>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</si>
  <si>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</si>
  <si>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</si>
  <si>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</si>
  <si>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</si>
  <si>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</si>
  <si>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</si>
  <si>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</si>
  <si>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</si>
  <si>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</si>
  <si>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</si>
  <si>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</si>
  <si>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</si>
  <si>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</si>
  <si>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</si>
  <si>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</si>
  <si>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</si>
  <si>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</si>
  <si>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</si>
  <si>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</si>
  <si>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</si>
  <si>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</si>
  <si>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</si>
  <si>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</si>
  <si>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</si>
  <si>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</si>
  <si>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</si>
  <si>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</si>
  <si>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</si>
  <si>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</si>
  <si>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</si>
  <si>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</si>
  <si>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</si>
  <si>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</si>
  <si>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</si>
  <si>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</si>
  <si>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</si>
  <si>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</si>
  <si>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</si>
  <si>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</si>
  <si>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</si>
  <si>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</si>
  <si>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</si>
  <si>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</si>
  <si>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</si>
  <si>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</si>
  <si>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</si>
  <si>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</si>
  <si>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</si>
  <si>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</si>
  <si>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</si>
  <si>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</si>
  <si>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</si>
  <si>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</si>
  <si>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</si>
  <si>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</si>
  <si>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</si>
  <si>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</si>
  <si>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</si>
  <si>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</si>
  <si>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</si>
  <si>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</si>
  <si>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</si>
  <si>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</si>
  <si>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</si>
  <si>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</si>
  <si>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</si>
  <si>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</si>
  <si>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</si>
  <si>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</si>
  <si>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</si>
  <si>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</si>
  <si>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</si>
  <si>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</si>
  <si>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</si>
  <si>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</si>
  <si>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</si>
  <si>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</si>
  <si>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</si>
  <si>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</si>
  <si>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</si>
  <si>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</si>
  <si>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</si>
  <si>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</si>
  <si>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</si>
  <si>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</si>
  <si>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</si>
  <si>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</si>
  <si>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</si>
  <si>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</si>
  <si>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</si>
  <si>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</si>
  <si>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</si>
  <si>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</si>
  <si>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</si>
  <si>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</si>
  <si>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</si>
  <si>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</si>
  <si>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</si>
  <si>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</si>
  <si>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</si>
  <si>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</si>
  <si>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</si>
  <si>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</si>
  <si>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</si>
  <si>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</si>
  <si>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</si>
  <si>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</si>
  <si>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</si>
  <si>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</si>
  <si>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</si>
  <si>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</si>
  <si>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</si>
  <si>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</si>
  <si>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</si>
  <si>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</si>
  <si>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</si>
  <si>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</si>
  <si>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</si>
  <si>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</si>
  <si>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</si>
  <si>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</si>
  <si>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</si>
  <si>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</si>
  <si>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</si>
  <si>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</si>
  <si>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</si>
  <si>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</si>
  <si>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</si>
  <si>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</si>
  <si>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</si>
  <si>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</si>
  <si>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</si>
  <si>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</si>
  <si>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</si>
  <si>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</si>
  <si>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</si>
  <si>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</si>
  <si>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</si>
  <si>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</si>
  <si>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</si>
  <si>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</si>
  <si>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</si>
  <si>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</si>
  <si>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</si>
  <si>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</si>
  <si>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</si>
  <si>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</si>
  <si>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</si>
  <si>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</si>
  <si>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</si>
  <si>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</si>
  <si>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</si>
  <si>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</si>
  <si>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</si>
  <si>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</si>
  <si>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</si>
  <si>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</si>
  <si>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</si>
  <si>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</si>
  <si>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</si>
  <si>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</si>
  <si>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</si>
  <si>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</si>
  <si>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</si>
  <si>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</si>
  <si>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</si>
  <si>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</si>
  <si>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</si>
  <si>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</si>
  <si>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</si>
  <si>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</si>
  <si>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</si>
  <si>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</si>
  <si>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</si>
  <si>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</si>
  <si>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</si>
  <si>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</si>
  <si>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</si>
  <si>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</si>
  <si>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</si>
  <si>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</si>
  <si>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</si>
  <si>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</si>
  <si>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</si>
  <si>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</si>
  <si>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</si>
  <si>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</si>
  <si>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</si>
  <si>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</si>
  <si>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</si>
  <si>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</si>
  <si>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</si>
  <si>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</si>
  <si>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</si>
  <si>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</si>
  <si>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</si>
  <si>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</si>
  <si>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</si>
  <si>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</si>
  <si>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</si>
  <si>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</si>
  <si>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</si>
  <si>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</si>
  <si>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</si>
  <si>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</si>
  <si>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</si>
  <si>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</si>
  <si>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</si>
  <si>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</si>
  <si>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</si>
  <si>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</si>
  <si>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</si>
  <si>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</si>
  <si>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</si>
  <si>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</si>
  <si>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</si>
  <si>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</si>
  <si>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</si>
  <si>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</si>
  <si>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</si>
  <si>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</si>
  <si>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</si>
  <si>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</si>
  <si>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</si>
  <si>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</si>
  <si>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</si>
  <si>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</si>
  <si>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</si>
  <si>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</si>
  <si>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</si>
  <si>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</si>
  <si>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</si>
  <si>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</si>
  <si>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</si>
  <si>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</si>
  <si>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</si>
  <si>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</si>
  <si>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</si>
  <si>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</si>
  <si>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</si>
  <si>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</si>
  <si>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</si>
  <si>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</si>
  <si>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</si>
  <si>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</si>
  <si>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</si>
  <si>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</si>
  <si>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</si>
  <si>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</si>
  <si>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</si>
  <si>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</si>
  <si>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</si>
  <si>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</si>
  <si>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</si>
  <si>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</si>
  <si>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</si>
  <si>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</si>
  <si>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</si>
  <si>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</si>
  <si>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</si>
  <si>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</si>
  <si>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</si>
  <si>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</si>
  <si>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</si>
  <si>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</si>
  <si>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</si>
  <si>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</si>
  <si>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</si>
  <si>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</si>
  <si>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</si>
  <si>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</si>
  <si>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</si>
  <si>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</si>
  <si>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</si>
  <si>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</si>
  <si>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</si>
  <si>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</si>
  <si>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</si>
  <si>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</si>
  <si>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</si>
  <si>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</si>
  <si>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</si>
  <si>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</si>
  <si>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</si>
  <si>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</si>
  <si>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</si>
  <si>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</si>
  <si>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</si>
  <si>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</si>
  <si>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</si>
  <si>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</si>
  <si>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</si>
  <si>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</si>
  <si>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</si>
  <si>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</si>
  <si>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</si>
  <si>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</si>
  <si>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</si>
  <si>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</si>
  <si>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</si>
  <si>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</si>
  <si>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</si>
  <si>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</si>
  <si>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</si>
  <si>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</si>
  <si>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</si>
  <si>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</si>
  <si>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</si>
  <si>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</si>
  <si>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</si>
  <si>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</si>
  <si>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</si>
  <si>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</si>
  <si>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</si>
  <si>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</si>
  <si>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</si>
  <si>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</si>
  <si>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</si>
  <si>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</si>
  <si>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</si>
  <si>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</si>
  <si>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</si>
  <si>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</si>
  <si>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</si>
  <si>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</si>
  <si>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</si>
  <si>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</si>
  <si>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</si>
  <si>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</si>
  <si>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</si>
  <si>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</si>
  <si>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</si>
  <si>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</si>
  <si>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</si>
  <si>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</si>
  <si>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</si>
  <si>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</si>
  <si>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</si>
  <si>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</si>
  <si>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</si>
  <si>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</si>
  <si>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</si>
  <si>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</si>
  <si>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</si>
  <si>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</si>
  <si>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</si>
  <si>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</si>
  <si>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</si>
  <si>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</si>
  <si>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</si>
  <si>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</si>
  <si>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</si>
  <si>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</si>
  <si>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</si>
  <si>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</si>
  <si>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</si>
  <si>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</si>
  <si>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</si>
  <si>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</si>
  <si>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</si>
  <si>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</si>
  <si>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</si>
  <si>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</si>
  <si>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</si>
  <si>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</si>
  <si>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</si>
  <si>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</si>
  <si>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</si>
  <si>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</si>
  <si>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</si>
  <si>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</si>
  <si>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</si>
  <si>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</si>
  <si>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</si>
  <si>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</si>
  <si>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</si>
  <si>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</si>
  <si>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</si>
  <si>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</si>
  <si>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</si>
  <si>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</si>
  <si>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</si>
  <si>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</si>
  <si>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</si>
  <si>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</si>
  <si>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</si>
  <si>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</si>
  <si>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</si>
  <si>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</si>
  <si>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</si>
  <si>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</si>
  <si>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</si>
  <si>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</si>
  <si>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</si>
  <si>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</si>
  <si>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</si>
  <si>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</si>
  <si>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</si>
  <si>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</si>
  <si>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</si>
  <si>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</si>
  <si>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</si>
  <si>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</si>
  <si>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</si>
  <si>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</si>
  <si>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</si>
  <si>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</si>
  <si>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</si>
  <si>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</si>
  <si>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</si>
  <si>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</si>
  <si>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</si>
  <si>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</si>
  <si>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</si>
  <si>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</si>
  <si>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</si>
  <si>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</si>
  <si>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</si>
  <si>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</si>
  <si>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</si>
  <si>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</si>
  <si>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</si>
  <si>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</si>
  <si>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</si>
  <si>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</si>
  <si>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</si>
  <si>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</si>
  <si>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</si>
  <si>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</si>
  <si>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</si>
  <si>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</si>
  <si>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</si>
  <si>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</si>
  <si>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</si>
  <si>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</si>
  <si>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</si>
  <si>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</si>
  <si>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</si>
  <si>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</si>
  <si>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</si>
  <si>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</si>
  <si>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</si>
  <si>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</si>
  <si>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</si>
  <si>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</si>
  <si>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</si>
  <si>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</si>
  <si>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</si>
  <si>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</si>
  <si>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</si>
  <si>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</si>
  <si>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</si>
  <si>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</si>
  <si>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</si>
  <si>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</si>
  <si>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</si>
  <si>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</si>
  <si>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</si>
  <si>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</si>
  <si>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</si>
  <si>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</si>
  <si>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</si>
  <si>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</si>
  <si>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</si>
  <si>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</si>
  <si>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</si>
  <si>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</si>
  <si>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</si>
  <si>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</si>
  <si>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</si>
  <si>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</si>
  <si>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</si>
  <si>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</si>
  <si>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</si>
  <si>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</si>
  <si>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</si>
  <si>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</si>
  <si>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</si>
  <si>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</si>
  <si>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</si>
  <si>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</si>
  <si>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</si>
  <si>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</si>
  <si>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</si>
  <si>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</si>
  <si>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</si>
  <si>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</si>
  <si>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</si>
  <si>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</si>
  <si>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</si>
  <si>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</si>
  <si>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</si>
  <si>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</si>
  <si>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</si>
  <si>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</si>
  <si>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</si>
  <si>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</si>
  <si>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</si>
  <si>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</si>
  <si>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</si>
  <si>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</si>
  <si>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</si>
  <si>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</si>
  <si>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</si>
  <si>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</si>
  <si>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</si>
  <si>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</si>
  <si>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</si>
  <si>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</si>
  <si>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</si>
  <si>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</si>
  <si>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</si>
  <si>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</si>
  <si>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</si>
  <si>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</si>
  <si>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</si>
  <si>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</si>
  <si>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</si>
  <si>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</si>
  <si>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</si>
  <si>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</si>
  <si>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</si>
  <si>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</si>
  <si>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</si>
  <si>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</si>
  <si>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</si>
  <si>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</si>
  <si>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</si>
  <si>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</si>
  <si>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</si>
  <si>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</si>
  <si>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</si>
  <si>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</si>
  <si>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</si>
  <si>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</si>
  <si>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</si>
  <si>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</si>
  <si>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</si>
  <si>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</si>
  <si>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</si>
  <si>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</si>
  <si>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</si>
  <si>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</si>
  <si>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</si>
  <si>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</si>
  <si>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</si>
  <si>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</si>
  <si>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</si>
  <si>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</si>
  <si>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</si>
  <si>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</si>
  <si>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</si>
  <si>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</si>
  <si>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</si>
  <si>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</si>
  <si>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</si>
  <si>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</si>
  <si>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</si>
  <si>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</si>
  <si>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</si>
  <si>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</si>
  <si>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</si>
  <si>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</si>
  <si>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</si>
  <si>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</si>
  <si>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</si>
  <si>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</si>
  <si>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</si>
  <si>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</si>
  <si>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</si>
  <si>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</si>
  <si>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</si>
  <si>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</si>
  <si>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</si>
  <si>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</si>
  <si>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</si>
  <si>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</si>
  <si>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</si>
  <si>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</si>
  <si>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</si>
  <si>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</si>
  <si>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</si>
  <si>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</si>
  <si>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</si>
  <si>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</si>
  <si>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</si>
  <si>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</si>
  <si>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</si>
  <si>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</si>
  <si>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</si>
  <si>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</si>
  <si>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</si>
  <si>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</si>
  <si>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</si>
  <si>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</si>
  <si>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</si>
  <si>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</si>
  <si>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</si>
  <si>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</si>
  <si>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</si>
  <si>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</si>
  <si>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</si>
  <si>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</si>
  <si>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</si>
  <si>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</si>
  <si>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</si>
  <si>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</si>
  <si>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</si>
  <si>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</si>
  <si>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</si>
  <si>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</si>
  <si>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</si>
  <si>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</si>
  <si>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</si>
  <si>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</si>
  <si>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</si>
  <si>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</si>
  <si>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</si>
  <si>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</si>
  <si>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</si>
  <si>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</si>
  <si>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</si>
  <si>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</si>
  <si>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</si>
  <si>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</si>
  <si>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</si>
  <si>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</si>
  <si>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</si>
  <si>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</si>
  <si>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</si>
  <si>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</si>
  <si>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</si>
  <si>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</si>
  <si>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</si>
  <si>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</si>
  <si>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</si>
  <si>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</si>
  <si>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</si>
  <si>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</si>
  <si>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</si>
  <si>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</si>
  <si>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</si>
  <si>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</si>
  <si>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</si>
  <si>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</si>
  <si>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</si>
  <si>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</si>
  <si>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</si>
  <si>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</si>
  <si>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</si>
  <si>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</si>
  <si>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</si>
  <si>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</si>
  <si>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</si>
  <si>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</si>
  <si>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</si>
  <si>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</si>
  <si>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</si>
  <si>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</si>
  <si>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</si>
  <si>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</si>
  <si>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</si>
  <si>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</si>
  <si>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</si>
  <si>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</si>
  <si>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</si>
  <si>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</si>
  <si>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</si>
  <si>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</si>
  <si>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</si>
  <si>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</si>
  <si>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</si>
  <si>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</si>
  <si>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</si>
  <si>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</si>
  <si>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</si>
  <si>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</si>
  <si>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</si>
  <si>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</si>
  <si>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</si>
  <si>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</si>
  <si>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</si>
  <si>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</si>
  <si>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</si>
  <si>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</si>
  <si>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</si>
  <si>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</si>
  <si>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</si>
  <si>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</si>
  <si>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</si>
  <si>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</si>
  <si>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</si>
  <si>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</si>
  <si>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</si>
  <si>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</si>
  <si>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</si>
  <si>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</si>
  <si>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</si>
  <si>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</si>
  <si>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</si>
  <si>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</si>
  <si>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</si>
  <si>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</si>
  <si>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</si>
  <si>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</si>
  <si>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</si>
  <si>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</si>
  <si>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</si>
  <si>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</si>
  <si>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</si>
  <si>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</si>
  <si>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</si>
  <si>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</si>
  <si>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</si>
  <si>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</si>
  <si>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</si>
  <si>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</si>
  <si>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</si>
  <si>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</si>
  <si>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</si>
  <si>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</si>
  <si>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</si>
  <si>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</si>
  <si>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</si>
  <si>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</si>
  <si>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</si>
  <si>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</si>
  <si>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</si>
  <si>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</si>
  <si>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</si>
  <si>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</si>
  <si>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</si>
  <si>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</si>
  <si>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</si>
  <si>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</si>
  <si>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</si>
  <si>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</si>
  <si>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</si>
  <si>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</si>
  <si>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</si>
  <si>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</si>
  <si>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</si>
  <si>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</si>
  <si>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</si>
  <si>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</si>
  <si>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</si>
  <si>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</si>
  <si>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</si>
  <si>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</si>
  <si>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</si>
  <si>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</si>
  <si>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</si>
  <si>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</si>
  <si>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</si>
  <si>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</si>
  <si>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</si>
  <si>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</si>
  <si>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</si>
  <si>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</si>
  <si>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</si>
  <si>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</si>
  <si>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</si>
  <si>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</si>
  <si>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</si>
  <si>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</si>
  <si>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</si>
  <si>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</si>
  <si>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</si>
  <si>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</si>
  <si>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</si>
  <si>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</si>
  <si>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</si>
  <si>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</si>
  <si>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</si>
  <si>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</si>
  <si>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</si>
  <si>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</si>
  <si>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</si>
  <si>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</si>
  <si>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</si>
  <si>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</si>
  <si>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</si>
  <si>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</si>
  <si>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</si>
  <si>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</si>
  <si>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</si>
  <si>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</si>
  <si>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</si>
  <si>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</si>
  <si>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</si>
  <si>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</si>
  <si>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</si>
  <si>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</si>
  <si>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</si>
  <si>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</si>
  <si>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</si>
  <si>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</si>
  <si>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</si>
  <si>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</si>
  <si>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</si>
  <si>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</si>
  <si>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</si>
  <si>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</si>
  <si>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</si>
  <si>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</si>
  <si>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</si>
  <si>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</si>
  <si>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</si>
  <si>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</si>
  <si>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</si>
  <si>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</si>
  <si>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</si>
  <si>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</si>
  <si>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</si>
  <si>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</si>
  <si>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</si>
  <si>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</si>
  <si>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</si>
  <si>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</si>
  <si>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</si>
  <si>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</si>
  <si>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</si>
  <si>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</si>
  <si>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</si>
  <si>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</si>
  <si>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</si>
  <si>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</si>
  <si>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</si>
  <si>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</si>
  <si>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</si>
  <si>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</si>
  <si>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</si>
  <si>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</si>
  <si>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</si>
  <si>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</si>
  <si>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</si>
  <si>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</si>
  <si>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</si>
  <si>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</si>
  <si>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</si>
  <si>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</si>
  <si>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</si>
  <si>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</si>
  <si>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</si>
  <si>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</si>
  <si>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</si>
  <si>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</si>
  <si>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</si>
  <si>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</si>
  <si>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</si>
  <si>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</si>
  <si>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</si>
  <si>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</si>
  <si>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</si>
  <si>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</si>
  <si>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</si>
  <si>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</si>
  <si>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</si>
  <si>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</si>
  <si>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</si>
  <si>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</si>
  <si>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</si>
  <si>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</si>
  <si>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</si>
  <si>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</si>
  <si>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</si>
  <si>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</si>
  <si>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</si>
  <si>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</si>
  <si>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</si>
  <si>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</si>
  <si>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</si>
  <si>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</si>
  <si>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</si>
  <si>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</si>
  <si>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</si>
  <si>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</si>
  <si>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</si>
  <si>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</si>
  <si>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</si>
  <si>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</si>
  <si>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</si>
  <si>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</si>
  <si>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</si>
  <si>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</si>
  <si>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</si>
  <si>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</si>
  <si>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</si>
  <si>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</si>
  <si>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</si>
  <si>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</si>
  <si>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</si>
  <si>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</si>
  <si>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</si>
  <si>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</si>
  <si>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</si>
  <si>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</si>
  <si>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</si>
  <si>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</si>
  <si>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</si>
  <si>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</si>
  <si>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</si>
  <si>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</si>
  <si>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</si>
  <si>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</si>
  <si>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</si>
  <si>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</si>
  <si>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</si>
  <si>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</si>
  <si>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</si>
  <si>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</si>
  <si>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</si>
  <si>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</si>
  <si>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</si>
  <si>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</si>
  <si>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</si>
  <si>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</si>
  <si>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</si>
  <si>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</si>
  <si>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</si>
  <si>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</si>
  <si>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</si>
  <si>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</si>
  <si>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</si>
  <si>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</si>
  <si>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</si>
  <si>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</si>
  <si>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</si>
  <si>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</si>
  <si>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</si>
  <si>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</si>
  <si>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</si>
  <si>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</si>
  <si>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</si>
  <si>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</si>
  <si>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</si>
  <si>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</si>
  <si>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</si>
  <si>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</si>
  <si>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</si>
  <si>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</si>
  <si>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</si>
  <si>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</si>
  <si>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</si>
  <si>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</si>
  <si>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</si>
  <si>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</si>
  <si>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</si>
  <si>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</si>
  <si>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</si>
  <si>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</si>
  <si>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</si>
  <si>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</si>
  <si>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</si>
  <si>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</si>
  <si>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</si>
  <si>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</si>
  <si>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</si>
  <si>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</si>
  <si>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</si>
  <si>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</si>
  <si>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</si>
  <si>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</si>
  <si>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</si>
  <si>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</si>
  <si>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</si>
  <si>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</si>
  <si>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</si>
  <si>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</si>
  <si>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</si>
  <si>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</si>
  <si>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</si>
  <si>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</si>
  <si>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</si>
  <si>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</si>
  <si>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</si>
  <si>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</si>
  <si>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</si>
  <si>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</si>
  <si>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</si>
  <si>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</si>
  <si>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</si>
  <si>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</si>
  <si>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</si>
  <si>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</si>
  <si>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</si>
  <si>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</si>
  <si>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</si>
  <si>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</si>
  <si>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</si>
  <si>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</si>
  <si>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</si>
  <si>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</si>
  <si>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</si>
  <si>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</si>
  <si>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</si>
  <si>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</si>
  <si>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</si>
  <si>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</si>
  <si>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</si>
  <si>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</si>
  <si>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</si>
  <si>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</si>
  <si>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</si>
  <si>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</si>
  <si>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</si>
  <si>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</si>
  <si>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</si>
  <si>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</si>
  <si>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</si>
  <si>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</si>
  <si>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</si>
  <si>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</si>
  <si>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</si>
  <si>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</si>
  <si>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</si>
  <si>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</si>
  <si>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</si>
  <si>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</si>
  <si>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</si>
  <si>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</si>
  <si>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</si>
  <si>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</si>
  <si>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</si>
  <si>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</si>
  <si>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</si>
  <si>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</si>
  <si>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</si>
  <si>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</si>
  <si>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</si>
  <si>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</si>
  <si>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</si>
  <si>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</si>
  <si>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</si>
  <si>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</si>
  <si>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</si>
  <si>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</si>
  <si>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</si>
  <si>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</si>
  <si>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</si>
  <si>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</si>
  <si>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</si>
  <si>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</si>
  <si>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</si>
  <si>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</si>
  <si>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</si>
  <si>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</si>
  <si>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</si>
  <si>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</si>
  <si>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</si>
  <si>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</si>
  <si>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</si>
  <si>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</si>
  <si>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</si>
  <si>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</si>
  <si>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</si>
  <si>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</si>
  <si>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</si>
  <si>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</si>
  <si>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</si>
  <si>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</si>
  <si>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</si>
  <si>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</si>
  <si>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</si>
  <si>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</si>
  <si>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</si>
  <si>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</si>
  <si>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</si>
  <si>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</si>
  <si>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</si>
  <si>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</si>
  <si>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</si>
  <si>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</si>
  <si>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</si>
  <si>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</si>
  <si>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</si>
  <si>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</si>
  <si>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</si>
  <si>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</si>
  <si>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</si>
  <si>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</si>
  <si>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</si>
  <si>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</si>
  <si>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</si>
  <si>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</si>
  <si>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</si>
  <si>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</si>
  <si>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</si>
  <si>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</si>
  <si>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</si>
  <si>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</si>
  <si>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</si>
  <si>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</si>
  <si>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</si>
  <si>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</si>
  <si>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</si>
  <si>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</si>
  <si>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</si>
  <si>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</si>
  <si>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</si>
  <si>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</si>
  <si>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</si>
  <si>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</si>
  <si>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</si>
  <si>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</si>
  <si>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</si>
  <si>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</si>
  <si>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</si>
  <si>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</si>
  <si>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</si>
  <si>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</si>
  <si>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</si>
  <si>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</si>
  <si>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</si>
  <si>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</si>
  <si>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</si>
  <si>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</si>
  <si>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</si>
  <si>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</si>
  <si>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</si>
  <si>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</si>
  <si>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</si>
  <si>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</si>
  <si>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</si>
  <si>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</si>
  <si>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</si>
  <si>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</si>
  <si>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</si>
  <si>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</si>
  <si>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</si>
  <si>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</si>
  <si>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</si>
  <si>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</si>
  <si>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</si>
  <si>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</si>
  <si>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</si>
  <si>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</si>
  <si>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</si>
  <si>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</si>
  <si>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</si>
  <si>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</si>
  <si>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</si>
  <si>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</si>
  <si>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</si>
  <si>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</si>
  <si>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</si>
  <si>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</si>
  <si>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</si>
  <si>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</si>
  <si>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</si>
  <si>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</si>
  <si>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</si>
  <si>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</si>
  <si>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</si>
  <si>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</si>
  <si>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</si>
  <si>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</si>
  <si>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</si>
  <si>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</si>
  <si>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</si>
  <si>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</si>
  <si>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</si>
  <si>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</si>
  <si>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</si>
  <si>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</si>
  <si>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</si>
  <si>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</si>
  <si>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</si>
  <si>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</si>
  <si>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</si>
  <si>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</si>
  <si>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</si>
  <si>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</si>
  <si>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</si>
  <si>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</si>
  <si>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</si>
  <si>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</si>
  <si>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</si>
  <si>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</si>
  <si>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</si>
  <si>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</si>
  <si>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</si>
  <si>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</si>
  <si>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</si>
  <si>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</si>
  <si>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</si>
  <si>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</si>
  <si>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</si>
  <si>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</si>
  <si>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</si>
  <si>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</si>
  <si>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</si>
  <si>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</si>
  <si>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</si>
  <si>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</si>
  <si>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</si>
  <si>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</si>
  <si>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</si>
  <si>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</si>
  <si>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</si>
  <si>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</si>
  <si>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</si>
  <si>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</si>
  <si>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</si>
  <si>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</si>
  <si>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</si>
  <si>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</si>
  <si>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</si>
  <si>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</si>
  <si>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</si>
  <si>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</si>
  <si>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</si>
  <si>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</si>
  <si>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</si>
  <si>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</si>
  <si>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</si>
  <si>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</si>
  <si>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</si>
  <si>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</si>
  <si>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</si>
  <si>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</si>
  <si>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</si>
  <si>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</si>
  <si>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</si>
  <si>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</si>
  <si>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</si>
  <si>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</si>
  <si>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</si>
  <si>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</si>
  <si>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</si>
  <si>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</si>
  <si>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</si>
  <si>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</si>
  <si>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</si>
  <si>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</si>
  <si>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</si>
  <si>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</si>
  <si>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</si>
  <si>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</si>
  <si>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</si>
  <si>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</si>
  <si>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</si>
  <si>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</si>
  <si>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</si>
  <si>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</si>
  <si>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</si>
  <si>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</si>
  <si>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</si>
  <si>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</si>
  <si>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</si>
  <si>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</si>
  <si>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</si>
  <si>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</si>
  <si>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</si>
  <si>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</si>
  <si>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</si>
  <si>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</si>
  <si>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</si>
  <si>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</si>
  <si>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</si>
  <si>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</si>
  <si>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</si>
  <si>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</si>
  <si>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</si>
  <si>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</si>
  <si>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</si>
  <si>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</si>
  <si>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</si>
  <si>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</si>
  <si>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</si>
  <si>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</si>
  <si>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</si>
  <si>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</si>
  <si>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</si>
  <si>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</si>
  <si>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</si>
  <si>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</si>
  <si>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</si>
  <si>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</si>
  <si>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</si>
  <si>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</si>
  <si>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</si>
  <si>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</si>
  <si>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</si>
  <si>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</si>
  <si>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</si>
  <si>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</si>
  <si>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</si>
  <si>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</si>
  <si>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</si>
  <si>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</si>
  <si>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</si>
  <si>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</si>
  <si>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</si>
  <si>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</si>
  <si>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</si>
  <si>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</si>
  <si>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</si>
  <si>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</si>
  <si>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</si>
  <si>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</si>
  <si>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</si>
  <si>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</si>
  <si>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</si>
  <si>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</si>
  <si>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</si>
  <si>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</si>
  <si>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</si>
  <si>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</si>
  <si>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</si>
  <si>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</si>
  <si>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</si>
  <si>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</si>
  <si>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</si>
  <si>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</si>
  <si>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</si>
  <si>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</si>
  <si>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</si>
  <si>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</si>
  <si>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</si>
  <si>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</si>
  <si>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</si>
  <si>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</si>
  <si>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</si>
  <si>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</si>
  <si>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</si>
  <si>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</si>
  <si>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</si>
  <si>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</si>
  <si>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</si>
  <si>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</si>
  <si>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</si>
  <si>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</si>
  <si>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</si>
  <si>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</si>
  <si>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</si>
  <si>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</si>
  <si>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</si>
  <si>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</si>
  <si>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</si>
  <si>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</si>
  <si>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</si>
  <si>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</si>
  <si>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</si>
  <si>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</si>
  <si>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</si>
  <si>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</si>
  <si>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</si>
  <si>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</si>
  <si>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</si>
  <si>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</si>
  <si>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</si>
  <si>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</si>
  <si>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</si>
  <si>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</si>
  <si>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</si>
  <si>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</si>
  <si>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</si>
  <si>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</si>
  <si>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</si>
  <si>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</si>
  <si>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</si>
  <si>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</si>
  <si>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</si>
  <si>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</si>
  <si>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</si>
  <si>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</si>
  <si>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</si>
  <si>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</si>
  <si>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</si>
  <si>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</si>
  <si>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</si>
  <si>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</si>
  <si>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</si>
  <si>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</si>
  <si>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</si>
  <si>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</si>
  <si>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</si>
  <si>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</si>
  <si>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</si>
  <si>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</si>
  <si>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</si>
  <si>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</si>
  <si>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</si>
  <si>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</si>
  <si>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</si>
  <si>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</si>
  <si>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</si>
  <si>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</si>
  <si>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</si>
  <si>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</si>
  <si>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</si>
  <si>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</si>
  <si>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</si>
  <si>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</si>
  <si>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</si>
  <si>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</si>
  <si>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</si>
  <si>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</si>
  <si>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</si>
  <si>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</si>
  <si>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</si>
  <si>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</si>
  <si>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</si>
  <si>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</si>
  <si>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</si>
  <si>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</si>
  <si>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</si>
  <si>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</si>
  <si>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</si>
  <si>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</si>
  <si>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</si>
  <si>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</si>
  <si>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</si>
  <si>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</si>
  <si>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</si>
  <si>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</si>
  <si>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</si>
  <si>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</si>
  <si>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</si>
  <si>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</si>
  <si>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</si>
  <si>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</si>
  <si>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</si>
  <si>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</si>
  <si>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</si>
  <si>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</si>
  <si>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</si>
  <si>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</si>
  <si>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</si>
  <si>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</si>
  <si>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</si>
  <si>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</si>
  <si>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</si>
  <si>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</si>
  <si>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</si>
  <si>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</si>
  <si>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</si>
  <si>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</si>
  <si>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</si>
  <si>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</si>
  <si>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</si>
  <si>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</si>
  <si>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</si>
  <si>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</si>
  <si>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</si>
  <si>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</si>
  <si>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</si>
  <si>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</si>
  <si>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</si>
  <si>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</si>
  <si>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</si>
  <si>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</si>
  <si>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</si>
  <si>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</si>
  <si>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</si>
  <si>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</si>
  <si>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</si>
  <si>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</si>
  <si>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</si>
  <si>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</si>
  <si>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</si>
  <si>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</si>
  <si>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</si>
  <si>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</si>
  <si>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</si>
  <si>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</si>
  <si>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</si>
  <si>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</si>
  <si>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</si>
  <si>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</si>
  <si>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</si>
  <si>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</si>
  <si>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</si>
  <si>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</si>
  <si>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</si>
  <si>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</si>
  <si>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</si>
  <si>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</si>
  <si>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</si>
  <si>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</si>
  <si>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</si>
  <si>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</si>
  <si>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</si>
  <si>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</si>
  <si>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</si>
  <si>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</si>
  <si>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</si>
  <si>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</si>
  <si>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</si>
  <si>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</si>
  <si>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</si>
  <si>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</si>
  <si>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</si>
  <si>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</si>
  <si>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</si>
  <si>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</si>
  <si>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</si>
  <si>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</si>
  <si>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</si>
  <si>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</si>
  <si>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</si>
  <si>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</si>
  <si>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</si>
  <si>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</si>
  <si>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</si>
  <si>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</si>
  <si>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</si>
  <si>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</si>
  <si>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</si>
  <si>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</si>
  <si>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</si>
  <si>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</si>
  <si>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</si>
  <si>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</si>
  <si>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</si>
  <si>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</si>
  <si>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</si>
  <si>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</si>
  <si>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</si>
  <si>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</si>
  <si>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</si>
  <si>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</si>
  <si>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</si>
  <si>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</si>
  <si>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</si>
  <si>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</si>
  <si>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</si>
  <si>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</si>
  <si>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</si>
  <si>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</si>
  <si>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</si>
  <si>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</si>
  <si>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</si>
  <si>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</si>
  <si>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</si>
  <si>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</si>
  <si>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</si>
  <si>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</si>
  <si>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</si>
  <si>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</si>
  <si>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</si>
  <si>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</si>
  <si>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</si>
  <si>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</si>
  <si>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</si>
  <si>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</si>
  <si>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</si>
  <si>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</si>
  <si>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</si>
  <si>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</si>
  <si>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</si>
  <si>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</si>
  <si>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</si>
  <si>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</si>
  <si>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</si>
  <si>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</si>
  <si>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</si>
  <si>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</si>
  <si>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</si>
  <si>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</si>
  <si>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</si>
  <si>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</si>
  <si>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</si>
  <si>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</si>
  <si>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</si>
  <si>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</si>
  <si>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</si>
  <si>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</si>
  <si>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</si>
  <si>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</si>
  <si>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</si>
  <si>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</si>
  <si>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</si>
  <si>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</si>
  <si>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</si>
  <si>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</si>
  <si>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</si>
  <si>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</si>
  <si>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</si>
  <si>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</si>
  <si>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</si>
  <si>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</si>
  <si>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</si>
  <si>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</si>
  <si>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</si>
  <si>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</si>
  <si>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</si>
  <si>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</si>
  <si>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</si>
  <si>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</si>
  <si>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</si>
  <si>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</si>
  <si>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</si>
  <si>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</si>
  <si>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</si>
  <si>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</si>
  <si>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</si>
  <si>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</si>
  <si>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</si>
  <si>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</si>
  <si>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</si>
  <si>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</si>
  <si>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</si>
  <si>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</si>
  <si>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</si>
  <si>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</si>
  <si>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</si>
  <si>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</si>
  <si>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</si>
  <si>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</si>
  <si>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</si>
  <si>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</si>
  <si>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</si>
  <si>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</si>
  <si>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</si>
  <si>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</si>
  <si>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</si>
  <si>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</si>
  <si>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</si>
  <si>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</si>
  <si>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</si>
  <si>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</si>
  <si>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</si>
  <si>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</si>
  <si>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</si>
  <si>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</si>
  <si>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</si>
  <si>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</si>
  <si>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</si>
  <si>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</si>
  <si>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</si>
  <si>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</si>
  <si>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</si>
  <si>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</si>
  <si>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</si>
  <si>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</si>
  <si>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</si>
  <si>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</si>
  <si>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</si>
  <si>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</si>
  <si>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</si>
  <si>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</si>
  <si>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</si>
  <si>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</si>
  <si>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</si>
  <si>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</si>
  <si>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</si>
  <si>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</si>
  <si>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</si>
  <si>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</si>
  <si>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</si>
  <si>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</si>
  <si>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</si>
  <si>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</si>
  <si>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</si>
  <si>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</si>
  <si>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</si>
  <si>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</si>
  <si>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</si>
  <si>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</si>
  <si>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</si>
  <si>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</si>
  <si>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</si>
  <si>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</si>
  <si>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</si>
  <si>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</si>
  <si>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</si>
  <si>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</si>
  <si>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</si>
  <si>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</si>
  <si>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</si>
  <si>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</si>
  <si>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</si>
  <si>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</si>
  <si>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</si>
  <si>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</si>
  <si>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</si>
  <si>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</si>
  <si>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</si>
  <si>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</si>
  <si>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</si>
  <si>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</si>
  <si>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</si>
  <si>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</si>
  <si>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</si>
  <si>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</si>
  <si>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</si>
  <si>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</si>
  <si>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</si>
  <si>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</si>
  <si>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</si>
  <si>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</si>
  <si>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</si>
  <si>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</si>
  <si>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</si>
  <si>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</si>
  <si>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</si>
  <si>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</si>
  <si>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</si>
  <si>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</si>
  <si>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</si>
  <si>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</si>
  <si>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</si>
  <si>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</si>
  <si>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</si>
  <si>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</si>
  <si>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</si>
  <si>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</si>
  <si>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</si>
  <si>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</si>
  <si>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</si>
  <si>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</si>
  <si>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</si>
  <si>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</si>
  <si>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</si>
  <si>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</si>
  <si>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</si>
  <si>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</si>
  <si>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</si>
  <si>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</si>
  <si>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</si>
  <si>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</si>
  <si>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</si>
  <si>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</si>
  <si>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</si>
  <si>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</si>
  <si>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</si>
  <si>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</si>
  <si>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</si>
  <si>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</si>
  <si>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</si>
  <si>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</si>
  <si>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</si>
  <si>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</si>
  <si>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</si>
  <si>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</si>
  <si>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</si>
  <si>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</si>
  <si>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</si>
  <si>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</si>
  <si>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</si>
  <si>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</si>
  <si>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</si>
  <si>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</si>
  <si>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</si>
  <si>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</si>
  <si>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</si>
  <si>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</si>
  <si>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</si>
  <si>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</si>
  <si>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</si>
  <si>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</si>
  <si>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</si>
  <si>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</si>
  <si>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</si>
  <si>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</si>
  <si>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</si>
  <si>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</si>
  <si>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</si>
  <si>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</si>
  <si>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</si>
  <si>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</si>
  <si>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</si>
  <si>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</si>
  <si>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</si>
  <si>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</si>
  <si>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</si>
  <si>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</si>
  <si>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</si>
  <si>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</si>
  <si>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</si>
  <si>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</si>
  <si>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</si>
  <si>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</si>
  <si>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</si>
  <si>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</si>
  <si>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</si>
  <si>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</si>
  <si>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</si>
  <si>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</si>
  <si>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</si>
  <si>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</si>
  <si>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</si>
  <si>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</si>
  <si>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</si>
  <si>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</si>
  <si>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</si>
  <si>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</si>
  <si>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</si>
  <si>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</si>
  <si>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</si>
  <si>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</si>
  <si>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</si>
  <si>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</si>
  <si>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</si>
  <si>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</si>
  <si>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</si>
  <si>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</si>
  <si>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</si>
  <si>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</si>
  <si>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</si>
  <si>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</si>
  <si>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</si>
  <si>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</si>
  <si>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</si>
  <si>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</si>
  <si>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</si>
  <si>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</si>
  <si>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</si>
  <si>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</si>
  <si>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</si>
  <si>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</si>
  <si>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</si>
  <si>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</si>
  <si>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</si>
  <si>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</si>
  <si>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</si>
  <si>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</si>
  <si>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</si>
  <si>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</si>
  <si>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</si>
  <si>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</si>
  <si>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</si>
  <si>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</si>
  <si>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</si>
  <si>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</si>
  <si>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</si>
  <si>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</si>
  <si>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</si>
  <si>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</si>
  <si>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</si>
  <si>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</si>
  <si>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</si>
  <si>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</si>
  <si>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</si>
  <si>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</si>
  <si>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</si>
  <si>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</si>
  <si>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</si>
  <si>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</si>
  <si>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</si>
  <si>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</si>
  <si>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</si>
  <si>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</si>
  <si>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</si>
  <si>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</si>
  <si>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</si>
  <si>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</si>
  <si>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</si>
  <si>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</si>
  <si>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</si>
  <si>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</si>
  <si>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</si>
  <si>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</si>
  <si>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</si>
  <si>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</si>
  <si>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</si>
  <si>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</si>
  <si>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</si>
  <si>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</si>
  <si>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</si>
  <si>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</si>
  <si>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</si>
  <si>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</si>
  <si>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</si>
  <si>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</si>
  <si>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</si>
  <si>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</si>
  <si>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</si>
  <si>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</si>
  <si>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</si>
  <si>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</si>
  <si>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</si>
  <si>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</si>
  <si>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</si>
  <si>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</si>
  <si>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</si>
  <si>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</si>
  <si>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</si>
  <si>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</si>
  <si>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</si>
  <si>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</si>
  <si>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</si>
  <si>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</si>
  <si>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</si>
  <si>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</si>
  <si>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</si>
  <si>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</si>
  <si>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</si>
  <si>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</si>
  <si>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</si>
  <si>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</si>
  <si>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</si>
  <si>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</si>
  <si>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</si>
  <si>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</si>
  <si>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</si>
  <si>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</si>
  <si>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</si>
  <si>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</si>
  <si>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</si>
  <si>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</si>
  <si>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</si>
  <si>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</si>
  <si>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</si>
  <si>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</si>
  <si>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</si>
  <si>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</si>
  <si>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</si>
  <si>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</si>
  <si>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</si>
  <si>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</si>
  <si>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FT EMP</t>
  </si>
  <si>
    <t>WARNING</t>
  </si>
  <si>
    <t>PT ABC</t>
  </si>
  <si>
    <t>238723928928392</t>
  </si>
  <si>
    <t>12386128363;281832164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</si>
</sst>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0002APP20211203216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3"/>
  <sheetViews>
    <sheetView workbookViewId="0">
      <selection activeCell="B4" sqref="B4"/>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A2" s="42" t="s">
        <v>3154</v>
      </c>
      <c r="B2" s="2" t="str">
        <f>'[1]1.TabCustomerMainData'!$B$3</f>
        <v>0002APP20211203216</v>
      </c>
    </row>
    <row r="3" spans="1:5" s="2" customFormat="1" x14ac:dyDescent="0.25">
      <c r="A3" s="42" t="s">
        <v>3155</v>
      </c>
      <c r="B3" t="s">
        <v>3465</v>
      </c>
      <c r="C3" t="s">
        <v>3463</v>
      </c>
    </row>
    <row r="4" spans="1:5" s="2" customFormat="1" x14ac:dyDescent="0.25">
      <c r="A4" s="30" t="s">
        <v>0</v>
      </c>
      <c r="B4" s="36">
        <v>39849</v>
      </c>
      <c r="C4" s="34" t="s">
        <v>2866</v>
      </c>
    </row>
    <row r="5" spans="1:5" s="2" customFormat="1" x14ac:dyDescent="0.25">
      <c r="A5" s="30" t="s">
        <v>1</v>
      </c>
      <c r="B5" s="1">
        <v>1500</v>
      </c>
      <c r="C5" s="1">
        <v>150</v>
      </c>
    </row>
    <row r="6" spans="1:5" s="2" customFormat="1" x14ac:dyDescent="0.25">
      <c r="A6" s="1" t="s">
        <v>14</v>
      </c>
      <c r="B6" s="1"/>
      <c r="C6" s="1"/>
    </row>
    <row r="7" spans="1:5" s="2" customFormat="1" x14ac:dyDescent="0.25">
      <c r="A7" s="1" t="s">
        <v>2</v>
      </c>
      <c r="B7" s="1"/>
      <c r="C7" s="1"/>
    </row>
    <row r="8" spans="1:5" s="2" customFormat="1" x14ac:dyDescent="0.25">
      <c r="A8" s="1" t="s">
        <v>3</v>
      </c>
      <c r="B8" s="1" t="s">
        <v>5</v>
      </c>
      <c r="C8" s="1" t="s">
        <v>4</v>
      </c>
    </row>
    <row r="9" spans="1:5" s="2" customFormat="1" x14ac:dyDescent="0.25">
      <c r="A9" s="1" t="s">
        <v>6</v>
      </c>
      <c r="B9" s="1"/>
      <c r="C9" s="1" t="s">
        <v>4</v>
      </c>
    </row>
    <row r="10" spans="1:5" s="2" customFormat="1" x14ac:dyDescent="0.25">
      <c r="A10" s="32" t="s">
        <v>12</v>
      </c>
      <c r="B10" s="1" t="str">
        <f>VLOOKUP(B11,Master!$AK:$AL,2,FALSE)</f>
        <v>1145</v>
      </c>
      <c r="C10" s="1" t="str">
        <f>VLOOKUP(C11,Master!$AK:$AL,2,FALSE)</f>
        <v>1145</v>
      </c>
    </row>
    <row r="11" spans="1:5" s="2" customFormat="1" x14ac:dyDescent="0.25">
      <c r="A11" s="30" t="s">
        <v>7</v>
      </c>
      <c r="B11" s="1" t="s">
        <v>258</v>
      </c>
      <c r="C11" s="1" t="s">
        <v>8</v>
      </c>
    </row>
    <row r="12" spans="1:5" s="2" customFormat="1" x14ac:dyDescent="0.25">
      <c r="A12" s="1" t="s">
        <v>9</v>
      </c>
      <c r="B12" s="1" t="s">
        <v>10</v>
      </c>
      <c r="C12" s="1" t="s">
        <v>10</v>
      </c>
    </row>
    <row r="13" spans="1:5" s="2" customFormat="1" x14ac:dyDescent="0.25">
      <c r="A13" s="31" t="s">
        <v>11</v>
      </c>
      <c r="B13" s="1" t="s">
        <v>3176</v>
      </c>
      <c r="C13" s="1" t="s">
        <v>3176</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3444</v>
      </c>
      <c r="C1" t="s">
        <v>3444</v>
      </c>
      <c r="D1" s="2" t="s">
        <v>2859</v>
      </c>
      <c r="E1" s="2" t="s">
        <v>2859</v>
      </c>
    </row>
    <row r="2" spans="1:5" s="2" customFormat="1" x14ac:dyDescent="0.25">
      <c r="A2" s="30" t="s">
        <v>15</v>
      </c>
      <c r="B2" s="2" t="s">
        <v>16</v>
      </c>
      <c r="C2" s="2" t="s">
        <v>16</v>
      </c>
    </row>
    <row r="3" spans="1:5" s="2" customFormat="1" x14ac:dyDescent="0.25">
      <c r="A3" s="2" t="s">
        <v>17</v>
      </c>
      <c r="B3" s="2" t="s">
        <v>3457</v>
      </c>
      <c r="C3" s="2" t="s">
        <v>18</v>
      </c>
    </row>
    <row r="4" spans="1:5" s="2" customFormat="1" x14ac:dyDescent="0.25">
      <c r="A4" s="30" t="s">
        <v>19</v>
      </c>
      <c r="B4" s="2" t="s">
        <v>20</v>
      </c>
      <c r="C4" s="2" t="s">
        <v>20</v>
      </c>
    </row>
    <row r="5" spans="1:5" s="2" customFormat="1" x14ac:dyDescent="0.25">
      <c r="A5" s="30" t="s">
        <v>21</v>
      </c>
      <c r="B5" s="1">
        <v>120</v>
      </c>
      <c r="C5" s="1">
        <v>20</v>
      </c>
    </row>
    <row r="6" spans="1:5" s="2" customFormat="1" x14ac:dyDescent="0.25">
      <c r="A6" s="30" t="s">
        <v>22</v>
      </c>
      <c r="B6" s="1">
        <v>221</v>
      </c>
      <c r="C6" s="1">
        <v>21</v>
      </c>
    </row>
    <row r="7" spans="1:5" s="2" customFormat="1" x14ac:dyDescent="0.25">
      <c r="A7" s="30" t="s">
        <v>23</v>
      </c>
      <c r="B7" s="1">
        <v>11530</v>
      </c>
      <c r="C7" s="1">
        <v>11530</v>
      </c>
    </row>
    <row r="8" spans="1:5" s="2" customFormat="1" x14ac:dyDescent="0.25">
      <c r="A8" s="30" t="s">
        <v>24</v>
      </c>
      <c r="B8" s="1" t="s">
        <v>25</v>
      </c>
      <c r="C8" s="1" t="s">
        <v>25</v>
      </c>
    </row>
    <row r="9" spans="1:5" s="2" customFormat="1" x14ac:dyDescent="0.25">
      <c r="A9" s="30" t="s">
        <v>26</v>
      </c>
      <c r="B9" s="1" t="s">
        <v>25</v>
      </c>
      <c r="C9" s="1" t="s">
        <v>25</v>
      </c>
    </row>
    <row r="10" spans="1:5" s="2" customFormat="1" x14ac:dyDescent="0.25">
      <c r="A10" s="30" t="s">
        <v>27</v>
      </c>
      <c r="B10" s="1" t="s">
        <v>34</v>
      </c>
      <c r="C10" s="1" t="s">
        <v>34</v>
      </c>
    </row>
    <row r="11" spans="1:5" s="2" customFormat="1" x14ac:dyDescent="0.25">
      <c r="A11" s="30" t="s">
        <v>3158</v>
      </c>
      <c r="B11" s="34" t="s">
        <v>30</v>
      </c>
      <c r="C11" s="34" t="s">
        <v>30</v>
      </c>
    </row>
    <row r="12" spans="1:5" s="2" customFormat="1" x14ac:dyDescent="0.25">
      <c r="A12" s="30" t="s">
        <v>3159</v>
      </c>
      <c r="B12" s="34" t="s">
        <v>3446</v>
      </c>
      <c r="C12" s="34" t="s">
        <v>31</v>
      </c>
    </row>
    <row r="13" spans="1:5" s="2" customFormat="1" x14ac:dyDescent="0.25">
      <c r="A13" s="1" t="s">
        <v>3160</v>
      </c>
      <c r="B13" s="34" t="s">
        <v>3445</v>
      </c>
      <c r="C13" s="1">
        <v>124</v>
      </c>
    </row>
    <row r="14" spans="1:5" s="2" customFormat="1" x14ac:dyDescent="0.25">
      <c r="A14" s="2" t="s">
        <v>3161</v>
      </c>
      <c r="B14" s="34"/>
      <c r="C14" s="34" t="s">
        <v>30</v>
      </c>
    </row>
    <row r="15" spans="1:5" s="2" customFormat="1" x14ac:dyDescent="0.25">
      <c r="A15" s="2" t="s">
        <v>3162</v>
      </c>
      <c r="B15" s="1"/>
      <c r="C15" s="1">
        <v>12437216</v>
      </c>
    </row>
    <row r="16" spans="1:5" s="2" customFormat="1" x14ac:dyDescent="0.25">
      <c r="A16" s="2" t="s">
        <v>3163</v>
      </c>
      <c r="B16" s="1"/>
      <c r="C16" s="1">
        <v>321</v>
      </c>
    </row>
    <row r="17" spans="1:3" s="2" customFormat="1" x14ac:dyDescent="0.25">
      <c r="A17" s="2" t="s">
        <v>3164</v>
      </c>
      <c r="B17" s="34"/>
      <c r="C17" s="34" t="s">
        <v>30</v>
      </c>
    </row>
    <row r="18" spans="1:3" s="2" customFormat="1" x14ac:dyDescent="0.25">
      <c r="A18" s="2" t="s">
        <v>3165</v>
      </c>
      <c r="B18" s="1"/>
      <c r="C18" s="1">
        <v>21512855</v>
      </c>
    </row>
    <row r="19" spans="1:3" s="2" customFormat="1" x14ac:dyDescent="0.25">
      <c r="A19" s="2" t="s">
        <v>3166</v>
      </c>
      <c r="B19" s="1"/>
      <c r="C19" s="1">
        <v>888</v>
      </c>
    </row>
    <row r="20" spans="1:3" s="2" customFormat="1" x14ac:dyDescent="0.25">
      <c r="A20" s="2" t="s">
        <v>3167</v>
      </c>
      <c r="B20" s="34" t="s">
        <v>3445</v>
      </c>
      <c r="C20" s="34" t="s">
        <v>30</v>
      </c>
    </row>
    <row r="21" spans="1:3" s="2" customFormat="1" x14ac:dyDescent="0.25">
      <c r="A21" s="2" t="s">
        <v>3168</v>
      </c>
      <c r="B21" s="1"/>
      <c r="C21" s="1">
        <v>213124</v>
      </c>
    </row>
    <row r="22" spans="1:3" s="2" customFormat="1" x14ac:dyDescent="0.25">
      <c r="A22" s="30" t="s">
        <v>32</v>
      </c>
      <c r="B22" s="1" t="s">
        <v>237</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abSelected="1" workbookViewId="0">
      <selection activeCell="B3" sqref="B3"/>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47" customFormat="1" x14ac:dyDescent="0.25">
      <c r="A2" s="44" t="s">
        <v>3156</v>
      </c>
      <c r="B2" s="45"/>
      <c r="C2" s="46"/>
    </row>
    <row r="3" spans="1:5" s="2" customFormat="1" x14ac:dyDescent="0.25">
      <c r="A3" s="30" t="s">
        <v>36</v>
      </c>
      <c r="B3" s="2" t="s">
        <v>3447</v>
      </c>
      <c r="C3" s="2" t="s">
        <v>37</v>
      </c>
    </row>
    <row r="4" spans="1:5" s="2" customFormat="1" x14ac:dyDescent="0.25">
      <c r="A4" s="30" t="s">
        <v>38</v>
      </c>
      <c r="B4" s="2" t="s">
        <v>3448</v>
      </c>
      <c r="C4" s="2" t="s">
        <v>39</v>
      </c>
    </row>
    <row r="5" spans="1:5" s="2" customFormat="1" x14ac:dyDescent="0.25">
      <c r="A5" s="2" t="s">
        <v>40</v>
      </c>
      <c r="B5" s="2" t="s">
        <v>3449</v>
      </c>
      <c r="C5" s="2" t="s">
        <v>3442</v>
      </c>
    </row>
    <row r="6" spans="1:5" s="2" customFormat="1" x14ac:dyDescent="0.25">
      <c r="A6" s="2" t="s">
        <v>41</v>
      </c>
      <c r="B6" s="34" t="s">
        <v>3466</v>
      </c>
      <c r="C6" s="34" t="s">
        <v>42</v>
      </c>
    </row>
    <row r="7" spans="1:5" s="2" customFormat="1" x14ac:dyDescent="0.25">
      <c r="A7" s="2" t="s">
        <v>3177</v>
      </c>
      <c r="B7" s="35"/>
      <c r="C7" s="1"/>
    </row>
    <row r="8" spans="1:5" s="2" customFormat="1" x14ac:dyDescent="0.25">
      <c r="A8" s="30" t="s">
        <v>43</v>
      </c>
      <c r="B8" s="34" t="s">
        <v>3450</v>
      </c>
      <c r="C8" s="34" t="s">
        <v>44</v>
      </c>
    </row>
    <row r="9" spans="1:5" s="2" customFormat="1" x14ac:dyDescent="0.25">
      <c r="A9" s="2" t="s">
        <v>45</v>
      </c>
      <c r="B9" s="3"/>
      <c r="C9" s="3"/>
    </row>
    <row r="10" spans="1:5" s="2" customFormat="1" x14ac:dyDescent="0.25">
      <c r="A10" s="30" t="s">
        <v>46</v>
      </c>
      <c r="B10" s="2" t="s">
        <v>3451</v>
      </c>
      <c r="C10" s="2" t="s">
        <v>47</v>
      </c>
    </row>
    <row r="11" spans="1:5" s="2" customFormat="1" x14ac:dyDescent="0.25">
      <c r="A11" s="30" t="s">
        <v>48</v>
      </c>
      <c r="B11" s="2" t="s">
        <v>3146</v>
      </c>
      <c r="C11" s="2" t="s">
        <v>50</v>
      </c>
    </row>
    <row r="12" spans="1:5" s="2" customFormat="1" x14ac:dyDescent="0.25">
      <c r="A12" s="2" t="s">
        <v>51</v>
      </c>
      <c r="C12" s="2" t="s">
        <v>28</v>
      </c>
    </row>
    <row r="13" spans="1:5" s="2" customFormat="1" x14ac:dyDescent="0.25">
      <c r="A13" s="2" t="s">
        <v>52</v>
      </c>
      <c r="B13" s="33"/>
      <c r="C13" s="4" t="s">
        <v>2865</v>
      </c>
    </row>
    <row r="14" spans="1:5" s="2" customFormat="1" x14ac:dyDescent="0.25">
      <c r="A14" s="5" t="s">
        <v>53</v>
      </c>
    </row>
    <row r="15" spans="1:5" s="2" customFormat="1" x14ac:dyDescent="0.25">
      <c r="A15" s="2" t="s">
        <v>54</v>
      </c>
      <c r="B15" s="1"/>
      <c r="C15" s="1"/>
    </row>
    <row r="16" spans="1:5" s="2" customFormat="1" x14ac:dyDescent="0.25">
      <c r="A16" s="2" t="s">
        <v>55</v>
      </c>
    </row>
    <row r="17" spans="1:3" s="47" customFormat="1" x14ac:dyDescent="0.25">
      <c r="A17" s="44" t="s">
        <v>3157</v>
      </c>
      <c r="B17" s="45"/>
      <c r="C17" s="46"/>
    </row>
    <row r="18" spans="1:3" s="2" customFormat="1" x14ac:dyDescent="0.25">
      <c r="A18" s="2" t="s">
        <v>19</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56</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3158</v>
      </c>
      <c r="B25" s="1"/>
      <c r="C25" s="1"/>
    </row>
    <row r="26" spans="1:3" s="2" customFormat="1" x14ac:dyDescent="0.25">
      <c r="A26" s="1" t="s">
        <v>3159</v>
      </c>
      <c r="B26" s="1"/>
      <c r="C26" s="1"/>
    </row>
    <row r="27" spans="1:3" s="2" customFormat="1" x14ac:dyDescent="0.25">
      <c r="A27" s="1" t="s">
        <v>3160</v>
      </c>
      <c r="B27" s="1"/>
      <c r="C27" s="1"/>
    </row>
    <row r="28" spans="1:3" s="2" customFormat="1" x14ac:dyDescent="0.25">
      <c r="A28" s="1" t="s">
        <v>3161</v>
      </c>
      <c r="B28" s="1"/>
      <c r="C28" s="1"/>
    </row>
    <row r="29" spans="1:3" s="2" customFormat="1" x14ac:dyDescent="0.25">
      <c r="A29" s="1" t="s">
        <v>3162</v>
      </c>
      <c r="B29" s="1"/>
      <c r="C29" s="1"/>
    </row>
    <row r="30" spans="1:3" s="2" customFormat="1" x14ac:dyDescent="0.25">
      <c r="A30" s="1" t="s">
        <v>3163</v>
      </c>
      <c r="B30" s="1"/>
      <c r="C30" s="1"/>
    </row>
    <row r="31" spans="1:3" s="2" customFormat="1" x14ac:dyDescent="0.25">
      <c r="A31" s="2" t="s">
        <v>3167</v>
      </c>
      <c r="B31" s="1"/>
      <c r="C31" s="1"/>
    </row>
    <row r="32" spans="1:3" s="2" customFormat="1" x14ac:dyDescent="0.25">
      <c r="A32" s="2" t="s">
        <v>3168</v>
      </c>
      <c r="B32" s="1"/>
      <c r="C32" s="1"/>
    </row>
  </sheetData>
  <mergeCells count="2">
    <mergeCell ref="A2:XFD2"/>
    <mergeCell ref="A17:XFD17"/>
  </mergeCells>
  <conditionalFormatting sqref="A7:XFD7">
    <cfRule type="expression" dxfId="58" priority="1">
      <formula>OR(A$5="AKTA",A$5="E-KTP",A$5="NPWP")</formula>
    </cfRule>
  </conditionalFormatting>
  <dataValidations count="5">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64"/>
  <sheetViews>
    <sheetView topLeftCell="A13" workbookViewId="0">
      <selection activeCell="C67" sqref="C67"/>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47" customFormat="1" x14ac:dyDescent="0.25">
      <c r="A2" s="44" t="s">
        <v>3171</v>
      </c>
      <c r="B2" s="45"/>
      <c r="C2" s="46"/>
    </row>
    <row r="3" spans="1:5" s="2" customFormat="1" x14ac:dyDescent="0.25">
      <c r="A3" s="31" t="s">
        <v>3170</v>
      </c>
      <c r="B3" s="37">
        <v>10000000000</v>
      </c>
      <c r="C3" s="37">
        <v>10000000</v>
      </c>
    </row>
    <row r="4" spans="1:5" s="2" customFormat="1" x14ac:dyDescent="0.25">
      <c r="A4" s="1" t="s">
        <v>3169</v>
      </c>
      <c r="B4" s="38"/>
      <c r="C4" s="38">
        <v>100000000</v>
      </c>
    </row>
    <row r="5" spans="1:5" s="2" customFormat="1" x14ac:dyDescent="0.25">
      <c r="A5" s="1" t="s">
        <v>58</v>
      </c>
      <c r="B5" s="39"/>
      <c r="C5" s="39">
        <v>1.5</v>
      </c>
    </row>
    <row r="6" spans="1:5" s="2" customFormat="1" x14ac:dyDescent="0.25">
      <c r="A6" s="1" t="s">
        <v>59</v>
      </c>
      <c r="B6" s="39"/>
      <c r="C6" s="39">
        <v>1.5</v>
      </c>
    </row>
    <row r="7" spans="1:5" s="2" customFormat="1" x14ac:dyDescent="0.25">
      <c r="A7" s="1" t="s">
        <v>60</v>
      </c>
      <c r="B7" s="39"/>
      <c r="C7" s="39">
        <v>1.5</v>
      </c>
    </row>
    <row r="8" spans="1:5" s="2" customFormat="1" x14ac:dyDescent="0.25">
      <c r="A8" s="1" t="s">
        <v>61</v>
      </c>
      <c r="B8" s="39"/>
      <c r="C8" s="39">
        <v>1.5</v>
      </c>
    </row>
    <row r="9" spans="1:5" s="2" customFormat="1" x14ac:dyDescent="0.25">
      <c r="A9" s="1" t="s">
        <v>62</v>
      </c>
      <c r="B9" s="39"/>
      <c r="C9" s="39">
        <v>1.5</v>
      </c>
    </row>
    <row r="10" spans="1:5" s="2" customFormat="1" x14ac:dyDescent="0.25">
      <c r="A10" s="1" t="s">
        <v>63</v>
      </c>
      <c r="B10" s="39"/>
      <c r="C10" s="39">
        <v>1.5</v>
      </c>
    </row>
    <row r="11" spans="1:5" s="2" customFormat="1" x14ac:dyDescent="0.25">
      <c r="A11" s="1" t="s">
        <v>64</v>
      </c>
      <c r="B11" s="39"/>
      <c r="C11" s="39">
        <v>1.5</v>
      </c>
    </row>
    <row r="12" spans="1:5" s="2" customFormat="1" x14ac:dyDescent="0.25">
      <c r="A12" s="1" t="s">
        <v>65</v>
      </c>
      <c r="B12" s="39"/>
      <c r="C12" s="39">
        <v>1.5</v>
      </c>
    </row>
    <row r="13" spans="1:5" s="2" customFormat="1" x14ac:dyDescent="0.25">
      <c r="A13" s="1" t="s">
        <v>66</v>
      </c>
      <c r="B13" s="39"/>
      <c r="C13" s="39">
        <v>1.5</v>
      </c>
    </row>
    <row r="14" spans="1:5" s="2" customFormat="1" x14ac:dyDescent="0.25">
      <c r="A14" s="1" t="s">
        <v>67</v>
      </c>
      <c r="B14" s="38"/>
      <c r="C14" s="38">
        <v>5000000</v>
      </c>
    </row>
    <row r="15" spans="1:5" s="2" customFormat="1" x14ac:dyDescent="0.25">
      <c r="A15" s="1" t="s">
        <v>68</v>
      </c>
      <c r="B15" s="38"/>
      <c r="C15" s="38">
        <v>5000000</v>
      </c>
    </row>
    <row r="16" spans="1:5" s="2" customFormat="1" x14ac:dyDescent="0.25">
      <c r="A16" s="1" t="s">
        <v>69</v>
      </c>
      <c r="B16" s="38"/>
      <c r="C16" s="38">
        <v>5000000</v>
      </c>
    </row>
    <row r="17" spans="1:3" s="2" customFormat="1" x14ac:dyDescent="0.25">
      <c r="A17" s="1" t="s">
        <v>70</v>
      </c>
      <c r="B17" s="38"/>
      <c r="C17" s="38">
        <v>5000000</v>
      </c>
    </row>
    <row r="18" spans="1:3" s="2" customFormat="1" x14ac:dyDescent="0.25">
      <c r="A18" s="1" t="s">
        <v>71</v>
      </c>
      <c r="B18" s="38"/>
      <c r="C18" s="38">
        <v>5000000</v>
      </c>
    </row>
    <row r="19" spans="1:3" s="2" customFormat="1" x14ac:dyDescent="0.25">
      <c r="A19" s="1" t="s">
        <v>72</v>
      </c>
      <c r="B19" s="38"/>
      <c r="C19" s="38">
        <v>5000000</v>
      </c>
    </row>
    <row r="20" spans="1:3" s="2" customFormat="1" x14ac:dyDescent="0.25">
      <c r="A20" s="1" t="s">
        <v>73</v>
      </c>
      <c r="B20" s="38"/>
      <c r="C20" s="38">
        <v>5000000</v>
      </c>
    </row>
    <row r="21" spans="1:3" s="2" customFormat="1" x14ac:dyDescent="0.25">
      <c r="A21" s="1" t="s">
        <v>74</v>
      </c>
      <c r="B21" s="38"/>
      <c r="C21" s="38">
        <v>5000000</v>
      </c>
    </row>
    <row r="22" spans="1:3" s="2" customFormat="1" x14ac:dyDescent="0.25">
      <c r="A22" s="1" t="s">
        <v>75</v>
      </c>
      <c r="B22" s="38"/>
      <c r="C22" s="38">
        <v>5000000</v>
      </c>
    </row>
    <row r="23" spans="1:3" s="2" customFormat="1" x14ac:dyDescent="0.25">
      <c r="A23" s="1" t="s">
        <v>76</v>
      </c>
      <c r="B23" s="38"/>
      <c r="C23" s="38">
        <v>5000000</v>
      </c>
    </row>
    <row r="24" spans="1:3" s="2" customFormat="1" x14ac:dyDescent="0.25">
      <c r="A24" s="1" t="s">
        <v>77</v>
      </c>
      <c r="B24" s="38"/>
      <c r="C24" s="38">
        <v>5000000</v>
      </c>
    </row>
    <row r="25" spans="1:3" s="2" customFormat="1" x14ac:dyDescent="0.25">
      <c r="A25" s="1" t="s">
        <v>78</v>
      </c>
      <c r="B25" s="40"/>
      <c r="C25" s="40"/>
    </row>
    <row r="26" spans="1:3" s="2" customFormat="1" x14ac:dyDescent="0.25">
      <c r="A26" s="31" t="s">
        <v>57</v>
      </c>
      <c r="B26" s="36">
        <v>42809</v>
      </c>
      <c r="C26" s="34" t="s">
        <v>2864</v>
      </c>
    </row>
    <row r="27" spans="1:3" s="47" customFormat="1" x14ac:dyDescent="0.25">
      <c r="A27" s="44" t="s">
        <v>3172</v>
      </c>
      <c r="B27" s="45"/>
      <c r="C27" s="46"/>
    </row>
    <row r="28" spans="1:3" s="2" customFormat="1" x14ac:dyDescent="0.25">
      <c r="A28" s="2" t="s">
        <v>79</v>
      </c>
      <c r="B28" s="37">
        <v>0</v>
      </c>
      <c r="C28" s="38">
        <v>5000000</v>
      </c>
    </row>
    <row r="29" spans="1:3" s="2" customFormat="1" x14ac:dyDescent="0.25">
      <c r="A29" s="2" t="s">
        <v>80</v>
      </c>
      <c r="B29" s="38">
        <v>0</v>
      </c>
      <c r="C29" s="38"/>
    </row>
    <row r="30" spans="1:3" s="2" customFormat="1" x14ac:dyDescent="0.25">
      <c r="A30" s="2" t="s">
        <v>81</v>
      </c>
      <c r="B30" s="38">
        <v>0</v>
      </c>
      <c r="C30" s="38"/>
    </row>
    <row r="31" spans="1:3" s="2" customFormat="1" x14ac:dyDescent="0.25">
      <c r="A31" s="2" t="s">
        <v>82</v>
      </c>
      <c r="B31" s="38">
        <v>0</v>
      </c>
      <c r="C31" s="38"/>
    </row>
    <row r="32" spans="1:3" s="2" customFormat="1" x14ac:dyDescent="0.25">
      <c r="A32" s="2" t="s">
        <v>83</v>
      </c>
      <c r="B32" s="38">
        <v>0</v>
      </c>
      <c r="C32" s="38"/>
    </row>
    <row r="33" spans="1:3" s="2" customFormat="1" x14ac:dyDescent="0.25">
      <c r="A33" s="2" t="s">
        <v>84</v>
      </c>
      <c r="B33" s="38">
        <v>0</v>
      </c>
      <c r="C33" s="38"/>
    </row>
    <row r="34" spans="1:3" s="2" customFormat="1" x14ac:dyDescent="0.25">
      <c r="A34" s="2" t="s">
        <v>85</v>
      </c>
      <c r="B34" s="38">
        <v>0</v>
      </c>
      <c r="C34" s="38"/>
    </row>
    <row r="35" spans="1:3" s="2" customFormat="1" x14ac:dyDescent="0.25">
      <c r="A35" s="2" t="s">
        <v>86</v>
      </c>
      <c r="B35" s="38">
        <v>0</v>
      </c>
      <c r="C35" s="38"/>
    </row>
    <row r="36" spans="1:3" s="2" customFormat="1" x14ac:dyDescent="0.25">
      <c r="A36" s="2" t="s">
        <v>87</v>
      </c>
      <c r="B36" s="38">
        <v>0</v>
      </c>
      <c r="C36" s="38"/>
    </row>
    <row r="37" spans="1:3" s="2" customFormat="1" x14ac:dyDescent="0.25">
      <c r="A37" s="2" t="s">
        <v>88</v>
      </c>
      <c r="B37" s="38">
        <v>0</v>
      </c>
      <c r="C37" s="38"/>
    </row>
    <row r="38" spans="1:3" s="2" customFormat="1" x14ac:dyDescent="0.25">
      <c r="A38" s="2" t="s">
        <v>89</v>
      </c>
      <c r="B38" s="38">
        <v>0</v>
      </c>
      <c r="C38" s="38"/>
    </row>
    <row r="39" spans="1:3" s="2" customFormat="1" x14ac:dyDescent="0.25">
      <c r="A39" s="2" t="s">
        <v>90</v>
      </c>
      <c r="B39" s="38">
        <v>0</v>
      </c>
      <c r="C39" s="38"/>
    </row>
    <row r="40" spans="1:3" s="2" customFormat="1" x14ac:dyDescent="0.25">
      <c r="A40" s="2" t="s">
        <v>91</v>
      </c>
      <c r="B40" s="38">
        <v>0</v>
      </c>
      <c r="C40" s="38"/>
    </row>
    <row r="41" spans="1:3" s="2" customFormat="1" x14ac:dyDescent="0.25">
      <c r="A41" s="2" t="s">
        <v>92</v>
      </c>
      <c r="B41" s="38">
        <v>0</v>
      </c>
      <c r="C41" s="38"/>
    </row>
    <row r="42" spans="1:3" s="2" customFormat="1" x14ac:dyDescent="0.25">
      <c r="A42" s="2" t="s">
        <v>93</v>
      </c>
      <c r="B42" s="38">
        <v>0</v>
      </c>
      <c r="C42" s="38"/>
    </row>
    <row r="43" spans="1:3" s="2" customFormat="1" x14ac:dyDescent="0.25">
      <c r="A43" s="2" t="s">
        <v>94</v>
      </c>
      <c r="B43" s="38">
        <v>0</v>
      </c>
      <c r="C43" s="38"/>
    </row>
    <row r="44" spans="1:3" s="2" customFormat="1" x14ac:dyDescent="0.25">
      <c r="A44" s="30" t="s">
        <v>95</v>
      </c>
      <c r="B44" s="38">
        <v>12000000</v>
      </c>
      <c r="C44" s="38"/>
    </row>
    <row r="45" spans="1:3" s="2" customFormat="1" x14ac:dyDescent="0.25">
      <c r="A45" s="30" t="s">
        <v>96</v>
      </c>
      <c r="B45" s="38">
        <v>10000000</v>
      </c>
      <c r="C45" s="38"/>
    </row>
    <row r="46" spans="1:3" s="2" customFormat="1" x14ac:dyDescent="0.25">
      <c r="A46" s="2" t="s">
        <v>97</v>
      </c>
      <c r="B46" s="38">
        <v>0</v>
      </c>
      <c r="C46" s="38"/>
    </row>
    <row r="47" spans="1:3" s="2" customFormat="1" x14ac:dyDescent="0.25">
      <c r="A47" s="2" t="s">
        <v>98</v>
      </c>
      <c r="B47" s="38">
        <v>0</v>
      </c>
      <c r="C47" s="38"/>
    </row>
    <row r="48" spans="1:3" s="2" customFormat="1" x14ac:dyDescent="0.25">
      <c r="A48" s="2" t="s">
        <v>99</v>
      </c>
      <c r="B48" s="38">
        <v>0</v>
      </c>
      <c r="C48" s="38"/>
    </row>
    <row r="49" spans="1:3" s="2" customFormat="1" x14ac:dyDescent="0.25">
      <c r="A49" s="2" t="s">
        <v>100</v>
      </c>
      <c r="B49" s="38">
        <v>0</v>
      </c>
      <c r="C49" s="38"/>
    </row>
    <row r="50" spans="1:3" s="2" customFormat="1" x14ac:dyDescent="0.25">
      <c r="A50" s="2" t="s">
        <v>101</v>
      </c>
      <c r="B50" s="38">
        <v>0</v>
      </c>
      <c r="C50" s="38"/>
    </row>
    <row r="51" spans="1:3" s="2" customFormat="1" x14ac:dyDescent="0.25">
      <c r="A51" s="2" t="s">
        <v>102</v>
      </c>
      <c r="B51" s="38">
        <v>0</v>
      </c>
      <c r="C51" s="38"/>
    </row>
    <row r="52" spans="1:3" s="2" customFormat="1" x14ac:dyDescent="0.25">
      <c r="A52" s="30" t="s">
        <v>103</v>
      </c>
      <c r="B52" s="38">
        <v>5000000</v>
      </c>
      <c r="C52" s="38"/>
    </row>
    <row r="53" spans="1:3" s="2" customFormat="1" x14ac:dyDescent="0.25">
      <c r="A53" s="30" t="s">
        <v>104</v>
      </c>
      <c r="B53" s="38">
        <v>20000000</v>
      </c>
      <c r="C53" s="38"/>
    </row>
    <row r="54" spans="1:3" s="2" customFormat="1" x14ac:dyDescent="0.25">
      <c r="A54" s="2" t="s">
        <v>105</v>
      </c>
      <c r="B54" s="38">
        <v>0</v>
      </c>
      <c r="C54" s="38"/>
    </row>
    <row r="55" spans="1:3" s="2" customFormat="1" x14ac:dyDescent="0.25">
      <c r="A55" s="2" t="s">
        <v>106</v>
      </c>
      <c r="B55" s="38">
        <v>0</v>
      </c>
      <c r="C55" s="38"/>
    </row>
    <row r="56" spans="1:3" s="47" customFormat="1" x14ac:dyDescent="0.25">
      <c r="A56" s="44" t="s">
        <v>3173</v>
      </c>
      <c r="B56" s="45"/>
      <c r="C56" s="46"/>
    </row>
    <row r="57" spans="1:3" s="2" customFormat="1" x14ac:dyDescent="0.25">
      <c r="A57" s="32" t="s">
        <v>107</v>
      </c>
      <c r="B57" s="1" t="str">
        <f>VLOOKUP(B$58,Master!$AS:$AT,2,FALSE)</f>
        <v>014</v>
      </c>
      <c r="C57" s="1"/>
    </row>
    <row r="58" spans="1:3" s="2" customFormat="1" x14ac:dyDescent="0.25">
      <c r="A58" s="31" t="s">
        <v>108</v>
      </c>
      <c r="B58" s="1" t="s">
        <v>3196</v>
      </c>
      <c r="C58" s="1"/>
    </row>
    <row r="59" spans="1:3" s="2" customFormat="1" x14ac:dyDescent="0.25">
      <c r="A59" s="31" t="s">
        <v>109</v>
      </c>
      <c r="B59" s="1" t="s">
        <v>3452</v>
      </c>
      <c r="C59" s="1"/>
    </row>
    <row r="60" spans="1:3" s="2" customFormat="1" x14ac:dyDescent="0.25">
      <c r="A60" s="31" t="s">
        <v>110</v>
      </c>
      <c r="B60" s="1" t="s">
        <v>3453</v>
      </c>
      <c r="C60" s="1"/>
    </row>
    <row r="61" spans="1:3" s="2" customFormat="1" x14ac:dyDescent="0.25">
      <c r="A61" s="31" t="s">
        <v>111</v>
      </c>
      <c r="B61" s="1">
        <v>1124123</v>
      </c>
      <c r="C61" s="1"/>
    </row>
    <row r="62" spans="1:3" s="2" customFormat="1" x14ac:dyDescent="0.25">
      <c r="A62" s="2" t="s">
        <v>112</v>
      </c>
      <c r="B62" s="2" t="s">
        <v>5</v>
      </c>
    </row>
    <row r="63" spans="1:3" s="2" customFormat="1" x14ac:dyDescent="0.25">
      <c r="A63" s="2" t="s">
        <v>113</v>
      </c>
      <c r="B63" s="2" t="s">
        <v>5</v>
      </c>
    </row>
    <row r="64" spans="1:3" s="2" customFormat="1" x14ac:dyDescent="0.25">
      <c r="A64" s="31" t="s">
        <v>114</v>
      </c>
      <c r="B64" s="43">
        <v>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
  <sheetViews>
    <sheetView workbookViewId="0">
      <selection activeCell="B2" sqref="B2"/>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A2" s="31" t="s">
        <v>115</v>
      </c>
      <c r="C2" s="2" t="s">
        <v>116</v>
      </c>
    </row>
    <row r="3" spans="1:5" s="2" customFormat="1" x14ac:dyDescent="0.25">
      <c r="A3" s="2" t="s">
        <v>117</v>
      </c>
      <c r="C3" s="2" t="s">
        <v>118</v>
      </c>
    </row>
    <row r="4" spans="1:5" s="2" customFormat="1" x14ac:dyDescent="0.25">
      <c r="A4" s="31" t="s">
        <v>119</v>
      </c>
      <c r="B4" s="13"/>
      <c r="C4" s="13">
        <v>600000000</v>
      </c>
    </row>
    <row r="5" spans="1:5" s="2" customFormat="1" x14ac:dyDescent="0.25">
      <c r="A5" s="31" t="s">
        <v>120</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10"/>
  <sheetViews>
    <sheetView workbookViewId="0">
      <selection activeCell="B4" sqref="B4"/>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A2" s="30" t="s">
        <v>121</v>
      </c>
      <c r="B2" s="2" t="s">
        <v>2862</v>
      </c>
    </row>
    <row r="3" spans="1:5" s="2" customFormat="1" x14ac:dyDescent="0.25">
      <c r="A3" s="30" t="s">
        <v>122</v>
      </c>
      <c r="B3" s="2" t="s">
        <v>3467</v>
      </c>
    </row>
    <row r="4" spans="1:5" s="2" customFormat="1" x14ac:dyDescent="0.25">
      <c r="A4" s="30" t="s">
        <v>123</v>
      </c>
      <c r="B4" s="4" t="s">
        <v>3454</v>
      </c>
    </row>
    <row r="5" spans="1:5" s="2" customFormat="1" x14ac:dyDescent="0.25">
      <c r="A5" s="2" t="s">
        <v>124</v>
      </c>
    </row>
    <row r="6" spans="1:5" s="2" customFormat="1" x14ac:dyDescent="0.25">
      <c r="A6" s="2" t="s">
        <v>125</v>
      </c>
    </row>
    <row r="7" spans="1:5" s="2" customFormat="1" x14ac:dyDescent="0.25">
      <c r="A7" s="2" t="s">
        <v>126</v>
      </c>
    </row>
    <row r="8" spans="1:5" s="2" customFormat="1" x14ac:dyDescent="0.25">
      <c r="A8" s="2" t="s">
        <v>29</v>
      </c>
    </row>
    <row r="10" spans="1:5" ht="90" x14ac:dyDescent="0.25">
      <c r="A10" s="12" t="s">
        <v>2860</v>
      </c>
      <c r="B10" s="8" t="s">
        <v>2861</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0"/>
  <sheetViews>
    <sheetView workbookViewId="0">
      <selection activeCell="B17" sqref="B17"/>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3464</v>
      </c>
      <c r="C1" s="2" t="s">
        <v>2859</v>
      </c>
      <c r="D1" s="2" t="s">
        <v>2859</v>
      </c>
      <c r="E1" s="2" t="s">
        <v>2859</v>
      </c>
    </row>
    <row r="2" spans="1:5" s="47" customFormat="1" x14ac:dyDescent="0.25">
      <c r="A2" s="44" t="s">
        <v>3174</v>
      </c>
      <c r="B2" s="45"/>
      <c r="C2" s="46"/>
    </row>
    <row r="3" spans="1:5" s="2" customFormat="1" x14ac:dyDescent="0.25">
      <c r="A3" s="32" t="s">
        <v>127</v>
      </c>
      <c r="B3" s="10" t="str">
        <f>VLOOKUP(B4,Master!$A:$B,2,FALSE)</f>
        <v>01</v>
      </c>
      <c r="C3" s="10" t="str">
        <f>VLOOKUP(C4,Master!$A:$B,2,FALSE)</f>
        <v>01</v>
      </c>
    </row>
    <row r="4" spans="1:5" s="2" customFormat="1" x14ac:dyDescent="0.25">
      <c r="A4" s="30" t="s">
        <v>150</v>
      </c>
      <c r="B4" s="10" t="s">
        <v>158</v>
      </c>
      <c r="C4" s="10" t="s">
        <v>158</v>
      </c>
    </row>
    <row r="5" spans="1:5" s="2" customFormat="1" x14ac:dyDescent="0.25">
      <c r="A5" s="32" t="s">
        <v>130</v>
      </c>
      <c r="B5" s="10" t="str">
        <f>VLOOKUP(B6,Master!$D:$E,2,FALSE)</f>
        <v>1</v>
      </c>
      <c r="C5" s="10" t="str">
        <f>VLOOKUP(C6,Master!$D:$E,2,FALSE)</f>
        <v>2</v>
      </c>
    </row>
    <row r="6" spans="1:5" s="2" customFormat="1" x14ac:dyDescent="0.25">
      <c r="A6" s="30" t="s">
        <v>152</v>
      </c>
      <c r="B6" s="6" t="s">
        <v>159</v>
      </c>
      <c r="C6" s="6" t="s">
        <v>181</v>
      </c>
    </row>
    <row r="7" spans="1:5" s="2" customFormat="1" x14ac:dyDescent="0.25">
      <c r="A7" s="32" t="s">
        <v>2848</v>
      </c>
      <c r="B7" s="10" t="str">
        <f>VLOOKUP(B8,Master!$G:$H,2,FALSE)</f>
        <v>e2953</v>
      </c>
      <c r="C7" s="10" t="str">
        <f>VLOOKUP(C8,Master!$G:$H,2,FALSE)</f>
        <v>e2958</v>
      </c>
    </row>
    <row r="8" spans="1:5" s="2" customFormat="1" ht="75" x14ac:dyDescent="0.25">
      <c r="A8" s="30" t="s">
        <v>2847</v>
      </c>
      <c r="B8" s="6" t="s">
        <v>160</v>
      </c>
      <c r="C8" s="6" t="s">
        <v>261</v>
      </c>
    </row>
    <row r="9" spans="1:5" s="2" customFormat="1" x14ac:dyDescent="0.25">
      <c r="A9" s="32" t="s">
        <v>154</v>
      </c>
      <c r="B9" s="10" t="str">
        <f>VLOOKUP(B10,Master!$J:$K,2,FALSE)</f>
        <v>e3819</v>
      </c>
      <c r="C9" s="10" t="str">
        <f>VLOOKUP(C10,Master!$J:$K,2,FALSE)</f>
        <v>e3823</v>
      </c>
    </row>
    <row r="10" spans="1:5" s="2" customFormat="1" ht="45" x14ac:dyDescent="0.25">
      <c r="A10" s="30" t="s">
        <v>153</v>
      </c>
      <c r="B10" s="6" t="s">
        <v>162</v>
      </c>
      <c r="C10" s="6" t="s">
        <v>245</v>
      </c>
    </row>
    <row r="11" spans="1:5" s="47" customFormat="1" x14ac:dyDescent="0.25">
      <c r="A11" s="44" t="s">
        <v>3175</v>
      </c>
      <c r="B11" s="45"/>
      <c r="C11" s="46"/>
    </row>
    <row r="12" spans="1:5" s="2" customFormat="1" x14ac:dyDescent="0.25">
      <c r="A12" s="1" t="s">
        <v>132</v>
      </c>
      <c r="B12" s="6" t="s">
        <v>2850</v>
      </c>
      <c r="C12" s="6" t="s">
        <v>2849</v>
      </c>
    </row>
    <row r="13" spans="1:5" s="2" customFormat="1" x14ac:dyDescent="0.25">
      <c r="A13" s="32" t="s">
        <v>133</v>
      </c>
      <c r="B13" s="10" t="str">
        <f>VLOOKUP(B14,Master!$M:$N,2,FALSE)</f>
        <v>0010</v>
      </c>
      <c r="C13" s="10" t="str">
        <f>VLOOKUP(C14,Master!$M:$N,2,FALSE)</f>
        <v>0030</v>
      </c>
    </row>
    <row r="14" spans="1:5" s="2" customFormat="1" ht="30" x14ac:dyDescent="0.25">
      <c r="A14" s="30" t="s">
        <v>134</v>
      </c>
      <c r="B14" s="6" t="s">
        <v>164</v>
      </c>
      <c r="C14" s="6" t="s">
        <v>207</v>
      </c>
    </row>
    <row r="15" spans="1:5" s="2" customFormat="1" x14ac:dyDescent="0.25">
      <c r="A15" s="1" t="s">
        <v>135</v>
      </c>
      <c r="B15" s="6" t="s">
        <v>2850</v>
      </c>
      <c r="C15" s="6" t="s">
        <v>2850</v>
      </c>
    </row>
    <row r="16" spans="1:5" s="2" customFormat="1" x14ac:dyDescent="0.25">
      <c r="A16" s="1" t="s">
        <v>136</v>
      </c>
      <c r="B16" s="6" t="s">
        <v>2850</v>
      </c>
      <c r="C16" s="6" t="s">
        <v>2850</v>
      </c>
    </row>
    <row r="17" spans="1:3" s="2" customFormat="1" x14ac:dyDescent="0.25">
      <c r="A17" s="1" t="s">
        <v>137</v>
      </c>
      <c r="B17" s="6"/>
      <c r="C17" s="6"/>
    </row>
    <row r="18" spans="1:3" s="2" customFormat="1" x14ac:dyDescent="0.25">
      <c r="A18" s="32" t="s">
        <v>2851</v>
      </c>
      <c r="B18" s="10" t="str">
        <f>VLOOKUP(B19,Master!$AN:$AO,2,FALSE)</f>
        <v>10</v>
      </c>
      <c r="C18" s="10" t="e">
        <f>VLOOKUP(C19,Master!$AN:$AO,2,FALSE)</f>
        <v>#N/A</v>
      </c>
    </row>
    <row r="19" spans="1:3" s="2" customFormat="1" x14ac:dyDescent="0.25">
      <c r="A19" s="1" t="s">
        <v>138</v>
      </c>
      <c r="B19" s="6" t="s">
        <v>2852</v>
      </c>
      <c r="C19" s="6"/>
    </row>
    <row r="20" spans="1:3" s="2" customFormat="1" x14ac:dyDescent="0.25">
      <c r="A20" s="1" t="s">
        <v>139</v>
      </c>
      <c r="B20" s="41"/>
      <c r="C20" s="6"/>
    </row>
    <row r="21" spans="1:3" s="2" customFormat="1" x14ac:dyDescent="0.25">
      <c r="A21" s="32" t="s">
        <v>140</v>
      </c>
      <c r="B21" s="10" t="str">
        <f>VLOOKUP(B22,Master!$P:$Q,2,FALSE)</f>
        <v>0110</v>
      </c>
      <c r="C21" s="10" t="str">
        <f>VLOOKUP(C22,Master!$P:$Q,2,FALSE)</f>
        <v>0140</v>
      </c>
    </row>
    <row r="22" spans="1:3" s="2" customFormat="1" ht="60" x14ac:dyDescent="0.25">
      <c r="A22" s="30" t="s">
        <v>141</v>
      </c>
      <c r="B22" s="6" t="s">
        <v>166</v>
      </c>
      <c r="C22" s="6" t="s">
        <v>229</v>
      </c>
    </row>
    <row r="23" spans="1:3" s="2" customFormat="1" x14ac:dyDescent="0.25">
      <c r="A23" s="30" t="s">
        <v>142</v>
      </c>
      <c r="B23" s="6" t="s">
        <v>2850</v>
      </c>
      <c r="C23" s="6" t="s">
        <v>2849</v>
      </c>
    </row>
    <row r="24" spans="1:3" s="2" customFormat="1" x14ac:dyDescent="0.25">
      <c r="A24" s="32" t="s">
        <v>144</v>
      </c>
      <c r="B24" s="10" t="str">
        <f>VLOOKUP(B25,Master!$V:$W,2,FALSE)</f>
        <v>00055</v>
      </c>
      <c r="C24" s="10" t="str">
        <f>VLOOKUP(C25,Master!$V:$W,2,FALSE)</f>
        <v>00053</v>
      </c>
    </row>
    <row r="25" spans="1:3" s="2" customFormat="1" x14ac:dyDescent="0.25">
      <c r="A25" s="30" t="s">
        <v>143</v>
      </c>
      <c r="B25" s="6" t="s">
        <v>170</v>
      </c>
      <c r="C25" s="6" t="s">
        <v>213</v>
      </c>
    </row>
    <row r="26" spans="1:3" s="2" customFormat="1" ht="30" x14ac:dyDescent="0.25">
      <c r="A26" s="32" t="s">
        <v>145</v>
      </c>
      <c r="B26" s="10" t="str">
        <f>VLOOKUP(B27,Master!$Y:$Z,2,FALSE)</f>
        <v>PAYMENT_TYPEX_AUTOPAYMENT</v>
      </c>
      <c r="C26" s="10" t="str">
        <f>VLOOKUP(C27,Master!$Y:$Z,2,FALSE)</f>
        <v>PAYMENT_TYPEX_VA</v>
      </c>
    </row>
    <row r="27" spans="1:3" s="2" customFormat="1" ht="30" x14ac:dyDescent="0.25">
      <c r="A27" s="30" t="s">
        <v>146</v>
      </c>
      <c r="B27" s="6" t="s">
        <v>172</v>
      </c>
      <c r="C27" s="6" t="s">
        <v>194</v>
      </c>
    </row>
    <row r="28" spans="1:3" s="2" customFormat="1" x14ac:dyDescent="0.25">
      <c r="A28" s="32" t="s">
        <v>147</v>
      </c>
      <c r="B28" s="10" t="str">
        <f>VLOOKUP(B29,Master!$AE:$AF,2,FALSE)</f>
        <v>BISNIS_SENDIRI</v>
      </c>
      <c r="C28" s="10" t="str">
        <f>VLOOKUP(C29,Master!$AE:$AF,2,FALSE)</f>
        <v>BISNIS_SENDIRI</v>
      </c>
    </row>
    <row r="29" spans="1:3" s="2" customFormat="1" x14ac:dyDescent="0.25">
      <c r="A29" s="30" t="s">
        <v>148</v>
      </c>
      <c r="B29" s="6" t="s">
        <v>176</v>
      </c>
      <c r="C29" s="6" t="s">
        <v>176</v>
      </c>
    </row>
    <row r="30" spans="1:3" s="2" customFormat="1" x14ac:dyDescent="0.25">
      <c r="A30" s="30" t="s">
        <v>149</v>
      </c>
      <c r="B30" s="41">
        <v>47340</v>
      </c>
      <c r="C30" s="10" t="s">
        <v>2863</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R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2022-08-02T07:13:02Z</dcterms:modified>
</cp:coreProperties>
</file>