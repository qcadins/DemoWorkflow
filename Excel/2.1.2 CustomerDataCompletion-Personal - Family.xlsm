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BNI\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1" i="7" l="1"/>
  <c r="I41" i="7"/>
  <c r="H41" i="7"/>
  <c r="G41" i="7"/>
  <c r="F41" i="7"/>
  <c r="E41" i="7"/>
  <c r="D41" i="7"/>
  <c r="C41" i="7"/>
  <c r="J38" i="7"/>
  <c r="I38" i="7"/>
  <c r="H38" i="7"/>
  <c r="G38" i="7"/>
  <c r="F38" i="7"/>
  <c r="E38" i="7"/>
  <c r="D38" i="7"/>
  <c r="C38" i="7"/>
  <c r="J35" i="7"/>
  <c r="I35" i="7"/>
  <c r="H35" i="7"/>
  <c r="G35" i="7"/>
  <c r="F35" i="7"/>
  <c r="E35" i="7"/>
  <c r="D35" i="7"/>
  <c r="C35" i="7"/>
  <c r="J32" i="7"/>
  <c r="I32" i="7"/>
  <c r="H32" i="7"/>
  <c r="G32" i="7"/>
  <c r="F32" i="7"/>
  <c r="E32" i="7"/>
  <c r="D32" i="7"/>
  <c r="C32" i="7"/>
  <c r="J30" i="7"/>
  <c r="I30" i="7"/>
  <c r="H30" i="7"/>
  <c r="G30" i="7"/>
  <c r="F30" i="7"/>
  <c r="E30" i="7"/>
  <c r="D30" i="7"/>
  <c r="C30" i="7"/>
  <c r="J28" i="7"/>
  <c r="I28" i="7"/>
  <c r="H28" i="7"/>
  <c r="G28" i="7"/>
  <c r="F28" i="7"/>
  <c r="E28" i="7"/>
  <c r="D28" i="7"/>
  <c r="C28" i="7"/>
  <c r="J26" i="7"/>
  <c r="I26" i="7"/>
  <c r="H26" i="7"/>
  <c r="G26" i="7"/>
  <c r="F26" i="7"/>
  <c r="E26" i="7"/>
  <c r="D26" i="7"/>
  <c r="C26" i="7"/>
  <c r="J22" i="7"/>
  <c r="I22" i="7"/>
  <c r="H22" i="7"/>
  <c r="G22" i="7"/>
  <c r="F22" i="7"/>
  <c r="E22" i="7"/>
  <c r="D22" i="7"/>
  <c r="C22" i="7"/>
  <c r="J18" i="7"/>
  <c r="I18" i="7"/>
  <c r="H18" i="7"/>
  <c r="G18" i="7"/>
  <c r="F18" i="7"/>
  <c r="E18" i="7"/>
  <c r="D18" i="7"/>
  <c r="C18" i="7"/>
  <c r="J16" i="7"/>
  <c r="I16" i="7"/>
  <c r="H16" i="7"/>
  <c r="G16" i="7"/>
  <c r="F16" i="7"/>
  <c r="E16" i="7"/>
  <c r="D16" i="7"/>
  <c r="C16" i="7"/>
  <c r="J14" i="7"/>
  <c r="I14" i="7"/>
  <c r="H14" i="7"/>
  <c r="G14" i="7"/>
  <c r="F14" i="7"/>
  <c r="E14" i="7"/>
  <c r="D14" i="7"/>
  <c r="C14" i="7"/>
  <c r="J12" i="7"/>
  <c r="I12" i="7"/>
  <c r="H12" i="7"/>
  <c r="G12" i="7"/>
  <c r="F12" i="7"/>
  <c r="E12" i="7"/>
  <c r="E4" i="7" s="1"/>
  <c r="D12" i="7"/>
  <c r="C12" i="7"/>
  <c r="C4" i="7" s="1"/>
  <c r="D4" i="7"/>
  <c r="F4" i="7"/>
  <c r="G4" i="7"/>
  <c r="H4" i="7"/>
  <c r="I4" i="7"/>
  <c r="J4" i="7"/>
  <c r="D4" i="6"/>
  <c r="E4" i="6"/>
  <c r="F4" i="6"/>
  <c r="G4" i="6"/>
  <c r="H4" i="6"/>
  <c r="I4" i="6"/>
  <c r="J4" i="6"/>
  <c r="C10" i="6"/>
  <c r="J23" i="5"/>
  <c r="I23" i="5"/>
  <c r="H23" i="5"/>
  <c r="G23" i="5"/>
  <c r="F23" i="5"/>
  <c r="E23" i="5"/>
  <c r="D23" i="5"/>
  <c r="C23" i="5"/>
  <c r="E4" i="5"/>
  <c r="F4" i="5"/>
  <c r="G4" i="5"/>
  <c r="H4" i="5"/>
  <c r="I4" i="5"/>
  <c r="J4" i="5"/>
  <c r="E9" i="5"/>
  <c r="C10" i="5"/>
  <c r="D10" i="5"/>
  <c r="E10" i="5"/>
  <c r="F10" i="5"/>
  <c r="G10" i="5"/>
  <c r="H10" i="5"/>
  <c r="I10" i="5"/>
  <c r="J10" i="5"/>
  <c r="C4" i="4"/>
  <c r="D4" i="4"/>
  <c r="E4" i="4"/>
  <c r="F4" i="4"/>
  <c r="G4" i="4"/>
  <c r="H4" i="4"/>
  <c r="I4" i="4"/>
  <c r="J4" i="4"/>
  <c r="C10" i="4"/>
  <c r="J47" i="3"/>
  <c r="I47" i="3"/>
  <c r="H47" i="3"/>
  <c r="G47" i="3"/>
  <c r="F47" i="3"/>
  <c r="E47" i="3"/>
  <c r="D47" i="3"/>
  <c r="C47" i="3"/>
  <c r="J42" i="3"/>
  <c r="I42" i="3"/>
  <c r="H42" i="3"/>
  <c r="G42" i="3"/>
  <c r="F42" i="3"/>
  <c r="E42" i="3"/>
  <c r="D42" i="3"/>
  <c r="C42" i="3"/>
  <c r="J38" i="3"/>
  <c r="I38" i="3"/>
  <c r="I4" i="3" s="1"/>
  <c r="H38" i="3"/>
  <c r="G38" i="3"/>
  <c r="G4" i="3" s="1"/>
  <c r="F38" i="3"/>
  <c r="E38" i="3"/>
  <c r="D38" i="3"/>
  <c r="C38" i="3"/>
  <c r="J32" i="3"/>
  <c r="I32" i="3"/>
  <c r="H32" i="3"/>
  <c r="G32" i="3"/>
  <c r="F32" i="3"/>
  <c r="E32" i="3"/>
  <c r="D32" i="3"/>
  <c r="C32" i="3"/>
  <c r="J28" i="3"/>
  <c r="I28" i="3"/>
  <c r="H28" i="3"/>
  <c r="G28" i="3"/>
  <c r="F28" i="3"/>
  <c r="E28" i="3"/>
  <c r="D28" i="3"/>
  <c r="C28" i="3"/>
  <c r="J21" i="3"/>
  <c r="I21" i="3"/>
  <c r="H21" i="3"/>
  <c r="G21" i="3"/>
  <c r="F21" i="3"/>
  <c r="E21" i="3"/>
  <c r="D21" i="3"/>
  <c r="C21" i="3"/>
  <c r="J14" i="3"/>
  <c r="I14" i="3"/>
  <c r="H14" i="3"/>
  <c r="G14" i="3"/>
  <c r="F14" i="3"/>
  <c r="E14" i="3"/>
  <c r="D14" i="3"/>
  <c r="C14" i="3"/>
  <c r="C4" i="3"/>
  <c r="D4" i="3"/>
  <c r="E4" i="3"/>
  <c r="F4" i="3"/>
  <c r="H4" i="3"/>
  <c r="J4" i="3"/>
  <c r="F10" i="3"/>
  <c r="E4" i="2"/>
  <c r="F4" i="2"/>
  <c r="G4" i="2"/>
  <c r="H4" i="2"/>
  <c r="I4" i="2"/>
  <c r="J4" i="2"/>
  <c r="I9" i="2"/>
  <c r="C10" i="2"/>
  <c r="D10" i="2"/>
  <c r="E10" i="2"/>
  <c r="F10" i="2"/>
  <c r="G10" i="2"/>
  <c r="H10" i="2"/>
  <c r="I10" i="2"/>
  <c r="J10" i="2"/>
  <c r="G12" i="1"/>
  <c r="G10" i="6" s="1"/>
  <c r="C4" i="1"/>
  <c r="F4" i="1"/>
  <c r="H4" i="1"/>
  <c r="I4" i="1"/>
  <c r="J4" i="1"/>
  <c r="J12" i="1"/>
  <c r="J10" i="3" s="1"/>
  <c r="I12" i="1"/>
  <c r="I10" i="3" s="1"/>
  <c r="E12" i="1"/>
  <c r="E10" i="7" s="1"/>
  <c r="F12" i="1"/>
  <c r="F10" i="6" s="1"/>
  <c r="H12" i="1"/>
  <c r="H9" i="5" s="1"/>
  <c r="D12" i="1"/>
  <c r="D9" i="2" s="1"/>
  <c r="C12" i="1"/>
  <c r="C10" i="3" s="1"/>
  <c r="B12" i="1"/>
  <c r="C9" i="2" l="1"/>
  <c r="H10" i="3"/>
  <c r="E10" i="4"/>
  <c r="G9" i="5"/>
  <c r="E10" i="6"/>
  <c r="D10" i="7"/>
  <c r="J9" i="2"/>
  <c r="G10" i="3"/>
  <c r="D10" i="4"/>
  <c r="F9" i="5"/>
  <c r="D10" i="6"/>
  <c r="C10" i="7"/>
  <c r="H9" i="2"/>
  <c r="E10" i="3"/>
  <c r="J10" i="4"/>
  <c r="D9" i="5"/>
  <c r="J10" i="6"/>
  <c r="I10" i="7"/>
  <c r="G9" i="2"/>
  <c r="D10" i="3"/>
  <c r="I10" i="4"/>
  <c r="C9" i="5"/>
  <c r="I10" i="6"/>
  <c r="H10" i="7"/>
  <c r="F9" i="2"/>
  <c r="H10" i="4"/>
  <c r="J9" i="5"/>
  <c r="H10" i="6"/>
  <c r="G10" i="7"/>
  <c r="J10" i="7"/>
  <c r="E9" i="2"/>
  <c r="G10" i="4"/>
  <c r="I9" i="5"/>
  <c r="F10" i="7"/>
  <c r="F10" i="4"/>
  <c r="C4" i="6"/>
  <c r="B10" i="5"/>
  <c r="B10" i="2"/>
  <c r="B9" i="2"/>
  <c r="B9" i="5" l="1"/>
  <c r="B4" i="1"/>
  <c r="D4" i="5" l="1"/>
  <c r="D4" i="2" l="1"/>
  <c r="C4" i="5" l="1"/>
  <c r="B4" i="5"/>
  <c r="B4" i="6" l="1"/>
  <c r="C4" i="2" l="1"/>
  <c r="B4" i="4" l="1"/>
  <c r="B4" i="7" l="1"/>
  <c r="B4" i="2"/>
  <c r="D4" i="1" l="1"/>
  <c r="E4" i="1"/>
  <c r="B10" i="3" l="1"/>
  <c r="B10" i="6"/>
  <c r="B10" i="7"/>
  <c r="B10" i="4"/>
  <c r="B47" i="3"/>
  <c r="B42" i="3"/>
  <c r="B38" i="3"/>
  <c r="B32" i="3"/>
  <c r="B28" i="3"/>
  <c r="B14" i="3"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<sst xmlns="http://schemas.openxmlformats.org/spreadsheetml/2006/main" count="5521" uniqueCount="4260">
  <si>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</si>
  <si>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</si>
  <si>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</si>
  <si>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</si>
  <si>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</si>
  <si>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</si>
  <si>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</si>
  <si>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</si>
  <si>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</si>
  <si>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</si>
  <si>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</si>
  <si>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</si>
  <si>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</si>
  <si>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</si>
  <si>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</si>
  <si>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</si>
  <si>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</si>
  <si>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</si>
  <si>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</si>
  <si>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</si>
  <si>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</si>
  <si>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</si>
  <si>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</si>
  <si>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</si>
  <si>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</si>
  <si>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</si>
  <si>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</si>
  <si>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</si>
  <si>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</si>
  <si>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</si>
  <si>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</si>
  <si>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</si>
  <si>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</si>
  <si>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</si>
  <si>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</si>
  <si>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</si>
  <si>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</si>
  <si>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</si>
  <si>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</si>
  <si>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</si>
  <si>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</si>
  <si>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</si>
  <si>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</si>
  <si>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</si>
  <si>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</si>
  <si>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</si>
  <si>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</si>
  <si>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</si>
  <si>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</si>
  <si>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</si>
  <si>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</si>
  <si>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</si>
  <si>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</si>
  <si>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</si>
  <si>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</si>
  <si>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</si>
  <si>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</si>
  <si>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</si>
  <si>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</si>
  <si>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</si>
  <si>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</si>
  <si>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</si>
  <si>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</si>
  <si>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</si>
  <si>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</si>
  <si>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</si>
  <si>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</si>
  <si>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</si>
  <si>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</si>
  <si>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</si>
  <si>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</si>
  <si>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</si>
  <si>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</si>
  <si>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</si>
  <si>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</si>
  <si>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</si>
  <si>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</si>
  <si>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</si>
  <si>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</si>
  <si>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</si>
  <si>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</si>
  <si>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</si>
  <si>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</si>
  <si>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</si>
  <si>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</si>
  <si>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</si>
  <si>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</si>
  <si>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</si>
  <si>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</si>
  <si>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</si>
  <si>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</si>
  <si>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</si>
  <si>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</si>
  <si>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</si>
  <si>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</si>
  <si>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</si>
  <si>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</si>
  <si>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</si>
  <si>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</si>
  <si>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</si>
  <si>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</si>
  <si>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</si>
  <si>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</si>
  <si>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</si>
  <si>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</si>
  <si>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</si>
  <si>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</si>
  <si>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</si>
  <si>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</si>
  <si>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</si>
  <si>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</si>
  <si>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</si>
  <si>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</si>
  <si>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</si>
  <si>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</si>
  <si>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</si>
  <si>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</si>
  <si>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</si>
  <si>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</si>
  <si>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</si>
  <si>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</si>
  <si>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</si>
  <si>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</si>
  <si>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</si>
  <si>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</si>
  <si>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</si>
  <si>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</si>
  <si>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</si>
  <si>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</si>
  <si>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</si>
  <si>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</si>
  <si>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</si>
  <si>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</si>
  <si>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</si>
  <si>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</si>
  <si>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</si>
  <si>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</si>
  <si>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</si>
  <si>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</si>
  <si>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</si>
  <si>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</si>
  <si>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</si>
  <si>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</si>
  <si>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</si>
  <si>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</si>
  <si>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</si>
  <si>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</si>
  <si>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</si>
  <si>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</si>
  <si>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</si>
  <si>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</si>
  <si>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</si>
  <si>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</si>
  <si>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</si>
  <si>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</si>
  <si>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</si>
  <si>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</si>
  <si>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</si>
  <si>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</si>
  <si>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</si>
  <si>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</si>
  <si>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</si>
  <si>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</si>
  <si>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</si>
  <si>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</si>
  <si>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</si>
  <si>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</si>
  <si>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</si>
  <si>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</si>
  <si>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</si>
  <si>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</si>
  <si>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</si>
  <si>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</si>
  <si>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</si>
  <si>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</si>
  <si>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</si>
  <si>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</si>
  <si>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</si>
  <si>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</si>
  <si>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</si>
  <si>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</si>
  <si>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</si>
  <si>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</si>
  <si>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</si>
  <si>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</si>
  <si>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</si>
  <si>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</si>
  <si>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</si>
  <si>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</si>
  <si>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</si>
  <si>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</si>
  <si>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</si>
  <si>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</si>
  <si>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</si>
  <si>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</si>
  <si>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</si>
  <si>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</si>
  <si>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</si>
  <si>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</si>
  <si>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</si>
  <si>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</si>
  <si>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</si>
  <si>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</si>
  <si>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</si>
  <si>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</si>
  <si>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</si>
  <si>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</si>
  <si>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</si>
  <si>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</si>
  <si>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</si>
  <si>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</si>
  <si>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</si>
  <si>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</si>
  <si>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</si>
  <si>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</si>
  <si>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</si>
  <si>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</si>
  <si>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</si>
  <si>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</si>
  <si>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</si>
  <si>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</si>
  <si>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</si>
  <si>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</si>
  <si>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</si>
  <si>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</si>
  <si>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</si>
  <si>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</si>
  <si>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</si>
  <si>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</si>
  <si>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</si>
  <si>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</si>
  <si>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</si>
  <si>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</si>
  <si>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</si>
  <si>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</si>
  <si>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</si>
  <si>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</si>
  <si>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</si>
  <si>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</si>
  <si>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</si>
  <si>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</si>
  <si>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</si>
  <si>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</si>
  <si>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</si>
  <si>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</si>
  <si>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</si>
  <si>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</si>
  <si>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</si>
  <si>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</si>
  <si>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</si>
  <si>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</si>
  <si>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</si>
  <si>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</si>
  <si>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</si>
  <si>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</si>
  <si>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</si>
  <si>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</si>
  <si>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</si>
  <si>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</si>
  <si>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</si>
  <si>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</si>
  <si>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</si>
  <si>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</si>
  <si>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</si>
  <si>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</si>
  <si>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</si>
  <si>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</si>
  <si>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</si>
  <si>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</si>
  <si>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</si>
  <si>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</si>
  <si>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</si>
  <si>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</si>
  <si>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</si>
  <si>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</si>
  <si>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</si>
  <si>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</si>
  <si>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</si>
  <si>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</si>
  <si>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</si>
  <si>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</si>
  <si>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</si>
  <si>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</si>
  <si>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</si>
  <si>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</si>
  <si>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</si>
  <si>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</si>
  <si>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</si>
  <si>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</si>
  <si>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</si>
  <si>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</si>
  <si>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</si>
  <si>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</si>
  <si>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</si>
  <si>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</si>
  <si>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</si>
  <si>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</si>
  <si>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</si>
  <si>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</si>
  <si>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</si>
  <si>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</si>
  <si>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</si>
  <si>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</si>
  <si>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</si>
  <si>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</si>
  <si>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</si>
  <si>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</si>
  <si>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</si>
  <si>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</si>
  <si>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</si>
  <si>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</si>
  <si>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</si>
  <si>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</si>
  <si>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</si>
  <si>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</si>
  <si>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</si>
  <si>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</si>
  <si>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</si>
  <si>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</si>
  <si>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</si>
  <si>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</si>
  <si>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</si>
  <si>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</si>
  <si>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</si>
  <si>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</si>
  <si>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</si>
  <si>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</si>
  <si>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</si>
  <si>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</si>
  <si>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</si>
  <si>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</si>
  <si>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</si>
  <si>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</si>
  <si>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</si>
  <si>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</si>
  <si>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</si>
  <si>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</si>
  <si>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</si>
  <si>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</si>
  <si>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</si>
  <si>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</si>
  <si>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</si>
  <si>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</si>
  <si>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</si>
  <si>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</si>
  <si>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</si>
  <si>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</si>
  <si>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</si>
  <si>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</si>
  <si>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</si>
  <si>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</si>
  <si>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</si>
  <si>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</si>
  <si>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</si>
  <si>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</si>
  <si>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</si>
  <si>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</si>
  <si>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</si>
  <si>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</si>
  <si>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</si>
  <si>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</si>
  <si>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</si>
  <si>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</si>
  <si>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</si>
  <si>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</si>
  <si>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</si>
  <si>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</si>
  <si>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</si>
  <si>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</si>
  <si>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</si>
  <si>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</si>
  <si>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</si>
  <si>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</si>
  <si>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</si>
  <si>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</si>
  <si>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</si>
  <si>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</si>
  <si>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</si>
  <si>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</si>
  <si>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</si>
  <si>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</si>
  <si>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</si>
  <si>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</si>
  <si>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</si>
  <si>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</si>
  <si>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</si>
  <si>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</si>
  <si>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</si>
  <si>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</si>
  <si>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</si>
  <si>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</si>
  <si>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</si>
  <si>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</si>
  <si>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</si>
  <si>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</si>
  <si>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</si>
  <si>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</si>
  <si>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</si>
  <si>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</si>
  <si>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</si>
  <si>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</si>
  <si>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</si>
  <si>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</si>
  <si>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</si>
  <si>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</si>
  <si>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</si>
  <si>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</si>
  <si>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</si>
  <si>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</si>
  <si>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</si>
  <si>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</si>
  <si>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</si>
  <si>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</si>
  <si>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</si>
  <si>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</si>
  <si>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</si>
  <si>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</si>
  <si>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</si>
  <si>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</si>
  <si>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</si>
  <si>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</si>
  <si>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</si>
  <si>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</si>
  <si>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</si>
  <si>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</si>
  <si>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</si>
  <si>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</si>
  <si>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</si>
  <si>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</si>
  <si>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</si>
  <si>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</si>
  <si>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</si>
  <si>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</si>
  <si>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</si>
  <si>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</si>
  <si>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</si>
  <si>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</si>
  <si>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</si>
  <si>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</si>
  <si>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</si>
  <si>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</si>
  <si>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</si>
  <si>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</si>
  <si>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</si>
  <si>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</si>
  <si>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</si>
  <si>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</si>
  <si>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</si>
  <si>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</si>
  <si>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</si>
  <si>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</si>
  <si>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</si>
  <si>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</si>
  <si>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</si>
  <si>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</si>
  <si>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</si>
  <si>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</si>
  <si>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</si>
  <si>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</si>
  <si>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</si>
  <si>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</si>
  <si>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</si>
  <si>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</si>
  <si>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</si>
  <si>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</si>
  <si>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</si>
  <si>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</si>
  <si>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</si>
  <si>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</si>
  <si>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</si>
  <si>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</si>
  <si>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</si>
  <si>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</si>
  <si>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</si>
  <si>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</si>
  <si>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</si>
  <si>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</si>
  <si>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</si>
  <si>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</si>
  <si>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</si>
  <si>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</si>
  <si>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</si>
  <si>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</si>
  <si>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</si>
  <si>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</si>
  <si>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</si>
  <si>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</si>
  <si>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</si>
  <si>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</si>
  <si>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</si>
  <si>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</si>
  <si>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</si>
  <si>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</si>
  <si>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</si>
  <si>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</si>
  <si>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</si>
  <si>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</si>
  <si>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</si>
  <si>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</si>
  <si>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</si>
  <si>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</si>
  <si>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</si>
  <si>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</si>
  <si>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</si>
  <si>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</si>
  <si>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</si>
  <si>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</si>
  <si>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</si>
  <si>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</si>
  <si>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</si>
  <si>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</si>
  <si>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</si>
  <si>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</si>
  <si>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</si>
  <si>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</si>
  <si>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</si>
  <si>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</si>
  <si>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</si>
  <si>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</si>
  <si>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</si>
  <si>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</si>
  <si>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</si>
  <si>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</si>
  <si>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</si>
  <si>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</si>
  <si>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</si>
  <si>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</si>
  <si>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</si>
  <si>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</si>
  <si>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</si>
  <si>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</si>
  <si>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</si>
  <si>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</si>
  <si>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</si>
  <si>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</si>
  <si>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</si>
  <si>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</si>
  <si>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</si>
  <si>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</si>
  <si>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</si>
  <si>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</si>
  <si>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</si>
  <si>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</si>
  <si>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</si>
  <si>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</si>
  <si>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</si>
  <si>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</si>
  <si>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</si>
  <si>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</si>
  <si>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</si>
  <si>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</si>
  <si>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</si>
  <si>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</si>
  <si>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</si>
  <si>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</si>
  <si>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</si>
  <si>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</si>
  <si>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</si>
  <si>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</si>
  <si>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</si>
  <si>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</si>
  <si>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</si>
  <si>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</si>
  <si>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</si>
  <si>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</si>
  <si>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</si>
  <si>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</si>
  <si>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</si>
  <si>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</si>
  <si>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</si>
  <si>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</si>
  <si>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</si>
  <si>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</si>
  <si>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</si>
  <si>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</si>
  <si>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</si>
  <si>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</si>
  <si>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</si>
  <si>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</si>
  <si>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</si>
  <si>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</si>
  <si>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</si>
  <si>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</si>
  <si>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</si>
  <si>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</si>
  <si>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</si>
  <si>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</si>
  <si>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</si>
  <si>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</si>
  <si>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</si>
  <si>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</si>
  <si>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</si>
  <si>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</si>
  <si>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</si>
  <si>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</si>
  <si>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</si>
  <si>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</si>
  <si>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</si>
  <si>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</si>
  <si>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</si>
  <si>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</si>
  <si>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</si>
  <si>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</si>
  <si>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</si>
  <si>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</si>
  <si>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</si>
  <si>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</si>
  <si>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</si>
  <si>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</si>
  <si>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</si>
  <si>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</si>
  <si>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</si>
  <si>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</si>
  <si>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</si>
  <si>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</si>
  <si>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</si>
  <si>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</si>
  <si>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</si>
  <si>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</si>
  <si>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</si>
  <si>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</si>
  <si>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</si>
  <si>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</si>
  <si>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</si>
  <si>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</si>
  <si>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</si>
  <si>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</si>
  <si>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</si>
  <si>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</si>
  <si>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</si>
  <si>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</si>
  <si>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</si>
  <si>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</si>
  <si>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</si>
  <si>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</si>
  <si>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</si>
  <si>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</si>
  <si>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</si>
  <si>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</si>
  <si>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</si>
  <si>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</si>
  <si>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</si>
  <si>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</si>
  <si>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</si>
  <si>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</si>
  <si>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</si>
  <si>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</si>
  <si>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</si>
  <si>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</si>
  <si>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</si>
  <si>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</si>
  <si>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</si>
  <si>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</si>
  <si>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</si>
  <si>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</si>
  <si>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</si>
  <si>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</si>
  <si>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</si>
  <si>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</si>
  <si>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</si>
  <si>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</si>
  <si>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</si>
  <si>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</si>
  <si>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</si>
  <si>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</si>
  <si>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</si>
  <si>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</si>
  <si>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</si>
  <si>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</si>
  <si>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</si>
  <si>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</si>
  <si>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</si>
  <si>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</si>
  <si>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</si>
  <si>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</si>
  <si>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</si>
  <si>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</si>
  <si>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</si>
  <si>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</si>
  <si>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</si>
  <si>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</si>
  <si>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</si>
  <si>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</si>
  <si>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</si>
  <si>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</si>
  <si>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</si>
  <si>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</si>
  <si>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</si>
  <si>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</si>
  <si>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</si>
  <si>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</si>
  <si>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</si>
  <si>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</si>
  <si>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</si>
  <si>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</si>
  <si>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</si>
  <si>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</si>
  <si>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</si>
  <si>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</si>
  <si>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</si>
  <si>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</si>
  <si>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</si>
  <si>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</si>
  <si>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</si>
  <si>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</si>
  <si>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</si>
  <si>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</si>
  <si>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</si>
  <si>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</si>
  <si>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</si>
  <si>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</si>
  <si>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</si>
  <si>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</si>
  <si>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</si>
  <si>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</si>
  <si>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</si>
  <si>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</si>
  <si>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</si>
  <si>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</si>
  <si>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</si>
  <si>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</si>
  <si>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</si>
  <si>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</si>
  <si>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</si>
  <si>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</si>
  <si>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</si>
  <si>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</si>
  <si>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</si>
  <si>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</si>
  <si>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</si>
  <si>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</si>
  <si>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</si>
  <si>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</si>
  <si>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</si>
  <si>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</si>
  <si>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</si>
  <si>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</si>
  <si>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</si>
  <si>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</si>
  <si>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</si>
  <si>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</si>
  <si>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</si>
  <si>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</si>
  <si>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</si>
  <si>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</si>
  <si>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</si>
  <si>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</si>
  <si>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</si>
  <si>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</si>
  <si>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</si>
  <si>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</si>
  <si>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</si>
  <si>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</si>
  <si>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</si>
  <si>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</si>
  <si>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</si>
  <si>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</si>
  <si>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</si>
  <si>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</si>
  <si>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</si>
  <si>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</si>
  <si>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</si>
  <si>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</si>
  <si>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</si>
  <si>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</si>
  <si>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</si>
  <si>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</si>
  <si>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</si>
  <si>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</si>
  <si>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</si>
  <si>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</si>
  <si>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</si>
  <si>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</si>
  <si>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</si>
  <si>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</si>
  <si>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</si>
  <si>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</si>
  <si>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</si>
  <si>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</si>
  <si>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</si>
  <si>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</si>
  <si>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</si>
  <si>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</si>
  <si>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</si>
  <si>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</si>
  <si>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</si>
  <si>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</si>
  <si>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</si>
  <si>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</si>
  <si>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</si>
  <si>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</si>
  <si>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</si>
  <si>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</si>
  <si>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</si>
  <si>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</si>
  <si>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</si>
  <si>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</si>
  <si>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</si>
  <si>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</si>
  <si>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</si>
  <si>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</si>
  <si>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</si>
  <si>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</si>
  <si>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</si>
  <si>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</si>
  <si>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</si>
  <si>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</si>
  <si>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</si>
  <si>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</si>
  <si>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</si>
  <si>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</si>
  <si>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</si>
  <si>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</si>
  <si>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</si>
  <si>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</si>
  <si>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</si>
  <si>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</si>
  <si>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</si>
  <si>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</si>
  <si>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</si>
  <si>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</si>
  <si>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</si>
  <si>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</si>
  <si>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</si>
  <si>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</si>
  <si>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</si>
  <si>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</si>
  <si>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</si>
  <si>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</si>
  <si>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</si>
  <si>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</si>
  <si>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</si>
  <si>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</si>
  <si>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</si>
  <si>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</si>
  <si>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</si>
  <si>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</si>
  <si>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</si>
  <si>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</si>
  <si>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</si>
  <si>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</si>
  <si>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</si>
  <si>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</si>
  <si>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</si>
  <si>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</si>
  <si>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</si>
  <si>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</si>
  <si>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</si>
  <si>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</si>
  <si>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</si>
  <si>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</si>
  <si>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</si>
  <si>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</si>
  <si>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</si>
  <si>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</si>
  <si>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</si>
  <si>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</si>
  <si>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</si>
  <si>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</si>
  <si>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</si>
  <si>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</si>
  <si>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</si>
  <si>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</si>
  <si>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</si>
  <si>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</si>
  <si>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</si>
  <si>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</si>
  <si>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</si>
  <si>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</si>
  <si>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</si>
  <si>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</si>
  <si>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</si>
  <si>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</si>
  <si>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</si>
  <si>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</si>
  <si>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</si>
  <si>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</si>
  <si>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</si>
  <si>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</si>
  <si>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</si>
  <si>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</si>
  <si>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</si>
  <si>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</si>
  <si>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</si>
  <si>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</si>
  <si>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</si>
  <si>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</si>
  <si>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</si>
  <si>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</si>
  <si>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</si>
  <si>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</si>
  <si>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</si>
  <si>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</si>
  <si>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</si>
  <si>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</si>
  <si>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</si>
  <si>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</si>
  <si>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</si>
  <si>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</si>
  <si>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</si>
  <si>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</si>
  <si>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</si>
  <si>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</si>
  <si>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</si>
  <si>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</si>
  <si>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</si>
  <si>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</si>
  <si>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</si>
  <si>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</si>
  <si>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</si>
  <si>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</si>
  <si>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</si>
  <si>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</si>
  <si>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</si>
  <si>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</si>
  <si>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</si>
  <si>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</si>
  <si>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</si>
  <si>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</si>
  <si>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</si>
  <si>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</si>
  <si>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</si>
  <si>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</si>
  <si>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</si>
  <si>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</si>
  <si>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</si>
  <si>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</si>
  <si>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</si>
  <si>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</si>
  <si>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</si>
  <si>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</si>
  <si>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</si>
  <si>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</si>
  <si>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</si>
  <si>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</si>
  <si>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</si>
  <si>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</si>
  <si>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</si>
  <si>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</si>
  <si>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</si>
  <si>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</si>
  <si>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</si>
  <si>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</si>
  <si>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</si>
  <si>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</si>
  <si>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</si>
  <si>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</si>
  <si>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</si>
  <si>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</si>
  <si>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</si>
  <si>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</si>
  <si>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</si>
  <si>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</si>
  <si>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</si>
  <si>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</si>
  <si>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</si>
  <si>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</si>
  <si>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</si>
  <si>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</si>
  <si>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</si>
  <si>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</si>
  <si>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</si>
  <si>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</si>
  <si>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</si>
  <si>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</si>
  <si>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</si>
  <si>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</si>
  <si>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</si>
  <si>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</si>
  <si>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</si>
  <si>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</si>
  <si>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</si>
  <si>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</si>
  <si>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</si>
  <si>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</si>
  <si>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</si>
  <si>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</si>
  <si>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</si>
  <si>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</si>
  <si>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</si>
  <si>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</si>
  <si>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</si>
  <si>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</si>
  <si>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</si>
  <si>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</si>
  <si>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</si>
  <si>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</si>
  <si>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</si>
  <si>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</si>
  <si>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</si>
  <si>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</si>
  <si>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</si>
  <si>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</si>
  <si>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</si>
  <si>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</si>
  <si>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</si>
  <si>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</si>
  <si>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</si>
  <si>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</si>
  <si>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</si>
  <si>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</si>
  <si>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</si>
  <si>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</si>
  <si>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</si>
  <si>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</si>
  <si>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</si>
  <si>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</si>
  <si>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</si>
  <si>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</si>
  <si>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</si>
  <si>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</si>
  <si>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</si>
  <si>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</si>
  <si>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</si>
  <si>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</si>
  <si>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</si>
  <si>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</si>
  <si>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</si>
  <si>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</si>
  <si>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</si>
  <si>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</si>
  <si>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</si>
  <si>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</si>
  <si>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</si>
  <si>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</si>
  <si>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</si>
  <si>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</si>
  <si>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</si>
  <si>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</si>
  <si>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</si>
  <si>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</si>
  <si>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</si>
  <si>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</si>
  <si>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</si>
  <si>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</si>
  <si>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</si>
  <si>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</si>
  <si>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</si>
  <si>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</si>
  <si>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</si>
  <si>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</si>
  <si>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</si>
  <si>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</si>
  <si>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</si>
  <si>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</si>
  <si>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</si>
  <si>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</si>
  <si>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</si>
  <si>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</si>
  <si>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</si>
  <si>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</si>
  <si>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</si>
  <si>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</si>
  <si>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</si>
  <si>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</si>
  <si>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</si>
  <si>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</si>
  <si>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</si>
  <si>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</si>
  <si>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</si>
  <si>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</si>
  <si>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</si>
  <si>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</si>
  <si>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</si>
  <si>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</si>
  <si>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</si>
  <si>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</si>
  <si>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</si>
  <si>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</si>
  <si>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</si>
  <si>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</si>
  <si>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</si>
  <si>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</si>
  <si>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</si>
  <si>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</si>
  <si>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</si>
  <si>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</si>
  <si>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</si>
  <si>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</si>
  <si>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</si>
  <si>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</si>
  <si>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</si>
  <si>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</si>
  <si>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</si>
  <si>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</si>
  <si>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</si>
  <si>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</si>
  <si>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</si>
  <si>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</si>
  <si>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</si>
  <si>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</si>
  <si>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</si>
  <si>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</si>
  <si>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</si>
  <si>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</si>
  <si>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</si>
  <si>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</si>
  <si>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</si>
  <si>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</si>
  <si>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</si>
  <si>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</si>
  <si>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</si>
  <si>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</si>
  <si>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</si>
  <si>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</si>
  <si>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</si>
  <si>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</si>
  <si>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</si>
  <si>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</si>
  <si>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</si>
  <si>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</si>
  <si>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</si>
  <si>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</si>
  <si>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</si>
  <si>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</si>
  <si>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</si>
  <si>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</si>
  <si>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</si>
  <si>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</si>
  <si>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</si>
  <si>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</si>
  <si>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</si>
  <si>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</si>
  <si>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</si>
  <si>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</si>
  <si>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</si>
  <si>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</si>
  <si>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</si>
  <si>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</si>
  <si>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</si>
  <si>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</si>
  <si>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</si>
  <si>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</si>
  <si>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</si>
  <si>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</si>
  <si>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</si>
  <si>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</si>
  <si>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</si>
  <si>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</si>
  <si>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</si>
  <si>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</si>
  <si>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</si>
  <si>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</si>
  <si>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</si>
  <si>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</si>
  <si>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</si>
  <si>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</si>
  <si>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</si>
  <si>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</si>
  <si>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</si>
  <si>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</si>
  <si>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</si>
  <si>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</si>
  <si>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</si>
  <si>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</si>
  <si>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</si>
  <si>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</si>
  <si>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</si>
  <si>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</si>
  <si>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</si>
  <si>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</si>
  <si>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</si>
  <si>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</si>
  <si>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</si>
  <si>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</si>
  <si>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</si>
  <si>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</si>
  <si>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</si>
  <si>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</si>
  <si>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</si>
  <si>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</si>
  <si>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</si>
  <si>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</si>
  <si>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</si>
  <si>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</si>
  <si>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</si>
  <si>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</si>
  <si>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</si>
  <si>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</si>
  <si>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</si>
  <si>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</si>
  <si>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</si>
  <si>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</si>
  <si>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</si>
  <si>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</si>
  <si>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</si>
  <si>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</si>
  <si>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</si>
  <si>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</si>
  <si>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</si>
  <si>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</si>
  <si>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</si>
  <si>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</si>
  <si>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</si>
  <si>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</si>
  <si>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</si>
  <si>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</si>
  <si>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</si>
  <si>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</si>
  <si>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</si>
  <si>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</si>
  <si>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</si>
  <si>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</si>
  <si>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</si>
  <si>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</si>
  <si>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</si>
  <si>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</si>
  <si>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</si>
  <si>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</si>
  <si>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</si>
  <si>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</si>
  <si>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</si>
  <si>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</si>
  <si>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</si>
  <si>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</si>
  <si>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</si>
  <si>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</si>
  <si>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</si>
  <si>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</si>
  <si>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</si>
  <si>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</si>
  <si>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</si>
  <si>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</si>
  <si>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</si>
  <si>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</si>
  <si>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</si>
  <si>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</si>
  <si>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</si>
  <si>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</si>
  <si>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</si>
  <si>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</si>
  <si>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</si>
  <si>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</si>
  <si>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</si>
  <si>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</si>
  <si>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</si>
  <si>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</si>
  <si>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</si>
  <si>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</si>
  <si>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</si>
  <si>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</si>
  <si>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</si>
  <si>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</si>
  <si>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</si>
  <si>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</si>
  <si>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</si>
  <si>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</si>
  <si>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</si>
  <si>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</si>
  <si>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</si>
  <si>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</si>
  <si>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</si>
  <si>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</si>
  <si>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</si>
  <si>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</si>
  <si>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</si>
  <si>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</si>
  <si>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</si>
  <si>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</si>
  <si>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</si>
  <si>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</si>
  <si>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</si>
  <si>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</si>
  <si>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</si>
  <si>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</si>
  <si>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</si>
  <si>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</si>
  <si>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</si>
  <si>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</si>
  <si>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</si>
  <si>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</si>
  <si>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</si>
  <si>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</si>
  <si>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</si>
  <si>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</si>
  <si>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</si>
  <si>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</si>
  <si>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</si>
  <si>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</si>
  <si>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</si>
  <si>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</si>
  <si>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</si>
  <si>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</si>
  <si>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</si>
  <si>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</si>
  <si>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</si>
  <si>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</si>
  <si>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</si>
  <si>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</si>
  <si>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</si>
  <si>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</si>
  <si>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</si>
  <si>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</si>
  <si>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</si>
  <si>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</si>
  <si>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</si>
  <si>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</si>
  <si>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</si>
  <si>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</si>
  <si>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</si>
  <si>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</si>
  <si>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</si>
  <si>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</si>
  <si>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</si>
  <si>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</si>
  <si>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</si>
  <si>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</si>
  <si>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</si>
  <si>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</si>
  <si>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</si>
  <si>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</si>
  <si>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</si>
  <si>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</si>
  <si>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</si>
  <si>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</si>
  <si>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</si>
  <si>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</si>
  <si>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</si>
  <si>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</si>
  <si>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</si>
  <si>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</si>
  <si>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</si>
  <si>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</si>
  <si>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</si>
  <si>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</si>
  <si>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</si>
  <si>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</si>
  <si>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</si>
  <si>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</si>
  <si>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</si>
  <si>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</si>
  <si>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</si>
  <si>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</si>
  <si>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</si>
  <si>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</si>
  <si>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</si>
  <si>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</si>
  <si>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</si>
  <si>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</si>
  <si>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</si>
  <si>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</si>
  <si>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</si>
  <si>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</si>
  <si>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</si>
  <si>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</si>
  <si>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</si>
  <si>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</si>
  <si>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</si>
  <si>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</si>
  <si>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</si>
  <si>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</si>
  <si>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</si>
  <si>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</si>
  <si>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</si>
  <si>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</si>
  <si>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</si>
  <si>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</si>
  <si>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</si>
  <si>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</si>
  <si>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</si>
  <si>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</si>
  <si>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</si>
  <si>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</si>
  <si>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</si>
  <si>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</si>
  <si>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</si>
  <si>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</si>
  <si>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</si>
  <si>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</si>
  <si>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</si>
  <si>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</si>
  <si>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</si>
  <si>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</si>
  <si>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</si>
  <si>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</si>
  <si>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</si>
  <si>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</si>
  <si>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</si>
  <si>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</si>
  <si>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</si>
  <si>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</si>
  <si>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</si>
  <si>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</si>
  <si>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</si>
  <si>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</si>
  <si>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</si>
  <si>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</si>
  <si>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</si>
  <si>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</si>
  <si>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</si>
  <si>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</si>
  <si>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</si>
  <si>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</si>
  <si>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</si>
  <si>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</si>
  <si>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</si>
  <si>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</si>
  <si>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</si>
  <si>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</si>
  <si>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</si>
  <si>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</si>
  <si>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</si>
  <si>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</si>
  <si>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</si>
  <si>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</si>
  <si>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</si>
  <si>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</si>
  <si>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</si>
  <si>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</si>
  <si>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</si>
  <si>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</si>
  <si>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</si>
  <si>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</si>
  <si>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</si>
  <si>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</si>
  <si>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</si>
  <si>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</si>
  <si>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</si>
  <si>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</si>
  <si>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</si>
  <si>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</si>
  <si>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</si>
  <si>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</si>
  <si>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</si>
  <si>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</si>
  <si>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</si>
  <si>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</si>
  <si>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</si>
  <si>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</si>
  <si>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</si>
  <si>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</si>
  <si>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</si>
  <si>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</si>
  <si>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</si>
  <si>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</si>
  <si>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</si>
  <si>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</si>
  <si>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</si>
  <si>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</si>
  <si>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</si>
  <si>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</si>
  <si>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</si>
  <si>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</si>
  <si>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</si>
  <si>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</si>
  <si>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</si>
  <si>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</si>
  <si>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</si>
  <si>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</si>
  <si>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</si>
  <si>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</si>
  <si>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</si>
  <si>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</si>
  <si>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</si>
  <si>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</si>
  <si>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</si>
  <si>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</si>
  <si>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</si>
  <si>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</si>
  <si>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</si>
  <si>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</si>
  <si>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</si>
  <si>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</si>
  <si>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</si>
  <si>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</si>
  <si>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</si>
  <si>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</si>
  <si>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</si>
  <si>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</si>
  <si>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</si>
  <si>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</si>
  <si>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</si>
  <si>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</si>
  <si>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</si>
  <si>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</si>
  <si>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</si>
  <si>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</si>
  <si>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</si>
  <si>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</si>
  <si>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</si>
  <si>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</si>
  <si>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</si>
  <si>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</si>
  <si>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</si>
  <si>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</si>
  <si>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</si>
  <si>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</si>
  <si>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</si>
  <si>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</si>
  <si>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</si>
  <si>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</si>
  <si>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</si>
  <si>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</si>
  <si>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</si>
  <si>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</si>
  <si>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</si>
  <si>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</si>
  <si>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</si>
  <si>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</si>
  <si>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</si>
  <si>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</si>
  <si>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</si>
  <si>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</si>
  <si>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</si>
  <si>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</si>
  <si>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</si>
  <si>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</si>
  <si>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</si>
  <si>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</si>
  <si>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</si>
  <si>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</si>
  <si>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</si>
  <si>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</si>
  <si>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</si>
  <si>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</si>
  <si>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</si>
  <si>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</si>
  <si>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</si>
  <si>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</si>
  <si>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</si>
  <si>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</si>
  <si>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</si>
  <si>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</si>
  <si>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</si>
  <si>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</si>
  <si>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</si>
  <si>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</si>
  <si>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</si>
  <si>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</si>
  <si>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</si>
  <si>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</si>
  <si>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</si>
  <si>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</si>
  <si>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</si>
  <si>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</si>
  <si>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</si>
  <si>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</si>
  <si>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</si>
  <si>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</si>
  <si>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</si>
  <si>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</si>
  <si>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</si>
  <si>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</si>
  <si>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</si>
  <si>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</si>
  <si>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</si>
  <si>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</si>
  <si>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</si>
  <si>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</si>
  <si>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</si>
  <si>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</si>
  <si>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</si>
  <si>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</si>
  <si>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</si>
  <si>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</si>
  <si>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</si>
  <si>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</si>
  <si>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</si>
  <si>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</si>
  <si>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</si>
  <si>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</si>
  <si>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</si>
  <si>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</si>
  <si>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</si>
  <si>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</si>
  <si>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</si>
  <si>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</si>
  <si>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</si>
  <si>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</si>
  <si>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</si>
  <si>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</si>
  <si>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</si>
  <si>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</si>
  <si>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</si>
  <si>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</si>
  <si>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</si>
  <si>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</si>
  <si>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</si>
  <si>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</si>
  <si>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</si>
  <si>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</si>
  <si>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</si>
  <si>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</si>
  <si>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</si>
  <si>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</si>
  <si>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</si>
  <si>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</si>
  <si>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</si>
  <si>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</si>
  <si>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</si>
  <si>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</si>
  <si>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</si>
  <si>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</si>
  <si>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</si>
  <si>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</si>
  <si>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</si>
  <si>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</si>
  <si>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</si>
  <si>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</si>
  <si>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</si>
  <si>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</si>
  <si>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</si>
  <si>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</si>
  <si>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</si>
  <si>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</si>
  <si>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</si>
  <si>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</si>
  <si>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</si>
  <si>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</si>
  <si>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</si>
  <si>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</si>
  <si>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</si>
  <si>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</si>
  <si>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</si>
  <si>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</si>
  <si>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</si>
  <si>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</si>
  <si>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</si>
  <si>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</si>
  <si>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</si>
  <si>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</si>
  <si>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</si>
  <si>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</si>
  <si>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</si>
  <si>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</si>
  <si>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</si>
  <si>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</si>
  <si>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</si>
  <si>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</si>
  <si>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</si>
  <si>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</si>
  <si>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</si>
  <si>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</si>
  <si>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</si>
  <si>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</si>
  <si>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</si>
  <si>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</si>
  <si>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</si>
  <si>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</si>
  <si>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</si>
  <si>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</si>
  <si>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</si>
  <si>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</si>
  <si>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</si>
  <si>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</si>
  <si>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</si>
  <si>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</si>
  <si>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</si>
  <si>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</si>
  <si>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</si>
  <si>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</si>
  <si>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</si>
  <si>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</si>
  <si>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</si>
  <si>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</si>
  <si>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</si>
  <si>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</si>
  <si>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</si>
  <si>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</si>
  <si>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</si>
  <si>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</si>
  <si>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</si>
  <si>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</si>
  <si>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</si>
  <si>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</si>
  <si>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</si>
  <si>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</si>
  <si>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</si>
  <si>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</si>
  <si>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</si>
  <si>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</si>
  <si>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</si>
  <si>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</si>
  <si>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</si>
  <si>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</si>
  <si>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</si>
  <si>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</si>
  <si>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</si>
  <si>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</si>
  <si>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</si>
  <si>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</si>
  <si>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</si>
  <si>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</si>
  <si>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</si>
  <si>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</si>
  <si>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</si>
  <si>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</si>
  <si>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</si>
  <si>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</si>
  <si>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</si>
  <si>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</si>
  <si>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</si>
  <si>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</si>
  <si>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</si>
  <si>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</si>
  <si>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</si>
  <si>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</si>
  <si>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</si>
  <si>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</si>
  <si>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</si>
  <si>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</si>
  <si>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</si>
  <si>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</si>
  <si>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</si>
  <si>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</si>
  <si>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</si>
  <si>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</si>
  <si>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</si>
  <si>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</si>
  <si>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</si>
  <si>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</si>
  <si>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</si>
  <si>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</si>
  <si>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</si>
  <si>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</si>
  <si>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</si>
  <si>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</si>
  <si>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</si>
  <si>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</si>
  <si>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</si>
  <si>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</si>
  <si>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</si>
  <si>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</si>
  <si>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</si>
  <si>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</si>
  <si>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</si>
  <si>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</si>
  <si>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</si>
  <si>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</si>
  <si>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</si>
  <si>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</si>
  <si>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</si>
  <si>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</si>
  <si>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</si>
  <si>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</si>
  <si>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</si>
  <si>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</si>
  <si>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</si>
  <si>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</si>
  <si>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</si>
  <si>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</si>
  <si>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</si>
  <si>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</si>
  <si>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</si>
  <si>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</si>
  <si>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</si>
  <si>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</si>
  <si>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</si>
  <si>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</si>
  <si>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</si>
  <si>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</si>
  <si>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</si>
  <si>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</si>
  <si>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</si>
  <si>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</si>
  <si>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</si>
  <si>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</si>
  <si>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</si>
  <si>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</si>
  <si>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</si>
  <si>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</si>
  <si>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</si>
  <si>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</si>
  <si>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</si>
  <si>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</si>
  <si>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</si>
  <si>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</si>
  <si>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</si>
  <si>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</si>
  <si>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</si>
  <si>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</si>
  <si>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</si>
  <si>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</si>
  <si>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</si>
  <si>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</si>
  <si>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</si>
  <si>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</si>
  <si>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</si>
  <si>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</si>
  <si>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</si>
  <si>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</si>
  <si>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</si>
  <si>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</si>
  <si>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</si>
  <si>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</si>
  <si>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</si>
  <si>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</si>
  <si>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</si>
  <si>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</si>
  <si>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</si>
  <si>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</si>
  <si>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</si>
  <si>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</si>
  <si>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</si>
  <si>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</si>
  <si>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</si>
  <si>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</si>
  <si>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</si>
  <si>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</si>
  <si>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</si>
  <si>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</si>
  <si>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</si>
  <si>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</si>
  <si>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</si>
  <si>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</si>
  <si>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</si>
  <si>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</si>
  <si>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</si>
  <si>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</si>
  <si>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</si>
  <si>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</si>
  <si>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</si>
  <si>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</si>
  <si>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</si>
  <si>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</si>
  <si>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</si>
  <si>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</si>
  <si>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</si>
  <si>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</si>
  <si>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</si>
  <si>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</si>
  <si>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</si>
  <si>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</si>
  <si>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</si>
  <si>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</si>
  <si>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</si>
  <si>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</si>
  <si>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</si>
  <si>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</si>
  <si>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</si>
  <si>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</si>
  <si>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</si>
  <si>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</si>
  <si>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</si>
  <si>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</si>
  <si>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</si>
  <si>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</si>
  <si>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</si>
  <si>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</si>
  <si>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</si>
  <si>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</si>
  <si>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</si>
  <si>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</si>
  <si>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</si>
  <si>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</si>
  <si>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</si>
  <si>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</si>
  <si>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</si>
  <si>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</si>
  <si>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</si>
  <si>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</si>
  <si>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</si>
  <si>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</si>
  <si>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</si>
  <si>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</si>
  <si>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</si>
  <si>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</si>
  <si>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</si>
  <si>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</si>
  <si>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</si>
  <si>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</si>
  <si>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</si>
  <si>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</si>
  <si>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</si>
  <si>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</si>
  <si>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</si>
  <si>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</si>
  <si>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</si>
  <si>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</si>
  <si>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</si>
  <si>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</si>
  <si>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</si>
  <si>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</si>
  <si>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</si>
  <si>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</si>
  <si>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</si>
  <si>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</si>
  <si>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</si>
  <si>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</si>
  <si>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</si>
  <si>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</si>
  <si>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</si>
  <si>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</si>
  <si>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</si>
  <si>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</si>
  <si>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</si>
  <si>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</si>
  <si>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</si>
  <si>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</si>
  <si>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</si>
  <si>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</si>
  <si>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</si>
  <si>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</si>
  <si>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</si>
  <si>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</si>
  <si>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</si>
  <si>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</si>
  <si>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</si>
  <si>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</si>
  <si>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</si>
  <si>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</si>
  <si>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</si>
  <si>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</si>
  <si>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</si>
  <si>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</si>
  <si>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</si>
  <si>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</si>
  <si>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</si>
  <si>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</si>
  <si>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</si>
  <si>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</si>
  <si>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</si>
  <si>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</si>
  <si>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</si>
  <si>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</si>
  <si>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</si>
  <si>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</si>
  <si>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</si>
  <si>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</si>
  <si>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</si>
  <si>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</si>
  <si>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</si>
  <si>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</si>
  <si>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</si>
  <si>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</si>
  <si>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</si>
  <si>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</si>
  <si>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</si>
  <si>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</si>
  <si>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</si>
  <si>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</si>
  <si>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</si>
  <si>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</si>
  <si>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</si>
  <si>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</si>
  <si>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</si>
  <si>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</si>
  <si>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</si>
  <si>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</si>
  <si>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</si>
  <si>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</si>
  <si>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</si>
  <si>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</si>
  <si>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</si>
  <si>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</si>
  <si>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</si>
  <si>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</si>
  <si>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</si>
  <si>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</si>
  <si>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</si>
  <si>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</si>
  <si>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</si>
  <si>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</si>
  <si>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</si>
  <si>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</si>
  <si>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</si>
  <si>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</si>
  <si>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</si>
  <si>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</si>
  <si>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</si>
  <si>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</si>
  <si>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</si>
  <si>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</si>
  <si>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</si>
  <si>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</si>
  <si>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</si>
  <si>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</si>
  <si>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</si>
  <si>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</si>
  <si>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</si>
  <si>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</si>
  <si>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</si>
  <si>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</si>
  <si>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</si>
  <si>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</si>
  <si>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</si>
  <si>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</si>
  <si>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</si>
  <si>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</si>
  <si>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</si>
  <si>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</si>
  <si>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</si>
  <si>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</si>
  <si>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</si>
  <si>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</si>
  <si>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</si>
  <si>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</si>
  <si>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</si>
  <si>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</si>
  <si>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</si>
  <si>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</si>
  <si>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</si>
  <si>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</si>
  <si>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</si>
  <si>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</si>
  <si>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</si>
  <si>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</si>
  <si>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</si>
  <si>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</si>
  <si>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</si>
  <si>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</si>
  <si>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</si>
  <si>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</si>
  <si>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</si>
  <si>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</si>
  <si>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</si>
  <si>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</si>
  <si>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</si>
  <si>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</si>
  <si>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</si>
  <si>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</si>
  <si>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</si>
  <si>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</si>
  <si>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</si>
  <si>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</si>
  <si>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</si>
  <si>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</si>
  <si>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</si>
  <si>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</si>
  <si>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</si>
  <si>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</si>
  <si>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</si>
  <si>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</si>
  <si>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</si>
  <si>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</si>
  <si>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</si>
  <si>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</si>
  <si>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</si>
  <si>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</si>
  <si>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</si>
  <si>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</si>
  <si>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</si>
  <si>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</si>
  <si>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</si>
  <si>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</si>
  <si>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</si>
  <si>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</si>
  <si>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</si>
  <si>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</si>
  <si>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</si>
  <si>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</si>
  <si>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</si>
  <si>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</si>
  <si>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</si>
  <si>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</si>
  <si>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</si>
  <si>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</si>
  <si>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</si>
  <si>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</si>
  <si>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</si>
  <si>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</si>
  <si>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</si>
  <si>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</si>
  <si>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</si>
  <si>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</si>
  <si>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</si>
  <si>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</si>
  <si>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</si>
  <si>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</si>
  <si>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</si>
  <si>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</si>
  <si>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</si>
  <si>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</si>
  <si>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</si>
  <si>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</si>
  <si>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</si>
  <si>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</si>
  <si>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</si>
  <si>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</si>
  <si>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</si>
  <si>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</si>
  <si>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</si>
  <si>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</si>
  <si>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</si>
  <si>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</si>
  <si>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</si>
  <si>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</si>
  <si>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</si>
  <si>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</si>
  <si>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</si>
  <si>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</si>
  <si>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</si>
  <si>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</si>
  <si>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</si>
  <si>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</si>
  <si>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</si>
  <si>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</si>
  <si>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</si>
  <si>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</si>
  <si>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</si>
  <si>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</si>
  <si>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</si>
  <si>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</si>
  <si>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</si>
  <si>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</si>
  <si>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</si>
  <si>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</si>
  <si>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</si>
  <si>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</si>
  <si>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</si>
  <si>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</si>
  <si>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</si>
  <si>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</si>
  <si>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</si>
  <si>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</si>
  <si>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</si>
  <si>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</si>
  <si>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</si>
  <si>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</si>
  <si>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</si>
  <si>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</si>
  <si>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</si>
  <si>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</si>
  <si>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</si>
  <si>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</si>
  <si>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</si>
  <si>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</si>
  <si>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</si>
  <si>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</si>
  <si>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</si>
  <si>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</si>
  <si>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</si>
  <si>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</si>
  <si>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</si>
  <si>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</si>
  <si>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</si>
  <si>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</si>
  <si>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</si>
  <si>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</si>
  <si>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</si>
  <si>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</si>
  <si>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</si>
  <si>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</si>
  <si>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</si>
  <si>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</si>
  <si>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</si>
  <si>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</si>
  <si>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</si>
  <si>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</si>
  <si>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</si>
  <si>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</si>
  <si>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</si>
  <si>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</si>
  <si>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</si>
  <si>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</si>
  <si>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</si>
  <si>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</si>
  <si>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</si>
  <si>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</si>
  <si>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</si>
  <si>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</si>
  <si>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</si>
  <si>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</si>
  <si>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</si>
  <si>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</si>
  <si>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</si>
  <si>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</si>
  <si>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</si>
  <si>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</si>
  <si>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</si>
  <si>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</si>
  <si>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</si>
  <si>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</si>
  <si>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</si>
  <si>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</si>
  <si>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</si>
  <si>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</si>
  <si>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</si>
  <si>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</si>
  <si>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</si>
  <si>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</si>
  <si>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</si>
  <si>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</si>
  <si>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</si>
  <si>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</si>
  <si>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</si>
  <si>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</si>
  <si>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</si>
  <si>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</si>
  <si>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</si>
  <si>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</si>
  <si>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</si>
  <si>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</si>
  <si>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</si>
  <si>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</si>
  <si>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</si>
  <si>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</si>
  <si>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</si>
  <si>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</si>
  <si>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</si>
  <si>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</si>
  <si>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</si>
  <si>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</si>
  <si>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</si>
  <si>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</si>
  <si>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</si>
  <si>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</si>
  <si>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</si>
  <si>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</si>
  <si>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</si>
  <si>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</si>
  <si>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</si>
  <si>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</si>
  <si>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</si>
  <si>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</si>
  <si>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</si>
  <si>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</si>
  <si>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</si>
  <si>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</si>
  <si>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</si>
  <si>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</si>
  <si>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</si>
  <si>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</si>
  <si>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</si>
  <si>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</si>
  <si>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</si>
  <si>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</si>
  <si>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</si>
  <si>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</si>
  <si>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</si>
  <si>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</si>
  <si>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</si>
  <si>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</si>
  <si>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</si>
  <si>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</si>
  <si>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</si>
  <si>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</si>
  <si>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</si>
  <si>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</si>
  <si>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</si>
  <si>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</si>
  <si>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</si>
  <si>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</si>
  <si>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</si>
  <si>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</si>
  <si>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</si>
  <si>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</si>
  <si>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</si>
  <si>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</si>
  <si>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</si>
  <si>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</si>
  <si>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</si>
  <si>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</si>
  <si>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</si>
  <si>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</si>
  <si>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</si>
  <si>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</si>
  <si>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</si>
  <si>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</si>
  <si>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</si>
  <si>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</si>
  <si>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</si>
  <si>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</si>
  <si>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</si>
  <si>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</si>
  <si>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</si>
  <si>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</si>
  <si>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</si>
  <si>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</si>
  <si>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</si>
  <si>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</si>
  <si>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</si>
  <si>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</si>
  <si>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</si>
  <si>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</si>
  <si>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</si>
  <si>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</si>
  <si>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</si>
  <si>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</si>
  <si>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</si>
  <si>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</si>
  <si>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</si>
  <si>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</si>
  <si>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</si>
  <si>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</si>
  <si>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</si>
  <si>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</si>
  <si>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</si>
  <si>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</si>
  <si>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</si>
  <si>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</si>
  <si>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</si>
  <si>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</si>
  <si>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</si>
  <si>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</si>
  <si>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</si>
  <si>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</si>
  <si>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</si>
  <si>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</si>
  <si>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</si>
  <si>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</si>
  <si>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</si>
  <si>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</si>
  <si>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</si>
  <si>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</si>
  <si>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</si>
  <si>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</si>
  <si>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</si>
  <si>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</si>
  <si>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</si>
  <si>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</si>
  <si>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</si>
  <si>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</si>
  <si>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</si>
  <si>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</si>
  <si>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</si>
  <si>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</si>
  <si>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</si>
  <si>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</si>
  <si>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</si>
  <si>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</si>
  <si>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</si>
  <si>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</si>
  <si>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</si>
  <si>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</si>
  <si>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</si>
  <si>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</si>
  <si>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</si>
  <si>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</si>
  <si>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</si>
  <si>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</si>
  <si>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</si>
  <si>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</si>
  <si>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</si>
  <si>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</si>
  <si>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</si>
  <si>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</si>
  <si>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</si>
  <si>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</si>
  <si>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</si>
  <si>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</si>
  <si>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</si>
  <si>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</si>
  <si>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</si>
  <si>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</si>
  <si>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</si>
  <si>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</si>
  <si>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</si>
  <si>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</si>
  <si>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</si>
  <si>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</si>
  <si>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</si>
  <si>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</si>
  <si>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</si>
  <si>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</si>
  <si>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</si>
  <si>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</si>
  <si>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</si>
  <si>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</si>
  <si>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</si>
  <si>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</si>
  <si>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</si>
  <si>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</si>
  <si>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</si>
  <si>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</si>
  <si>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</si>
  <si>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</si>
  <si>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</si>
  <si>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</si>
  <si>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</si>
  <si>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</si>
  <si>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</si>
  <si>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</si>
  <si>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</si>
  <si>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</si>
  <si>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</si>
  <si>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</si>
  <si>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</si>
  <si>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</si>
  <si>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</si>
  <si>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</si>
  <si>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</si>
  <si>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</si>
  <si>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</si>
  <si>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</si>
  <si>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</si>
  <si>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</si>
  <si>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</si>
  <si>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</si>
  <si>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</si>
  <si>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</si>
  <si>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</si>
  <si>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</si>
  <si>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</si>
  <si>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</si>
  <si>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</si>
  <si>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</si>
  <si>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</si>
  <si>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</si>
  <si>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</si>
  <si>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</si>
  <si>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</si>
  <si>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</si>
  <si>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</si>
  <si>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</si>
  <si>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</si>
  <si>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</si>
  <si>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</si>
  <si>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</si>
  <si>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</si>
  <si>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</si>
  <si>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</si>
  <si>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</si>
  <si>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</si>
  <si>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</si>
  <si>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</si>
  <si>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</si>
  <si>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</si>
  <si>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</si>
  <si>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</si>
  <si>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</si>
  <si>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</si>
  <si>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</si>
  <si>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</si>
  <si>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</si>
  <si>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</si>
  <si>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</si>
  <si>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</si>
  <si>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</si>
  <si>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</si>
  <si>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</si>
  <si>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</si>
  <si>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</si>
  <si>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</si>
  <si>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</si>
  <si>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</si>
  <si>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</si>
  <si>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</si>
  <si>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</si>
  <si>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</si>
  <si>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</si>
  <si>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</si>
  <si>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</si>
  <si>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</si>
  <si>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</si>
  <si>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</si>
  <si>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</si>
  <si>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</si>
  <si>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</si>
  <si>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</si>
  <si>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</si>
  <si>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</si>
  <si>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</si>
  <si>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</si>
  <si>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</si>
  <si>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</si>
  <si>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</si>
  <si>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</si>
  <si>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</si>
  <si>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</si>
  <si>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</si>
  <si>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</si>
  <si>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</si>
  <si>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</si>
  <si>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</si>
  <si>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</si>
  <si>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</si>
  <si>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</si>
  <si>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</si>
  <si>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</si>
  <si>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</si>
  <si>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</si>
  <si>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</si>
  <si>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</si>
  <si>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</si>
  <si>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</si>
  <si>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</si>
  <si>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</si>
  <si>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</si>
  <si>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</si>
  <si>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</si>
  <si>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</si>
  <si>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</si>
  <si>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</si>
  <si>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</si>
  <si>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</si>
  <si>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</si>
  <si>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</si>
  <si>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</si>
  <si>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</si>
  <si>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</si>
  <si>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</si>
  <si>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</si>
  <si>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</si>
  <si>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</si>
  <si>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</si>
  <si>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</si>
  <si>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</si>
  <si>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</si>
  <si>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</si>
  <si>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</si>
  <si>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</si>
  <si>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</si>
  <si>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</si>
  <si>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</si>
  <si>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</si>
  <si>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</si>
  <si>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</si>
  <si>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</si>
  <si>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</si>
  <si>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</si>
  <si>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</si>
  <si>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</si>
  <si>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</si>
  <si>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</si>
  <si>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</si>
  <si>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</si>
  <si>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</si>
  <si>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</si>
  <si>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</si>
  <si>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</si>
  <si>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</si>
  <si>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</si>
  <si>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</si>
  <si>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</si>
  <si>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</si>
  <si>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</si>
  <si>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</si>
  <si>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</si>
  <si>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</si>
  <si>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</si>
  <si>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</si>
  <si>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</si>
  <si>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</si>
  <si>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</si>
  <si>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</si>
  <si>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</si>
  <si>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</si>
  <si>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</si>
  <si>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</si>
  <si>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</si>
  <si>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</si>
  <si>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</si>
  <si>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</si>
  <si>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</si>
  <si>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</si>
  <si>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</si>
  <si>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</si>
  <si>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</si>
  <si>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</si>
  <si>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</si>
  <si>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</si>
  <si>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</si>
  <si>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</si>
  <si>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</si>
  <si>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</si>
  <si>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</si>
  <si>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</si>
  <si>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</si>
  <si>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</si>
  <si>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</si>
  <si>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</si>
  <si>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</si>
  <si>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</si>
  <si>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</si>
  <si>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</si>
  <si>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</si>
  <si>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</si>
  <si>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</si>
  <si>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</si>
  <si>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</si>
  <si>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</si>
  <si>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</si>
  <si>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</si>
  <si>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</si>
  <si>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</si>
  <si>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</si>
  <si>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</si>
  <si>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</si>
  <si>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</si>
  <si>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</si>
  <si>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</si>
  <si>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</si>
  <si>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</si>
  <si>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</si>
  <si>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</si>
  <si>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</si>
  <si>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</si>
  <si>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</si>
  <si>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</si>
  <si>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</si>
  <si>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</si>
  <si>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</si>
  <si>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</si>
  <si>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</si>
  <si>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</si>
  <si>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</si>
  <si>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</si>
  <si>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</si>
  <si>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</si>
  <si>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</si>
  <si>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</si>
  <si>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</si>
  <si>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</si>
  <si>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</si>
  <si>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</si>
  <si>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</si>
  <si>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</si>
  <si>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</si>
  <si>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</si>
  <si>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</si>
  <si>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</si>
  <si>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</si>
  <si>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</si>
  <si>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</si>
  <si>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</si>
  <si>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</si>
  <si>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</si>
  <si>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</si>
  <si>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</si>
  <si>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</si>
  <si>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</si>
  <si>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</si>
  <si>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</si>
  <si>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</si>
  <si>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</si>
  <si>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</si>
  <si>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</si>
  <si>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</si>
  <si>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</si>
  <si>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</si>
  <si>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</si>
  <si>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</si>
  <si>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</si>
  <si>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</si>
  <si>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</si>
  <si>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</si>
  <si>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</si>
  <si>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</si>
  <si>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</si>
  <si>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</si>
  <si>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</si>
  <si>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</si>
  <si>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</si>
  <si>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</si>
  <si>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</si>
  <si>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</si>
  <si>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</si>
  <si>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</si>
  <si>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</si>
  <si>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</si>
  <si>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</si>
  <si>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</si>
  <si>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</si>
  <si>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</si>
  <si>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</si>
  <si>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</si>
  <si>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</si>
  <si>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</si>
  <si>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</si>
  <si>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</si>
  <si>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</si>
  <si>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</si>
  <si>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</si>
  <si>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</si>
  <si>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</si>
  <si>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</si>
  <si>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</si>
  <si>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</si>
  <si>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</si>
  <si>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</si>
  <si>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</si>
  <si>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</si>
  <si>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</si>
  <si>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</si>
  <si>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</si>
  <si>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</si>
  <si>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</si>
  <si>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</si>
  <si>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</si>
  <si>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</si>
  <si>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</si>
  <si>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</si>
  <si>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</si>
  <si>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</si>
  <si>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</si>
  <si>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</si>
  <si>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</si>
  <si>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</si>
  <si>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</si>
  <si>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</si>
  <si>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</si>
  <si>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</si>
  <si>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</si>
  <si>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</si>
  <si>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</si>
  <si>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</si>
  <si>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</si>
  <si>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</si>
  <si>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</si>
  <si>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</si>
  <si>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</si>
  <si>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</si>
  <si>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</si>
  <si>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</si>
  <si>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</si>
  <si>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</si>
  <si>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</si>
  <si>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</si>
  <si>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</si>
  <si>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</si>
  <si>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</si>
  <si>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</si>
  <si>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</si>
  <si>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</si>
  <si>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</si>
  <si>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</si>
  <si>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</si>
  <si>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</si>
  <si>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</si>
  <si>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</si>
  <si>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</si>
  <si>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</si>
  <si>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</si>
  <si>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</si>
  <si>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</si>
  <si>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</si>
  <si>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</si>
  <si>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</si>
  <si>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</si>
  <si>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</si>
  <si>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</si>
  <si>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</si>
  <si>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</si>
  <si>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</si>
  <si>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</si>
  <si>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</si>
  <si>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</si>
  <si>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</si>
  <si>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</si>
  <si>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</si>
  <si>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</si>
  <si>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</si>
  <si>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</si>
  <si>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</si>
  <si>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</si>
  <si>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</si>
  <si>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</si>
  <si>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</si>
  <si>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</si>
  <si>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</si>
  <si>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</si>
  <si>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</si>
  <si>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</si>
  <si>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</si>
  <si>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</si>
  <si>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</si>
  <si>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</si>
  <si>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</si>
  <si>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</si>
  <si>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</si>
  <si>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</si>
  <si>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</si>
  <si>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</si>
  <si>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</si>
  <si>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</si>
  <si>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</si>
  <si>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</si>
  <si>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</si>
  <si>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</si>
  <si>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</si>
  <si>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</si>
  <si>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</si>
  <si>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</si>
  <si>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</si>
  <si>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</si>
  <si>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</si>
  <si>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</si>
  <si>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</si>
  <si>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</si>
  <si>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</si>
  <si>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</si>
  <si>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</si>
  <si>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</si>
  <si>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</si>
  <si>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</si>
  <si>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</si>
  <si>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</si>
  <si>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</si>
  <si>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</si>
  <si>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</si>
  <si>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</si>
  <si>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</si>
  <si>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</si>
  <si>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</si>
  <si>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</si>
  <si>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</si>
  <si>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</si>
  <si>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</si>
  <si>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</si>
  <si>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</si>
  <si>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</si>
  <si>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</si>
  <si>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</si>
  <si>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</si>
  <si>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</si>
  <si>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</si>
  <si>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</si>
  <si>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</si>
  <si>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</si>
  <si>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</si>
  <si>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</si>
  <si>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</si>
  <si>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</si>
  <si>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</si>
  <si>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</si>
  <si>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</si>
  <si>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</si>
  <si>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</si>
  <si>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</si>
  <si>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</si>
  <si>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</si>
  <si>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</si>
  <si>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</si>
  <si>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</si>
  <si>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</si>
  <si>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</si>
  <si>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</si>
  <si>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</si>
  <si>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</si>
  <si>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</si>
  <si>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</si>
  <si>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</si>
  <si>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</si>
  <si>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</si>
  <si>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</si>
  <si>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</si>
  <si>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</si>
  <si>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</si>
  <si>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</si>
  <si>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</si>
  <si>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</si>
  <si>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</si>
  <si>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</si>
  <si>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</si>
  <si>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</si>
  <si>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</si>
  <si>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</si>
  <si>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</si>
  <si>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</si>
  <si>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</si>
  <si>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</si>
  <si>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</si>
  <si>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</si>
  <si>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</si>
  <si>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</si>
  <si>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</si>
  <si>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</si>
  <si>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</si>
  <si>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</si>
  <si>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</si>
  <si>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</si>
  <si>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</si>
  <si>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</si>
  <si>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</si>
  <si>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</si>
  <si>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</si>
  <si>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</si>
  <si>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</si>
  <si>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</si>
  <si>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</si>
  <si>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</si>
  <si>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</si>
  <si>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</si>
  <si>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</si>
  <si>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</si>
  <si>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</si>
  <si>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</si>
  <si>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</si>
  <si>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</si>
  <si>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</si>
  <si>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</si>
  <si>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</si>
  <si>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</si>
  <si>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</si>
  <si>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</si>
  <si>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</si>
  <si>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</si>
  <si>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</si>
  <si>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</si>
  <si>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</si>
  <si>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</si>
  <si>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</si>
  <si>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</si>
  <si>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</si>
  <si>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</si>
  <si>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</si>
  <si>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</si>
  <si>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</si>
  <si>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</si>
  <si>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</si>
  <si>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</si>
  <si>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</si>
  <si>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</si>
  <si>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</si>
  <si>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</si>
  <si>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</si>
  <si>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</si>
  <si>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</si>
  <si>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</si>
  <si>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</si>
  <si>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</si>
  <si>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</si>
  <si>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</si>
  <si>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</si>
  <si>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</si>
  <si>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</si>
  <si>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</si>
  <si>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</si>
  <si>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</si>
  <si>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</si>
  <si>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</si>
  <si>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</si>
  <si>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</si>
  <si>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</si>
  <si>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</si>
  <si>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</si>
  <si>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</si>
  <si>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</si>
  <si>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</si>
  <si>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</si>
  <si>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</si>
  <si>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</si>
  <si>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</si>
  <si>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</si>
  <si>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</si>
  <si>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</si>
  <si>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</si>
  <si>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</si>
  <si>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</si>
  <si>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</si>
  <si>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</si>
  <si>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</si>
  <si>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</si>
  <si>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</si>
  <si>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</si>
  <si>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</si>
  <si>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</si>
  <si>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</si>
  <si>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</si>
  <si>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</si>
  <si>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</si>
  <si>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</si>
  <si>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</si>
  <si>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</si>
  <si>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</si>
  <si>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</si>
  <si>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</si>
  <si>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</si>
  <si>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</si>
  <si>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</si>
  <si>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</si>
  <si>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</si>
  <si>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</si>
  <si>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</si>
  <si>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</si>
  <si>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</si>
  <si>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</si>
  <si>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</si>
  <si>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</si>
  <si>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</si>
  <si>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</si>
  <si>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</si>
  <si>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</si>
  <si>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</si>
  <si>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</si>
  <si>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</si>
  <si>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</si>
  <si>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</si>
  <si>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</si>
  <si>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</si>
  <si>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</si>
  <si>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</si>
  <si>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</si>
  <si>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</si>
  <si>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</si>
  <si>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</si>
  <si>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</si>
  <si>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</si>
  <si>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</si>
  <si>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</si>
  <si>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</si>
  <si>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</si>
  <si>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</si>
  <si>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</si>
  <si>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</si>
  <si>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</si>
  <si>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</si>
  <si>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</si>
  <si>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</si>
  <si>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</si>
  <si>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</si>
  <si>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</si>
  <si>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</si>
  <si>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</si>
  <si>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</si>
  <si>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</si>
  <si>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</si>
  <si>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</si>
  <si>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</si>
  <si>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</si>
  <si>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</si>
  <si>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</si>
  <si>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</si>
  <si>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</si>
  <si>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</si>
  <si>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</si>
  <si>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</si>
  <si>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</si>
  <si>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</si>
  <si>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</si>
  <si>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</si>
  <si>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</si>
  <si>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</si>
  <si>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</si>
  <si>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</si>
  <si>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</si>
  <si>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</si>
  <si>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</si>
  <si>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</si>
  <si>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</si>
  <si>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</si>
  <si>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</si>
  <si>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</si>
  <si>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</si>
  <si>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</si>
  <si>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</si>
  <si>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</si>
  <si>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</si>
  <si>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</si>
  <si>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</si>
  <si>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</si>
  <si>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</si>
  <si>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</si>
  <si>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</si>
  <si>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</si>
  <si>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</si>
  <si>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</si>
  <si>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</si>
  <si>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</si>
  <si>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</si>
  <si>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</si>
  <si>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</si>
  <si>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</si>
  <si>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</si>
  <si>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</si>
  <si>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</si>
  <si>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</si>
  <si>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</si>
  <si>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</si>
  <si>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</si>
  <si>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</si>
  <si>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</si>
  <si>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</si>
  <si>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</si>
  <si>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</si>
  <si>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</si>
  <si>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</si>
  <si>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</si>
  <si>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</si>
  <si>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</si>
  <si>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</si>
  <si>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</si>
  <si>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</si>
  <si>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</si>
  <si>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</si>
  <si>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</si>
  <si>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</si>
  <si>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</si>
  <si>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</si>
  <si>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</si>
  <si>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</si>
  <si>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</si>
  <si>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</si>
  <si>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</si>
  <si>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</si>
  <si>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</si>
  <si>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</si>
  <si>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</si>
  <si>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</si>
  <si>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</si>
  <si>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</si>
  <si>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</si>
  <si>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</si>
  <si>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</si>
  <si>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</si>
  <si>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</si>
  <si>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</si>
  <si>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</si>
  <si>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</si>
  <si>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</si>
  <si>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</si>
  <si>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</si>
  <si>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</si>
  <si>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</si>
  <si>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</si>
  <si>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</si>
  <si>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</si>
  <si>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</si>
  <si>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</si>
  <si>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</si>
  <si>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</si>
  <si>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</si>
  <si>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</si>
  <si>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</si>
  <si>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</si>
  <si>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</si>
  <si>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</si>
  <si>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</si>
  <si>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</si>
  <si>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</si>
  <si>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</si>
  <si>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</si>
  <si>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</si>
  <si>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</si>
  <si>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</si>
  <si>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</si>
  <si>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</si>
  <si>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</si>
  <si>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</si>
  <si>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</si>
  <si>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</si>
  <si>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</si>
  <si>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</si>
  <si>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</si>
  <si>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</si>
  <si>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</si>
  <si>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</si>
  <si>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</si>
  <si>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</si>
  <si>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</si>
  <si>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</si>
  <si>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</si>
  <si>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</si>
  <si>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</si>
  <si>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</si>
  <si>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</si>
  <si>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</si>
  <si>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</si>
  <si>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</si>
  <si>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</si>
  <si>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</si>
  <si>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</si>
  <si>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</si>
  <si>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</si>
  <si>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</si>
  <si>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</si>
  <si>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</si>
  <si>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</si>
  <si>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</si>
  <si>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</si>
  <si>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</si>
  <si>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</si>
  <si>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</si>
  <si>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</si>
  <si>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</si>
  <si>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</si>
  <si>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</si>
  <si>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</si>
  <si>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</si>
  <si>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</si>
  <si>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</si>
  <si>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</si>
  <si>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</si>
  <si>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</si>
  <si>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</si>
  <si>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</si>
  <si>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</si>
  <si>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</si>
  <si>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</si>
  <si>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</si>
  <si>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</si>
  <si>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</si>
  <si>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</si>
  <si>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</si>
  <si>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</si>
  <si>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</si>
  <si>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</si>
  <si>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</si>
  <si>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</si>
  <si>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</si>
  <si>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</si>
  <si>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</si>
  <si>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</si>
  <si>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</si>
  <si>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</si>
  <si>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</si>
  <si>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</si>
  <si>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</si>
  <si>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</si>
  <si>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</si>
  <si>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</si>
  <si>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</si>
  <si>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</si>
  <si>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</si>
  <si>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</si>
  <si>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</si>
  <si>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</si>
  <si>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</si>
  <si>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</si>
  <si>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</si>
  <si>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</si>
  <si>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</si>
  <si>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</si>
  <si>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</si>
  <si>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</si>
  <si>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</si>
  <si>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</si>
  <si>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</si>
  <si>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</si>
  <si>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</si>
  <si>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</si>
  <si>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</si>
  <si>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</si>
  <si>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</si>
  <si>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</si>
  <si>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</si>
  <si>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</si>
  <si>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</si>
  <si>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</si>
  <si>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</si>
  <si>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</si>
  <si>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</si>
  <si>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</si>
  <si>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</si>
  <si>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</si>
  <si>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</si>
  <si>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</si>
  <si>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</si>
  <si>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</si>
  <si>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</si>
  <si>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</si>
  <si>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</si>
  <si>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</si>
  <si>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</si>
  <si>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</si>
  <si>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</si>
  <si>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</si>
  <si>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</si>
  <si>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</si>
  <si>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</si>
  <si>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</si>
  <si>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</si>
  <si>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</si>
  <si>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</si>
  <si>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</si>
  <si>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</si>
  <si>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</si>
  <si>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</si>
  <si>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</si>
  <si>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</si>
  <si>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</si>
  <si>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</si>
  <si>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</si>
  <si>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</si>
  <si>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</si>
  <si>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</si>
  <si>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</si>
  <si>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</si>
  <si>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</si>
  <si>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</si>
  <si>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</si>
  <si>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</si>
  <si>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</si>
  <si>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</si>
  <si>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</si>
  <si>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</si>
  <si>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</si>
  <si>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</si>
  <si>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</si>
  <si>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</si>
  <si>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</si>
  <si>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</si>
  <si>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</si>
  <si>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</si>
  <si>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</si>
  <si>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</si>
  <si>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</si>
  <si>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</si>
  <si>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</si>
  <si>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</si>
  <si>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</si>
  <si>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</si>
  <si>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</si>
  <si>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</si>
  <si>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</si>
  <si>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</si>
  <si>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</si>
  <si>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</si>
  <si>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</si>
  <si>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</si>
  <si>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</si>
  <si>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</si>
  <si>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</si>
  <si>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</si>
  <si>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</si>
  <si>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</si>
  <si>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</si>
  <si>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</si>
  <si>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</si>
  <si>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</si>
  <si>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</si>
  <si>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</si>
  <si>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</si>
  <si>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</si>
  <si>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</si>
  <si>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</si>
  <si>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</si>
  <si>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</si>
  <si>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</si>
  <si>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</si>
  <si>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</si>
  <si>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</si>
  <si>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</si>
  <si>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</si>
  <si>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</si>
  <si>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</si>
  <si>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</si>
  <si>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</si>
  <si>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</si>
  <si>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</si>
  <si>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</si>
  <si>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</si>
  <si>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</si>
  <si>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</si>
  <si>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</si>
  <si>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</si>
  <si>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</si>
  <si>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</si>
  <si>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</si>
  <si>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</si>
  <si>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</si>
  <si>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</si>
  <si>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</si>
  <si>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</si>
  <si>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</si>
  <si>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</si>
  <si>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</si>
  <si>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</si>
  <si>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</si>
  <si>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</si>
  <si>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</si>
  <si>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</si>
  <si>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</si>
  <si>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</si>
  <si>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</si>
  <si>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</si>
  <si>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</si>
  <si>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</si>
  <si>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</si>
  <si>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</si>
  <si>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</si>
  <si>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</si>
  <si>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</si>
  <si>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</si>
  <si>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</si>
  <si>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</si>
  <si>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</si>
  <si>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</si>
  <si>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</si>
  <si>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</si>
  <si>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</si>
  <si>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</si>
  <si>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</si>
  <si>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</si>
  <si>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</si>
  <si>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</si>
  <si>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</si>
  <si>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</si>
  <si>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</si>
  <si>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</si>
  <si>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</si>
  <si>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</si>
  <si>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</si>
  <si>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</si>
  <si>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</si>
  <si>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</si>
  <si>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</si>
  <si>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</si>
  <si>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</si>
  <si>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</si>
  <si>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</si>
  <si>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</si>
  <si>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</si>
  <si>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</si>
  <si>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</si>
  <si>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</si>
  <si>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</si>
  <si>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</si>
  <si>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</si>
  <si>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</si>
  <si>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</si>
  <si>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</si>
  <si>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</si>
  <si>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</si>
  <si>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</si>
  <si>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</si>
  <si>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</si>
  <si>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</si>
  <si>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</si>
  <si>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</si>
  <si>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</si>
  <si>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</si>
  <si>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</si>
  <si>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</si>
  <si>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</si>
  <si>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</si>
  <si>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</si>
  <si>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</si>
  <si>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</si>
  <si>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</si>
  <si>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</si>
  <si>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</si>
  <si>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</si>
  <si>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</si>
  <si>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</si>
  <si>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</si>
  <si>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</si>
  <si>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</si>
  <si>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</si>
  <si>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</si>
  <si>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</si>
  <si>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</si>
  <si>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</si>
  <si>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</si>
  <si>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</si>
  <si>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</si>
  <si>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</si>
  <si>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</si>
  <si>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</si>
  <si>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</si>
  <si>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</si>
  <si>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</si>
  <si>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</si>
  <si>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</si>
  <si>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</si>
  <si>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</si>
  <si>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</si>
  <si>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</si>
  <si>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</si>
  <si>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</si>
  <si>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</si>
  <si>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</si>
  <si>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</si>
  <si>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</si>
  <si>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</si>
  <si>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</si>
  <si>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</si>
  <si>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</si>
  <si>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</si>
  <si>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</si>
  <si>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</si>
  <si>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</si>
  <si>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</si>
  <si>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</si>
  <si>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</si>
  <si>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</si>
  <si>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</si>
  <si>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</si>
  <si>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</si>
  <si>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</si>
  <si>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</si>
  <si>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</si>
  <si>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</si>
  <si>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</si>
  <si>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</si>
  <si>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</si>
  <si>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</si>
  <si>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</si>
  <si>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</si>
  <si>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</si>
  <si>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</si>
  <si>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</si>
  <si>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</si>
  <si>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</si>
  <si>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</si>
  <si>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</si>
  <si>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</si>
  <si>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</si>
  <si>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</si>
  <si>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</si>
  <si>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</si>
  <si>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</si>
  <si>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</si>
  <si>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</si>
  <si>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</si>
  <si>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</si>
  <si>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</si>
  <si>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</si>
  <si>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</si>
  <si>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</si>
  <si>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</si>
  <si>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</si>
  <si>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</si>
  <si>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</si>
  <si>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</si>
  <si>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</si>
  <si>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</si>
  <si>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</si>
  <si>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</si>
  <si>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</si>
  <si>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</si>
  <si>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</si>
  <si>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</si>
  <si>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</si>
  <si>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</si>
  <si>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</si>
  <si>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</si>
  <si>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</si>
  <si>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</si>
  <si>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</si>
  <si>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</si>
  <si>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</si>
  <si>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</si>
  <si>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</si>
  <si>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</si>
  <si>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</si>
  <si>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</si>
  <si>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</si>
  <si>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</si>
  <si>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</si>
  <si>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</si>
  <si>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</si>
  <si>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</si>
  <si>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</si>
  <si>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</si>
  <si>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</si>
  <si>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</si>
  <si>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</si>
  <si>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</si>
  <si>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</si>
  <si>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</si>
  <si>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</si>
  <si>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</si>
  <si>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</si>
  <si>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</si>
  <si>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</si>
  <si>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</si>
  <si>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</si>
  <si>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</si>
  <si>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</si>
  <si>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</si>
  <si>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</si>
  <si>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</si>
  <si>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</si>
  <si>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</si>
  <si>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</si>
  <si>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</si>
  <si>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</si>
  <si>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</si>
  <si>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</si>
  <si>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</si>
  <si>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</si>
  <si>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</si>
  <si>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</si>
  <si>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</si>
  <si>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</si>
  <si>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</si>
  <si>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</si>
  <si>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</si>
  <si>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</si>
  <si>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</si>
  <si>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</si>
  <si>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</si>
  <si>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</si>
  <si>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</si>
  <si>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</si>
  <si>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</si>
  <si>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</si>
  <si>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</si>
  <si>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</si>
  <si>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</si>
  <si>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</si>
  <si>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</si>
  <si>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</si>
  <si>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</si>
  <si>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</si>
  <si>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</si>
  <si>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</si>
  <si>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</si>
  <si>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</si>
  <si>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</si>
  <si>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</si>
  <si>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</si>
  <si>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</si>
  <si>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</si>
  <si>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</si>
  <si>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</si>
  <si>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</si>
  <si>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</si>
  <si>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</si>
  <si>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</si>
  <si>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</si>
  <si>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</si>
  <si>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</si>
  <si>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</si>
  <si>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</si>
  <si>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</si>
  <si>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</si>
  <si>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</si>
  <si>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</si>
  <si>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</si>
  <si>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</si>
  <si>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</si>
  <si>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</si>
  <si>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</si>
  <si>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</si>
  <si>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</si>
  <si>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</si>
  <si>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</si>
  <si>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</si>
  <si>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</si>
  <si>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</si>
  <si>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</si>
  <si>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</si>
  <si>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</si>
  <si>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</si>
  <si>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</si>
  <si>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</si>
  <si>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</si>
  <si>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</si>
  <si>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</si>
  <si>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</si>
  <si>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</si>
  <si>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</si>
  <si>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</si>
  <si>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</si>
  <si>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</si>
  <si>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</si>
  <si>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</si>
  <si>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</si>
  <si>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</si>
  <si>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</si>
  <si>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</si>
  <si>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</si>
  <si>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</si>
  <si>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</si>
  <si>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</si>
  <si>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</si>
  <si>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</si>
  <si>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</si>
  <si>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</si>
  <si>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</si>
  <si>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</si>
  <si>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</si>
  <si>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</si>
  <si>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</si>
  <si>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</si>
  <si>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</si>
  <si>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</si>
  <si>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</si>
  <si>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</si>
  <si>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</si>
  <si>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</si>
  <si>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</si>
  <si>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</si>
  <si>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</si>
  <si>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</si>
  <si>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</si>
  <si>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</si>
  <si>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</si>
  <si>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</si>
  <si>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</si>
  <si>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</si>
  <si>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</si>
  <si>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</si>
  <si>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</si>
  <si>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</si>
  <si>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</si>
  <si>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</si>
  <si>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</si>
  <si>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</si>
  <si>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</si>
  <si>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</si>
  <si>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</si>
  <si>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</si>
  <si>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</si>
  <si>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</si>
  <si>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</si>
  <si>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</si>
  <si>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</si>
  <si>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</si>
  <si>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</si>
  <si>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</si>
  <si>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</si>
  <si>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</si>
  <si>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</si>
  <si>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</si>
  <si>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</si>
  <si>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</si>
  <si>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</si>
  <si>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</si>
  <si>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</si>
  <si>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</si>
  <si>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</si>
  <si>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</si>
  <si>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</si>
  <si>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</si>
  <si>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</si>
  <si>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</si>
  <si>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</si>
  <si>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</si>
  <si>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</si>
  <si>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</si>
  <si>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</si>
  <si>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</si>
  <si>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</si>
  <si>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</si>
  <si>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</si>
  <si>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</si>
  <si>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</si>
  <si>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</si>
  <si>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</si>
  <si>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</si>
  <si>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</si>
  <si>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</si>
  <si>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</si>
  <si>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</si>
  <si>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</si>
  <si>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</si>
  <si>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</si>
  <si>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</si>
  <si>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</si>
  <si>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</si>
  <si>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</si>
  <si>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</si>
  <si>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</si>
  <si>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</si>
  <si>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</si>
  <si>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</si>
  <si>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</si>
  <si>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</si>
  <si>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</si>
  <si>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</si>
  <si>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</si>
  <si>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</si>
  <si>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</si>
  <si>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</si>
  <si>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</si>
  <si>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</si>
  <si>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</si>
  <si>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</si>
  <si>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</si>
  <si>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</si>
  <si>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</si>
  <si>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</si>
  <si>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</si>
  <si>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</si>
  <si>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</si>
  <si>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</si>
  <si>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</si>
  <si>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</si>
  <si>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</si>
  <si>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</si>
  <si>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</si>
  <si>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</si>
  <si>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</si>
  <si>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</si>
  <si>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</si>
  <si>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</si>
  <si>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</si>
  <si>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</si>
  <si>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</si>
  <si>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</si>
  <si>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</si>
  <si>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</si>
  <si>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</si>
  <si>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</si>
  <si>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</si>
  <si>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</si>
  <si>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</si>
  <si>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</si>
  <si>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</si>
  <si>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</si>
  <si>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</si>
  <si>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</si>
  <si>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</si>
  <si>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</si>
  <si>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</si>
  <si>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</si>
  <si>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</si>
  <si>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</si>
  <si>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</si>
  <si>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</si>
  <si>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</si>
  <si>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</si>
  <si>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</si>
  <si>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</si>
  <si>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</si>
  <si>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</si>
  <si>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</si>
  <si>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</si>
  <si>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</si>
  <si>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</si>
  <si>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</si>
  <si>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</si>
  <si>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</si>
  <si>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</si>
  <si>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</si>
  <si>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</si>
  <si>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</si>
  <si>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</si>
  <si>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</si>
  <si>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</si>
  <si>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</si>
  <si>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</si>
  <si>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</si>
  <si>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</si>
  <si>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</si>
  <si>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</si>
  <si>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</si>
  <si>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</si>
  <si>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</si>
  <si>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</si>
  <si>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</si>
  <si>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</si>
  <si>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</si>
  <si>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</si>
  <si>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</si>
  <si>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</si>
  <si>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</si>
  <si>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</si>
  <si>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</si>
  <si>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</si>
  <si>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</si>
  <si>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</si>
  <si>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</si>
  <si>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</si>
  <si>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</si>
  <si>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</si>
  <si>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</si>
  <si>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</si>
  <si>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</si>
  <si>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</si>
  <si>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</si>
  <si>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</si>
  <si>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</si>
  <si>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</si>
  <si>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</si>
  <si>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</si>
  <si>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</si>
  <si>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</si>
  <si>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</si>
  <si>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</si>
  <si>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</si>
  <si>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</si>
  <si>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</si>
  <si>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</si>
  <si>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</si>
  <si>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</si>
  <si>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</si>
  <si>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</si>
  <si>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</si>
  <si>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</si>
  <si>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</si>
  <si>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</si>
  <si>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</si>
  <si>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</si>
  <si>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</si>
  <si>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</si>
  <si>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</si>
  <si>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</si>
  <si>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</si>
  <si>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</si>
  <si>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</si>
  <si>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</si>
  <si>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</si>
  <si>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</si>
  <si>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</si>
  <si>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</si>
  <si>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</si>
  <si>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</si>
  <si>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</si>
  <si>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</si>
  <si>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</si>
  <si>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</si>
  <si>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</si>
  <si>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</si>
  <si>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</si>
  <si>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</si>
  <si>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</si>
  <si>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</si>
  <si>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</si>
  <si>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</si>
  <si>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</si>
  <si>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</si>
  <si>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</si>
  <si>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</si>
  <si>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</si>
  <si>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</si>
  <si>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</si>
  <si>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</si>
  <si>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</si>
  <si>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</si>
  <si>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</si>
  <si>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</si>
  <si>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</si>
  <si>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</si>
  <si>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</si>
  <si>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</si>
  <si>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</si>
  <si>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</si>
  <si>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</si>
  <si>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</si>
  <si>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</si>
  <si>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</si>
  <si>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</si>
  <si>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</si>
  <si>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</si>
  <si>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</si>
  <si>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</si>
  <si>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</si>
  <si>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</si>
  <si>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</si>
  <si>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</si>
  <si>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</si>
  <si>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</si>
  <si>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</si>
  <si>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</si>
  <si>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</si>
  <si>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</si>
  <si>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</si>
  <si>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</si>
  <si>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</si>
  <si>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</si>
  <si>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</si>
  <si>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</si>
  <si>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</si>
  <si>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</si>
  <si>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</si>
  <si>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</si>
  <si>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</si>
  <si>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</si>
  <si>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</si>
  <si>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</si>
  <si>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</si>
  <si>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</si>
  <si>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</si>
  <si>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</si>
  <si>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</si>
  <si>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</si>
  <si>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</si>
  <si>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</si>
  <si>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</si>
  <si>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</si>
  <si>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</si>
  <si>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</si>
  <si>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</si>
  <si>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</si>
  <si>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</si>
  <si>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</si>
  <si>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</si>
  <si>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</si>
  <si>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</si>
  <si>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</si>
  <si>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</si>
  <si>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</si>
  <si>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</si>
  <si>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</si>
  <si>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</si>
  <si>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</si>
  <si>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</si>
  <si>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</si>
  <si>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</si>
  <si>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</si>
  <si>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</si>
  <si>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</si>
  <si>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</si>
  <si>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</si>
  <si>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</si>
  <si>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</si>
  <si>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</si>
  <si>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</si>
  <si>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</si>
  <si>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</si>
  <si>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</si>
  <si>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</si>
  <si>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</si>
  <si>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</si>
  <si>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</si>
  <si>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</si>
  <si>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</si>
  <si>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</si>
  <si>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</si>
  <si>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</si>
  <si>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</si>
  <si>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</si>
  <si>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</si>
  <si>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</si>
  <si>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</si>
  <si>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</si>
  <si>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</si>
  <si>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</si>
  <si>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</si>
  <si>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</si>
  <si>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</si>
  <si>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</si>
  <si>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</si>
  <si>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</si>
  <si>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</si>
  <si>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</si>
  <si>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</si>
  <si>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</si>
  <si>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</si>
  <si>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</si>
  <si>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</si>
  <si>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</si>
  <si>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</si>
  <si>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</si>
  <si>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</si>
  <si>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</si>
  <si>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</si>
  <si>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</si>
  <si>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</si>
  <si>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</si>
  <si>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</si>
  <si>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</si>
  <si>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</si>
  <si>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</si>
  <si>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</si>
  <si>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</si>
  <si>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</si>
  <si>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</si>
  <si>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</si>
  <si>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</si>
  <si>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</si>
  <si>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</si>
  <si>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</si>
  <si>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</si>
  <si>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</si>
  <si>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</si>
  <si>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</si>
  <si>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</si>
  <si>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</si>
  <si>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</si>
  <si>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</si>
  <si>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</si>
  <si>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</si>
  <si>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</si>
  <si>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</si>
  <si>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</si>
  <si>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</si>
  <si>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</si>
  <si>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</si>
  <si>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</si>
  <si>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</si>
  <si>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</si>
  <si>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</si>
  <si>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</si>
  <si>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</si>
  <si>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</si>
  <si>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</si>
  <si>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</si>
  <si>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</si>
  <si>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</si>
  <si>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</si>
  <si>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</si>
  <si>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</si>
  <si>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</si>
  <si>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</si>
  <si>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</si>
  <si>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</si>
  <si>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</si>
  <si>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</si>
  <si>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</si>
  <si>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</si>
  <si>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</si>
  <si>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</si>
  <si>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</si>
  <si>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</si>
  <si>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</si>
  <si>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</si>
  <si>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</si>
  <si>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</si>
  <si>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</si>
  <si>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</si>
  <si>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</si>
  <si>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</si>
  <si>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</si>
  <si>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</si>
  <si>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</si>
  <si>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</si>
  <si>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</si>
  <si>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</si>
  <si>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</si>
  <si>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</si>
  <si>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</si>
  <si>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</si>
  <si>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</si>
  <si>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</si>
  <si>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</si>
  <si>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</si>
  <si>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</si>
  <si>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</si>
  <si>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</si>
  <si>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</si>
  <si>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</si>
  <si>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</si>
  <si>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</si>
  <si>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</si>
  <si>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</si>
  <si>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</si>
  <si>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</si>
  <si>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</si>
  <si>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</si>
  <si>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</si>
  <si>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</si>
  <si>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</si>
  <si>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</si>
  <si>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</si>
  <si>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</si>
  <si>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</si>
  <si>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</si>
  <si>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</si>
  <si>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</si>
  <si>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</si>
  <si>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</si>
  <si>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</si>
  <si>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</si>
  <si>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</si>
  <si>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</si>
  <si>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</si>
  <si>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</si>
  <si>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</si>
  <si>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</si>
  <si>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</si>
  <si>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</si>
  <si>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</si>
  <si>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</si>
  <si>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</si>
  <si>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</si>
  <si>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</si>
  <si>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</si>
  <si>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</si>
  <si>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</si>
  <si>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</si>
  <si>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</si>
  <si>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</si>
  <si>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</si>
  <si>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</si>
  <si>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</si>
  <si>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</si>
  <si>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</si>
  <si>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</si>
  <si>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</si>
  <si>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</si>
  <si>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</si>
  <si>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</si>
  <si>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</si>
  <si>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</si>
  <si>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</si>
  <si>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</si>
  <si>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</si>
  <si>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</si>
  <si>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</si>
  <si>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</si>
  <si>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</si>
  <si>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</si>
  <si>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</si>
  <si>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</si>
  <si>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</si>
  <si>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</si>
  <si>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</si>
  <si>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</si>
  <si>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</si>
  <si>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</si>
  <si>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</si>
  <si>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</si>
  <si>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</si>
  <si>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</si>
  <si>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</si>
  <si>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</si>
  <si>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</si>
  <si>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</si>
  <si>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</si>
  <si>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</si>
  <si>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</si>
  <si>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</si>
  <si>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</si>
  <si>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</si>
  <si>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</si>
  <si>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</si>
  <si>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</si>
  <si>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</si>
  <si>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</si>
  <si>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</si>
  <si>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</si>
  <si>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</si>
  <si>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</si>
  <si>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</si>
  <si>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</si>
  <si>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</si>
  <si>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</si>
  <si>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</si>
  <si>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</si>
  <si>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</si>
  <si>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</si>
  <si>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</si>
  <si>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</si>
  <si>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</si>
  <si>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</si>
  <si>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</si>
  <si>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</si>
  <si>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</si>
  <si>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</si>
  <si>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</si>
  <si>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</si>
  <si>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</si>
  <si>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</si>
  <si>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</si>
  <si>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</si>
  <si>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</si>
  <si>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</si>
  <si>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</si>
  <si>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</si>
  <si>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</si>
  <si>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</si>
  <si>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</si>
  <si>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</si>
  <si>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</si>
  <si>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</si>
  <si>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</si>
  <si>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</si>
  <si>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</si>
  <si>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</si>
  <si>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</si>
  <si>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</si>
  <si>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</si>
  <si>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</si>
  <si>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</si>
  <si>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</si>
  <si>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</si>
  <si>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</si>
  <si>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</si>
  <si>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</si>
  <si>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</si>
  <si>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</si>
  <si>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</si>
  <si>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</si>
  <si>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</si>
  <si>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</si>
  <si>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</si>
  <si>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</si>
  <si>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</si>
  <si>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</si>
  <si>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</si>
  <si>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</si>
  <si>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</si>
  <si>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</si>
  <si>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</si>
  <si>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</si>
  <si>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Julia Merz</t>
  </si>
  <si>
    <t>0218384821</t>
  </si>
  <si>
    <t>08172737128</t>
  </si>
  <si>
    <t>0;0</t>
  </si>
  <si>
    <t>Yamaha K-Series;10x20 Puri Indah</t>
  </si>
  <si>
    <t>SURYA</t>
  </si>
  <si>
    <t>FT LO</t>
  </si>
  <si>
    <t>FT BOTOL</t>
  </si>
  <si>
    <t>FT 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</si>
</sst>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7">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G13" t="str">
            <v>app2</v>
          </cell>
          <cell r="AI13" t="str">
            <v>app4</v>
          </cell>
          <cell r="AJ13" t="str">
            <v>app5</v>
          </cell>
          <cell r="AK13" t="str">
            <v>app6</v>
          </cell>
          <cell r="AL13" t="str">
            <v>app7</v>
          </cell>
          <cell r="AQ13" t="str">
            <v>app2</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yuzi@gmail.com" TargetMode="External"/><Relationship Id="rId3" Type="http://schemas.openxmlformats.org/officeDocument/2006/relationships/hyperlink" Target="mailto:yuzi@gmail.com" TargetMode="External"/><Relationship Id="rId7"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hyperlink" Target="mailto:yuzi@gmail.com" TargetMode="External"/><Relationship Id="rId5" Type="http://schemas.openxmlformats.org/officeDocument/2006/relationships/hyperlink" Target="mailto:yuzi@gmail.com" TargetMode="External"/><Relationship Id="rId10" Type="http://schemas.openxmlformats.org/officeDocument/2006/relationships/printerSettings" Target="../printerSettings/printerSettings3.bin"/><Relationship Id="rId4" Type="http://schemas.openxmlformats.org/officeDocument/2006/relationships/hyperlink" Target="mailto:yuzi@gmail.com" TargetMode="External"/><Relationship Id="rId9"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0"/>
  <sheetViews>
    <sheetView tabSelected="1" topLeftCell="A10" workbookViewId="0">
      <selection activeCell="K14" sqref="K14"/>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2" s="1" customFormat="1" x14ac:dyDescent="0.25">
      <c r="A1" s="1" t="s">
        <v>12</v>
      </c>
      <c r="B1" t="s">
        <v>3283</v>
      </c>
      <c r="C1" s="1" t="s">
        <v>3283</v>
      </c>
      <c r="D1" s="1" t="s">
        <v>3283</v>
      </c>
      <c r="E1" s="1" t="s">
        <v>3283</v>
      </c>
      <c r="F1" s="1" t="s">
        <v>3283</v>
      </c>
      <c r="H1" s="1" t="s">
        <v>3283</v>
      </c>
      <c r="I1" s="1" t="s">
        <v>3283</v>
      </c>
      <c r="J1" s="1" t="s">
        <v>3283</v>
      </c>
    </row>
    <row r="2" spans="1:12" s="1" customFormat="1" x14ac:dyDescent="0.25">
      <c r="A2" s="1" t="s">
        <v>4146</v>
      </c>
      <c r="B2" s="1" t="s">
        <v>4249</v>
      </c>
      <c r="C2" s="1" t="s">
        <v>4249</v>
      </c>
      <c r="D2" s="1" t="s">
        <v>4249</v>
      </c>
      <c r="E2" s="1" t="s">
        <v>4249</v>
      </c>
      <c r="F2" s="1" t="s">
        <v>4249</v>
      </c>
      <c r="H2" s="1" t="s">
        <v>4249</v>
      </c>
      <c r="I2" s="1" t="s">
        <v>4249</v>
      </c>
      <c r="J2" s="1" t="s">
        <v>4249</v>
      </c>
    </row>
    <row r="3" spans="1:12" s="1" customFormat="1" x14ac:dyDescent="0.25">
      <c r="A3" s="1" t="s">
        <v>4147</v>
      </c>
      <c r="B3" t="s">
        <v>4148</v>
      </c>
    </row>
    <row r="4" spans="1:12" s="1" customFormat="1" x14ac:dyDescent="0.25">
      <c r="A4" s="1" t="s">
        <v>4156</v>
      </c>
      <c r="B4" s="1">
        <f>COUNTIFS($A$14:$A$29, "*$*",B14:B29,"")+IF(B19="Yes",COUNTIFS($A$30, "*$*",B30,""),0)</f>
        <v>2</v>
      </c>
      <c r="C4" s="1">
        <f t="shared" ref="C4:J4" si="0">COUNTIFS($A$14:$A$29, "*$*",C14:C29,"")+IF(C19="Yes",COUNTIFS($A$30, "*$*",C30,""),0)</f>
        <v>2</v>
      </c>
      <c r="D4" s="1">
        <f t="shared" si="0"/>
        <v>2</v>
      </c>
      <c r="E4" s="1">
        <f t="shared" si="0"/>
        <v>2</v>
      </c>
      <c r="F4" s="1">
        <f t="shared" si="0"/>
        <v>2</v>
      </c>
      <c r="H4" s="1">
        <f t="shared" si="0"/>
        <v>2</v>
      </c>
      <c r="I4" s="1">
        <f t="shared" si="0"/>
        <v>2</v>
      </c>
      <c r="J4" s="1">
        <f t="shared" si="0"/>
        <v>2</v>
      </c>
    </row>
    <row r="5" spans="1:12" s="1" customFormat="1" x14ac:dyDescent="0.25"/>
    <row r="6" spans="1:12" s="1" customFormat="1" x14ac:dyDescent="0.25"/>
    <row r="7" spans="1:12" s="1" customFormat="1" x14ac:dyDescent="0.25"/>
    <row r="8" spans="1:12" s="1" customFormat="1" x14ac:dyDescent="0.25"/>
    <row r="9" spans="1:12" s="1" customFormat="1" x14ac:dyDescent="0.25"/>
    <row r="10" spans="1:12" s="1" customFormat="1" x14ac:dyDescent="0.25"/>
    <row r="11" spans="1:12" s="56" customFormat="1" x14ac:dyDescent="0.25">
      <c r="B11" s="54"/>
      <c r="C11" s="54"/>
    </row>
    <row r="12" spans="1:12" s="1" customFormat="1" x14ac:dyDescent="0.25">
      <c r="A12" s="47" t="s">
        <v>3558</v>
      </c>
      <c r="B12" s="1" t="str">
        <f>'[1]1.TabCustomerMainData'!AF$13</f>
        <v>app1</v>
      </c>
      <c r="C12" s="1" t="str">
        <f>'[1]1.TabCustomerMainData'!AG$13</f>
        <v>app2</v>
      </c>
      <c r="D12" s="1" t="str">
        <f>'[1]1.TabCustomerMainData'!AI$13</f>
        <v>app4</v>
      </c>
      <c r="E12" s="1" t="str">
        <f>'[1]1.TabCustomerMainData'!AJ$13</f>
        <v>app5</v>
      </c>
      <c r="F12" s="1" t="str">
        <f>'[1]1.TabCustomerMainData'!AK$13</f>
        <v>app6</v>
      </c>
      <c r="G12" s="1" t="str">
        <f>'[1]1.TabCustomerMainData'!AK$13</f>
        <v>app6</v>
      </c>
      <c r="H12" s="1" t="str">
        <f>'[1]1.TabCustomerMainData'!AL$13</f>
        <v>app7</v>
      </c>
      <c r="I12" s="1" t="str">
        <f>'[1]1.TabCustomerMainData'!AQ$13</f>
        <v>app2</v>
      </c>
      <c r="J12" s="1" t="str">
        <f>'[1]1.TabCustomerMainData'!AS$13</f>
        <v>app22</v>
      </c>
    </row>
    <row r="13" spans="1:12" s="1" customFormat="1" x14ac:dyDescent="0.25">
      <c r="A13" s="47" t="s">
        <v>0</v>
      </c>
      <c r="B13" t="s">
        <v>4251</v>
      </c>
      <c r="C13" t="s">
        <v>4256</v>
      </c>
      <c r="D13" t="s">
        <v>4256</v>
      </c>
      <c r="E13" t="s">
        <v>4256</v>
      </c>
      <c r="F13" s="1" t="s">
        <v>4257</v>
      </c>
      <c r="G13" s="1" t="s">
        <v>4258</v>
      </c>
      <c r="H13" s="1" t="s">
        <v>4259</v>
      </c>
      <c r="I13" s="1" t="s">
        <v>4256</v>
      </c>
      <c r="J13" s="1" t="s">
        <v>4256</v>
      </c>
    </row>
    <row r="14" spans="1:12" s="1" customFormat="1" x14ac:dyDescent="0.25">
      <c r="A14" s="1" t="s">
        <v>9</v>
      </c>
    </row>
    <row r="15" spans="1:12" s="1" customFormat="1" x14ac:dyDescent="0.25">
      <c r="A15" s="1" t="s">
        <v>2</v>
      </c>
      <c r="B15" s="2">
        <v>0</v>
      </c>
      <c r="C15" s="2">
        <v>0</v>
      </c>
      <c r="D15" s="2">
        <v>0</v>
      </c>
      <c r="E15" s="2">
        <v>0</v>
      </c>
      <c r="F15" s="2">
        <v>0</v>
      </c>
      <c r="G15" s="2">
        <v>0</v>
      </c>
      <c r="H15" s="2">
        <v>0</v>
      </c>
      <c r="I15" s="2">
        <v>0</v>
      </c>
      <c r="J15" s="2">
        <v>0</v>
      </c>
      <c r="K15" s="2"/>
      <c r="L15" s="2"/>
    </row>
    <row r="16" spans="1:12" s="1" customFormat="1" x14ac:dyDescent="0.25">
      <c r="A16" s="1" t="s">
        <v>3</v>
      </c>
      <c r="B16" s="2">
        <v>0</v>
      </c>
      <c r="C16" s="2">
        <v>0</v>
      </c>
      <c r="D16" s="2">
        <v>0</v>
      </c>
      <c r="E16" s="2">
        <v>0</v>
      </c>
      <c r="F16" s="2">
        <v>0</v>
      </c>
      <c r="G16" s="2">
        <v>0</v>
      </c>
      <c r="H16" s="2">
        <v>0</v>
      </c>
      <c r="I16" s="2">
        <v>0</v>
      </c>
      <c r="J16" s="2">
        <v>0</v>
      </c>
      <c r="K16" s="2"/>
      <c r="L16" s="2"/>
    </row>
    <row r="17" spans="1:12" s="1" customFormat="1" x14ac:dyDescent="0.25">
      <c r="A17" s="1" t="s">
        <v>4</v>
      </c>
      <c r="B17" s="2"/>
      <c r="C17" s="2"/>
      <c r="D17" s="2"/>
      <c r="E17" s="2"/>
      <c r="F17" s="2"/>
      <c r="G17" s="2"/>
      <c r="H17" s="2"/>
      <c r="I17" s="2"/>
      <c r="J17" s="2"/>
      <c r="K17" s="2"/>
      <c r="L17" s="2"/>
    </row>
    <row r="18" spans="1:12" s="1" customFormat="1" x14ac:dyDescent="0.25">
      <c r="A18" s="1" t="s">
        <v>4157</v>
      </c>
      <c r="B18" s="1" t="s">
        <v>5</v>
      </c>
      <c r="C18" s="1" t="s">
        <v>5</v>
      </c>
      <c r="D18" s="1" t="s">
        <v>5</v>
      </c>
      <c r="E18" s="1" t="s">
        <v>5</v>
      </c>
      <c r="F18" s="1" t="s">
        <v>5</v>
      </c>
      <c r="G18" s="1" t="s">
        <v>5</v>
      </c>
      <c r="H18" s="1" t="s">
        <v>5</v>
      </c>
      <c r="I18" s="1" t="s">
        <v>5</v>
      </c>
      <c r="J18" s="1" t="s">
        <v>5</v>
      </c>
    </row>
    <row r="19" spans="1:12" s="1" customFormat="1" x14ac:dyDescent="0.25">
      <c r="A19" s="1" t="s">
        <v>4158</v>
      </c>
      <c r="B19" s="1" t="s">
        <v>5</v>
      </c>
      <c r="C19" s="1" t="s">
        <v>5</v>
      </c>
      <c r="D19" s="1" t="s">
        <v>5</v>
      </c>
      <c r="E19" s="1" t="s">
        <v>5</v>
      </c>
      <c r="F19" s="1" t="s">
        <v>5</v>
      </c>
      <c r="G19" s="1" t="s">
        <v>5</v>
      </c>
      <c r="H19" s="1" t="s">
        <v>5</v>
      </c>
      <c r="I19" s="1" t="s">
        <v>5</v>
      </c>
      <c r="J19" s="1" t="s">
        <v>5</v>
      </c>
    </row>
    <row r="20" spans="1:12" s="1" customFormat="1" x14ac:dyDescent="0.25">
      <c r="A20" s="1" t="s">
        <v>4159</v>
      </c>
      <c r="B20" s="1" t="s">
        <v>5</v>
      </c>
      <c r="C20" s="1" t="s">
        <v>5</v>
      </c>
      <c r="D20" s="1" t="s">
        <v>5</v>
      </c>
      <c r="E20" s="1" t="s">
        <v>5</v>
      </c>
      <c r="F20" s="1" t="s">
        <v>5</v>
      </c>
      <c r="G20" s="1" t="s">
        <v>5</v>
      </c>
      <c r="H20" s="1" t="s">
        <v>5</v>
      </c>
      <c r="I20" s="1" t="s">
        <v>5</v>
      </c>
      <c r="J20" s="1" t="s">
        <v>5</v>
      </c>
    </row>
    <row r="21" spans="1:12" s="1" customFormat="1" x14ac:dyDescent="0.25">
      <c r="A21" s="1" t="s">
        <v>7</v>
      </c>
    </row>
    <row r="22" spans="1:12" s="1" customFormat="1" x14ac:dyDescent="0.25">
      <c r="A22" s="37" t="s">
        <v>4149</v>
      </c>
      <c r="B22" s="1" t="s">
        <v>8</v>
      </c>
      <c r="C22" s="1" t="s">
        <v>8</v>
      </c>
      <c r="D22" s="1" t="s">
        <v>8</v>
      </c>
      <c r="E22" s="1" t="s">
        <v>8</v>
      </c>
      <c r="F22" s="1" t="s">
        <v>8</v>
      </c>
      <c r="G22" s="1" t="s">
        <v>8</v>
      </c>
      <c r="H22" s="1" t="s">
        <v>8</v>
      </c>
      <c r="I22" s="1" t="s">
        <v>8</v>
      </c>
      <c r="J22" s="1" t="s">
        <v>8</v>
      </c>
    </row>
    <row r="23" spans="1:12" s="1" customFormat="1" x14ac:dyDescent="0.25">
      <c r="A23" s="1" t="s">
        <v>1</v>
      </c>
    </row>
    <row r="24" spans="1:12" s="1" customFormat="1" x14ac:dyDescent="0.25">
      <c r="A24" s="1" t="s">
        <v>10</v>
      </c>
    </row>
    <row r="25" spans="1:12" s="1" customFormat="1" x14ac:dyDescent="0.25">
      <c r="A25" s="37" t="s">
        <v>4150</v>
      </c>
      <c r="B25" s="1" t="s">
        <v>11</v>
      </c>
      <c r="C25" s="1" t="s">
        <v>11</v>
      </c>
      <c r="D25" s="1" t="s">
        <v>11</v>
      </c>
      <c r="E25" s="1" t="s">
        <v>11</v>
      </c>
      <c r="F25" s="1" t="s">
        <v>11</v>
      </c>
      <c r="G25" s="1" t="s">
        <v>11</v>
      </c>
      <c r="H25" s="1" t="s">
        <v>11</v>
      </c>
      <c r="I25" s="1" t="s">
        <v>11</v>
      </c>
      <c r="J25" s="1" t="s">
        <v>11</v>
      </c>
    </row>
    <row r="26" spans="1:12" s="1" customFormat="1" x14ac:dyDescent="0.25">
      <c r="A26" s="38" t="s">
        <v>4151</v>
      </c>
    </row>
    <row r="27" spans="1:12" s="1" customFormat="1" x14ac:dyDescent="0.25">
      <c r="A27" s="36" t="s">
        <v>4152</v>
      </c>
      <c r="B27" s="2"/>
      <c r="C27" s="2"/>
      <c r="D27" s="2"/>
      <c r="E27" s="2"/>
      <c r="F27" s="2"/>
      <c r="G27" s="2"/>
      <c r="H27" s="2"/>
      <c r="I27" s="2"/>
      <c r="J27" s="2"/>
      <c r="K27" s="2"/>
      <c r="L27" s="2"/>
    </row>
    <row r="28" spans="1:12" s="1" customFormat="1" x14ac:dyDescent="0.25">
      <c r="A28" s="37" t="s">
        <v>4153</v>
      </c>
      <c r="B28" s="1" t="s">
        <v>4105</v>
      </c>
      <c r="C28" s="1" t="s">
        <v>4105</v>
      </c>
      <c r="D28" s="1" t="s">
        <v>4105</v>
      </c>
      <c r="E28" s="1" t="s">
        <v>4105</v>
      </c>
      <c r="F28" s="1" t="s">
        <v>4105</v>
      </c>
      <c r="G28" s="1" t="s">
        <v>4105</v>
      </c>
      <c r="H28" s="1" t="s">
        <v>4105</v>
      </c>
      <c r="I28" s="1" t="s">
        <v>4105</v>
      </c>
      <c r="J28" s="1" t="s">
        <v>4105</v>
      </c>
    </row>
    <row r="29" spans="1:12" s="1" customFormat="1" x14ac:dyDescent="0.25">
      <c r="A29" s="37" t="s">
        <v>4154</v>
      </c>
      <c r="B29" s="1" t="s">
        <v>4100</v>
      </c>
      <c r="C29" s="1" t="s">
        <v>4100</v>
      </c>
      <c r="D29" s="1" t="s">
        <v>4100</v>
      </c>
      <c r="E29" s="1" t="s">
        <v>4100</v>
      </c>
      <c r="F29" s="1" t="s">
        <v>4100</v>
      </c>
      <c r="G29" s="1" t="s">
        <v>4100</v>
      </c>
      <c r="H29" s="1" t="s">
        <v>4100</v>
      </c>
      <c r="I29" s="1" t="s">
        <v>4100</v>
      </c>
      <c r="J29" s="1" t="s">
        <v>4100</v>
      </c>
    </row>
    <row r="30" spans="1:12" s="1" customFormat="1" x14ac:dyDescent="0.25">
      <c r="A30" s="36" t="s">
        <v>4155</v>
      </c>
      <c r="B30" s="2"/>
      <c r="C30" s="2"/>
      <c r="D30" s="2"/>
      <c r="E30" s="2"/>
      <c r="F30" s="2"/>
      <c r="G30" s="2"/>
      <c r="H30" s="2"/>
      <c r="I30" s="2"/>
      <c r="J30" s="2"/>
      <c r="K30" s="2"/>
      <c r="L30" s="2"/>
    </row>
  </sheetData>
  <conditionalFormatting sqref="A30:B30 K30:XFD30">
    <cfRule type="expression" dxfId="86" priority="4">
      <formula>A$19="No"</formula>
    </cfRule>
  </conditionalFormatting>
  <conditionalFormatting sqref="B26:B27 K26:XFD27">
    <cfRule type="expression" dxfId="85" priority="3">
      <formula>AND(B$25&lt;&gt;"Foreigner",B$25&lt;&gt;"",B$25&lt;&gt;"Nationality")</formula>
    </cfRule>
  </conditionalFormatting>
  <conditionalFormatting sqref="C30:J30">
    <cfRule type="expression" dxfId="84" priority="2">
      <formula>C$19="No"</formula>
    </cfRule>
  </conditionalFormatting>
  <conditionalFormatting sqref="C26:J27">
    <cfRule type="expression" dxfId="83" priority="1">
      <formula>AND(C$25&lt;&gt;"Foreigner",C$25&lt;&gt;"",C$25&lt;&gt;"Nationality")</formula>
    </cfRule>
  </conditionalFormatting>
  <dataValidations count="15">
    <dataValidation type="list" allowBlank="1" showInputMessage="1" showErrorMessage="1" sqref="K29:L29">
      <formula1>"Buddha, Catholic, Christian, Hindu, Islam, Kong Hu Cu"</formula1>
    </dataValidation>
    <dataValidation type="list" allowBlank="1" showInputMessage="1" showErrorMessage="1" sqref="K28:L28">
      <formula1>"S1, S2, S3, SD, SMP, SMA"</formula1>
    </dataValidation>
    <dataValidation showInputMessage="1" showErrorMessage="1" sqref="B21:L21"/>
    <dataValidation type="list" showInputMessage="1" showErrorMessage="1" sqref="K18:L20">
      <formula1>"Yes, No"</formula1>
    </dataValidation>
    <dataValidation type="list" showInputMessage="1" showErrorMessage="1" sqref="K25:L25">
      <formula1>"Local, Foreigner"</formula1>
    </dataValidation>
    <dataValidation type="list" showInputMessage="1" showErrorMessage="1" sqref="K22:L22">
      <formula1>"Mr, Mrs, Ms"</formula1>
    </dataValidation>
    <dataValidation type="custom" allowBlank="1" showInputMessage="1" showErrorMessage="1" sqref="B26:J26">
      <formula1>B$25="Foreigner"</formula1>
    </dataValidation>
    <dataValidation type="custom" allowBlank="1" showInputMessage="1" showErrorMessage="1" sqref="B30:J30">
      <formula1>B$19="Yes"</formula1>
    </dataValidation>
    <dataValidation type="whole" allowBlank="1" showInputMessage="1" showErrorMessage="1" sqref="B15:J16">
      <formula1>0</formula1>
      <formula2>9.99999999999999E+26</formula2>
    </dataValidation>
    <dataValidation type="list" allowBlank="1" showInputMessage="1" showErrorMessage="1" sqref="B27:J27">
      <formula1>IF(B$25="Foreigner",ListCountry)</formula1>
    </dataValidation>
    <dataValidation type="list" errorStyle="information" showInputMessage="1" showErrorMessage="1" sqref="B18:J20">
      <formula1>"Yes, No"</formula1>
    </dataValidation>
    <dataValidation type="list" errorStyle="information" allowBlank="1" showInputMessage="1" showErrorMessage="1" sqref="B22:J22">
      <formula1>"Mr, Mrs, Ms"</formula1>
    </dataValidation>
    <dataValidation type="list" errorStyle="information" allowBlank="1" showInputMessage="1" showErrorMessage="1" sqref="B25:J25">
      <formula1>"Local, Foreigner"</formula1>
    </dataValidation>
    <dataValidation type="list" errorStyle="information" allowBlank="1" showInputMessage="1" showErrorMessage="1" sqref="B28:J28">
      <formula1>"S1, S2, S3, SD, SMP, SMA, D3"</formula1>
    </dataValidation>
    <dataValidation type="list" errorStyle="information" allowBlank="1" showInputMessage="1" showErrorMessage="1" sqref="B29:J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L26" sqref="L26"/>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3283</v>
      </c>
      <c r="C1" t="s">
        <v>3283</v>
      </c>
      <c r="D1" t="s">
        <v>3283</v>
      </c>
      <c r="E1" s="1" t="s">
        <v>3283</v>
      </c>
      <c r="F1" s="1" t="s">
        <v>3283</v>
      </c>
      <c r="G1" s="1" t="s">
        <v>3283</v>
      </c>
      <c r="H1" s="1" t="s">
        <v>3283</v>
      </c>
      <c r="I1" s="1" t="s">
        <v>3283</v>
      </c>
      <c r="J1" s="1" t="s">
        <v>3283</v>
      </c>
    </row>
    <row r="2" spans="1:11" s="1" customFormat="1" x14ac:dyDescent="0.25">
      <c r="A2" s="1" t="s">
        <v>4146</v>
      </c>
      <c r="B2" t="s">
        <v>4249</v>
      </c>
      <c r="C2" t="s">
        <v>4249</v>
      </c>
      <c r="D2" s="1" t="s">
        <v>4249</v>
      </c>
      <c r="E2" s="1" t="s">
        <v>4249</v>
      </c>
      <c r="F2" s="1" t="s">
        <v>4249</v>
      </c>
      <c r="G2" s="1" t="s">
        <v>4249</v>
      </c>
      <c r="H2" s="1" t="s">
        <v>4249</v>
      </c>
      <c r="I2" s="1" t="s">
        <v>4249</v>
      </c>
      <c r="J2" s="1" t="s">
        <v>4249</v>
      </c>
    </row>
    <row r="3" spans="1:11" s="1" customFormat="1" x14ac:dyDescent="0.25">
      <c r="A3" s="1" t="s">
        <v>4147</v>
      </c>
    </row>
    <row r="4" spans="1:11" s="1" customFormat="1" x14ac:dyDescent="0.25">
      <c r="A4" s="1" t="s">
        <v>4156</v>
      </c>
      <c r="B4" s="1">
        <f>IF(B13="",COUNTIFS($A$12:$A$32, "*$*",B12:B32,""),0)</f>
        <v>0</v>
      </c>
      <c r="C4" s="1">
        <f>IF(C13="",COUNTIFS($A$12:$A$32, "*$*",C12:C32,""),0)</f>
        <v>0</v>
      </c>
      <c r="D4" s="1">
        <f>IF(D13="",COUNTIFS($A$12:$A$32, "*$*",D12:D32,""),0)</f>
        <v>0</v>
      </c>
      <c r="E4" s="1">
        <f t="shared" ref="E4:J4" si="0">IF(E13="",COUNTIFS($A$12:$A$32, "*$*",E12:E32,""),0)</f>
        <v>0</v>
      </c>
      <c r="F4" s="1">
        <f t="shared" si="0"/>
        <v>0</v>
      </c>
      <c r="G4" s="1">
        <f t="shared" si="0"/>
        <v>0</v>
      </c>
      <c r="H4" s="1">
        <f t="shared" si="0"/>
        <v>0</v>
      </c>
      <c r="I4" s="1">
        <f t="shared" si="0"/>
        <v>0</v>
      </c>
      <c r="J4" s="1">
        <f t="shared" si="0"/>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r="10" spans="1:11" s="1" customFormat="1" x14ac:dyDescent="0.25">
      <c r="A10" s="1" t="s">
        <v>4217</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r="11" spans="1:11" s="53" customFormat="1" x14ac:dyDescent="0.25">
      <c r="B11" s="54"/>
      <c r="C11" s="54"/>
    </row>
    <row r="12" spans="1:11" s="1" customFormat="1" x14ac:dyDescent="0.25">
      <c r="A12" s="37" t="s">
        <v>4160</v>
      </c>
      <c r="B12" s="1" t="s">
        <v>13</v>
      </c>
      <c r="C12" s="1" t="s">
        <v>13</v>
      </c>
      <c r="D12" s="1" t="s">
        <v>13</v>
      </c>
      <c r="E12" s="1" t="s">
        <v>13</v>
      </c>
      <c r="F12" s="1" t="s">
        <v>13</v>
      </c>
      <c r="G12" s="1" t="s">
        <v>13</v>
      </c>
      <c r="H12" s="1" t="s">
        <v>13</v>
      </c>
      <c r="I12" s="1" t="s">
        <v>13</v>
      </c>
      <c r="J12" s="1" t="s">
        <v>13</v>
      </c>
    </row>
    <row r="13" spans="1:11" s="1" customFormat="1" x14ac:dyDescent="0.25">
      <c r="A13" s="1" t="s">
        <v>14</v>
      </c>
    </row>
    <row r="14" spans="1:11" s="1" customFormat="1" x14ac:dyDescent="0.25">
      <c r="A14" s="37" t="s">
        <v>4161</v>
      </c>
      <c r="B14" s="1" t="s">
        <v>16</v>
      </c>
      <c r="C14" s="1" t="s">
        <v>16</v>
      </c>
      <c r="D14" s="1" t="s">
        <v>16</v>
      </c>
      <c r="E14" s="1" t="s">
        <v>16</v>
      </c>
      <c r="F14" s="1" t="s">
        <v>16</v>
      </c>
      <c r="G14" s="1" t="s">
        <v>16</v>
      </c>
      <c r="H14" s="1" t="s">
        <v>16</v>
      </c>
      <c r="I14" s="1" t="s">
        <v>16</v>
      </c>
      <c r="J14" s="1" t="s">
        <v>16</v>
      </c>
    </row>
    <row r="15" spans="1:11" s="1" customFormat="1" x14ac:dyDescent="0.25">
      <c r="A15" s="37" t="s">
        <v>4162</v>
      </c>
      <c r="B15" s="2">
        <v>23</v>
      </c>
      <c r="C15" s="2">
        <v>23</v>
      </c>
      <c r="D15" s="2">
        <v>23</v>
      </c>
      <c r="E15" s="2">
        <v>23</v>
      </c>
      <c r="F15" s="2">
        <v>23</v>
      </c>
      <c r="G15" s="2">
        <v>23</v>
      </c>
      <c r="H15" s="2">
        <v>23</v>
      </c>
      <c r="I15" s="2">
        <v>23</v>
      </c>
      <c r="J15" s="2">
        <v>23</v>
      </c>
      <c r="K15" s="2"/>
    </row>
    <row r="16" spans="1:11" s="1" customFormat="1" x14ac:dyDescent="0.25">
      <c r="A16" s="37" t="s">
        <v>4163</v>
      </c>
      <c r="B16" s="2">
        <v>12</v>
      </c>
      <c r="C16" s="2">
        <v>12</v>
      </c>
      <c r="D16" s="2">
        <v>12</v>
      </c>
      <c r="E16" s="2">
        <v>12</v>
      </c>
      <c r="F16" s="2">
        <v>12</v>
      </c>
      <c r="G16" s="2">
        <v>12</v>
      </c>
      <c r="H16" s="2">
        <v>12</v>
      </c>
      <c r="I16" s="2">
        <v>12</v>
      </c>
      <c r="J16" s="2">
        <v>12</v>
      </c>
      <c r="K16" s="2"/>
    </row>
    <row r="17" spans="1:11" s="1" customFormat="1" x14ac:dyDescent="0.25">
      <c r="A17" s="37" t="s">
        <v>4164</v>
      </c>
      <c r="B17" s="2">
        <v>11530</v>
      </c>
      <c r="C17" s="2">
        <v>11530</v>
      </c>
      <c r="D17" s="2">
        <v>11530</v>
      </c>
      <c r="E17" s="2">
        <v>11530</v>
      </c>
      <c r="F17" s="2">
        <v>11530</v>
      </c>
      <c r="G17" s="2">
        <v>11530</v>
      </c>
      <c r="H17" s="2">
        <v>11530</v>
      </c>
      <c r="I17" s="2">
        <v>11530</v>
      </c>
      <c r="J17" s="2">
        <v>11530</v>
      </c>
      <c r="K17" s="2"/>
    </row>
    <row r="18" spans="1:11" s="1" customFormat="1" x14ac:dyDescent="0.25">
      <c r="A18" s="37" t="s">
        <v>4165</v>
      </c>
      <c r="B18" s="1" t="s">
        <v>21</v>
      </c>
      <c r="C18" s="1" t="s">
        <v>21</v>
      </c>
      <c r="D18" s="1" t="s">
        <v>21</v>
      </c>
      <c r="E18" s="1" t="s">
        <v>21</v>
      </c>
      <c r="F18" s="1" t="s">
        <v>21</v>
      </c>
      <c r="G18" s="1" t="s">
        <v>21</v>
      </c>
      <c r="H18" s="1" t="s">
        <v>21</v>
      </c>
      <c r="I18" s="1" t="s">
        <v>21</v>
      </c>
      <c r="J18" s="1" t="s">
        <v>21</v>
      </c>
    </row>
    <row r="19" spans="1:11" s="1" customFormat="1" x14ac:dyDescent="0.25">
      <c r="A19" s="37" t="s">
        <v>4166</v>
      </c>
      <c r="B19" s="1" t="s">
        <v>21</v>
      </c>
      <c r="C19" s="1" t="s">
        <v>21</v>
      </c>
      <c r="D19" s="1" t="s">
        <v>21</v>
      </c>
      <c r="E19" s="1" t="s">
        <v>21</v>
      </c>
      <c r="F19" s="1" t="s">
        <v>21</v>
      </c>
      <c r="G19" s="1" t="s">
        <v>21</v>
      </c>
      <c r="H19" s="1" t="s">
        <v>21</v>
      </c>
      <c r="I19" s="1" t="s">
        <v>21</v>
      </c>
      <c r="J19" s="1" t="s">
        <v>21</v>
      </c>
    </row>
    <row r="20" spans="1:11" s="1" customFormat="1" x14ac:dyDescent="0.25">
      <c r="A20" s="37" t="s">
        <v>4167</v>
      </c>
      <c r="B20" s="1" t="s">
        <v>248</v>
      </c>
      <c r="C20" s="1" t="s">
        <v>248</v>
      </c>
      <c r="D20" s="1" t="s">
        <v>248</v>
      </c>
      <c r="E20" s="1" t="s">
        <v>248</v>
      </c>
      <c r="F20" s="1" t="s">
        <v>248</v>
      </c>
      <c r="G20" s="1" t="s">
        <v>248</v>
      </c>
      <c r="H20" s="1" t="s">
        <v>248</v>
      </c>
      <c r="I20" s="1" t="s">
        <v>248</v>
      </c>
      <c r="J20" s="1" t="s">
        <v>248</v>
      </c>
    </row>
    <row r="21" spans="1:11" s="1" customFormat="1" x14ac:dyDescent="0.25">
      <c r="A21" s="37" t="s">
        <v>4168</v>
      </c>
      <c r="B21" s="8" t="s">
        <v>4252</v>
      </c>
      <c r="C21" s="8" t="s">
        <v>4252</v>
      </c>
      <c r="D21" s="8" t="s">
        <v>4252</v>
      </c>
      <c r="E21" s="8" t="s">
        <v>4252</v>
      </c>
      <c r="F21" s="8" t="s">
        <v>4252</v>
      </c>
      <c r="G21" s="8" t="s">
        <v>4252</v>
      </c>
      <c r="H21" s="8" t="s">
        <v>4252</v>
      </c>
      <c r="I21" s="8" t="s">
        <v>4252</v>
      </c>
      <c r="J21" s="8" t="s">
        <v>4252</v>
      </c>
      <c r="K21" s="2"/>
    </row>
    <row r="22" spans="1:11" s="1" customFormat="1" x14ac:dyDescent="0.25">
      <c r="A22" s="37" t="s">
        <v>4169</v>
      </c>
      <c r="B22" s="8" t="s">
        <v>4253</v>
      </c>
      <c r="C22" s="8" t="s">
        <v>4253</v>
      </c>
      <c r="D22" s="8" t="s">
        <v>4253</v>
      </c>
      <c r="E22" s="8" t="s">
        <v>4253</v>
      </c>
      <c r="F22" s="8" t="s">
        <v>4253</v>
      </c>
      <c r="G22" s="8" t="s">
        <v>4253</v>
      </c>
      <c r="H22" s="8" t="s">
        <v>4253</v>
      </c>
      <c r="I22" s="8" t="s">
        <v>4253</v>
      </c>
      <c r="J22" s="8" t="s">
        <v>4253</v>
      </c>
      <c r="K22" s="2"/>
    </row>
    <row r="23" spans="1:11" s="1" customFormat="1" x14ac:dyDescent="0.25">
      <c r="A23" s="2" t="s">
        <v>251</v>
      </c>
      <c r="B23" s="2"/>
      <c r="C23" s="2"/>
      <c r="D23" s="2"/>
      <c r="E23" s="2"/>
      <c r="F23" s="2"/>
      <c r="G23" s="2"/>
      <c r="H23" s="2"/>
      <c r="I23" s="2"/>
      <c r="J23" s="2"/>
      <c r="K23" s="2"/>
    </row>
    <row r="24" spans="1:11" s="1" customFormat="1" x14ac:dyDescent="0.25">
      <c r="A24" s="1" t="s">
        <v>252</v>
      </c>
      <c r="B24" s="2"/>
      <c r="C24" s="2"/>
      <c r="D24" s="2"/>
      <c r="E24" s="2"/>
      <c r="F24" s="2"/>
      <c r="G24" s="2"/>
      <c r="H24" s="2"/>
      <c r="I24" s="2"/>
      <c r="J24" s="2"/>
      <c r="K24" s="2"/>
    </row>
    <row r="25" spans="1:11" s="1" customFormat="1" x14ac:dyDescent="0.25">
      <c r="A25" s="1" t="s">
        <v>253</v>
      </c>
      <c r="B25" s="2"/>
      <c r="C25" s="2"/>
      <c r="D25" s="2"/>
      <c r="E25" s="2"/>
      <c r="F25" s="2"/>
      <c r="G25" s="2"/>
      <c r="H25" s="2"/>
      <c r="I25" s="2"/>
      <c r="J25" s="2"/>
      <c r="K25" s="2"/>
    </row>
    <row r="26" spans="1:11" s="1" customFormat="1" x14ac:dyDescent="0.25">
      <c r="A26" s="1" t="s">
        <v>254</v>
      </c>
      <c r="B26" s="2"/>
      <c r="C26" s="2"/>
      <c r="D26" s="2"/>
      <c r="E26" s="2"/>
      <c r="F26" s="2"/>
      <c r="G26" s="2"/>
      <c r="H26" s="2"/>
      <c r="I26" s="2"/>
      <c r="J26" s="2"/>
      <c r="K26" s="2"/>
    </row>
    <row r="27" spans="1:11" s="1" customFormat="1" x14ac:dyDescent="0.25">
      <c r="A27" s="1" t="s">
        <v>255</v>
      </c>
      <c r="B27" s="2"/>
      <c r="C27" s="2"/>
      <c r="D27" s="2"/>
      <c r="E27" s="2"/>
      <c r="F27" s="2"/>
      <c r="G27" s="2"/>
      <c r="H27" s="2"/>
      <c r="I27" s="2"/>
      <c r="J27" s="2"/>
      <c r="K27" s="2"/>
    </row>
    <row r="28" spans="1:11" s="1" customFormat="1" x14ac:dyDescent="0.25">
      <c r="A28" s="1" t="s">
        <v>256</v>
      </c>
      <c r="B28" s="2"/>
      <c r="C28" s="2"/>
      <c r="D28" s="2"/>
      <c r="E28" s="2"/>
      <c r="F28" s="2"/>
      <c r="G28" s="2"/>
      <c r="H28" s="2"/>
      <c r="I28" s="2"/>
      <c r="J28" s="2"/>
      <c r="K28" s="2"/>
    </row>
    <row r="29" spans="1:11" s="1" customFormat="1" x14ac:dyDescent="0.25">
      <c r="A29" s="1" t="s">
        <v>257</v>
      </c>
      <c r="B29" s="2"/>
      <c r="C29" s="2"/>
      <c r="D29" s="2"/>
      <c r="E29" s="2"/>
      <c r="F29" s="2"/>
      <c r="G29" s="2"/>
      <c r="H29" s="2"/>
      <c r="I29" s="2"/>
      <c r="J29" s="2"/>
      <c r="K29" s="2"/>
    </row>
    <row r="30" spans="1:11" s="1" customFormat="1" x14ac:dyDescent="0.25">
      <c r="A30" s="1" t="s">
        <v>258</v>
      </c>
      <c r="B30" s="2"/>
      <c r="C30" s="2"/>
      <c r="D30" s="2"/>
      <c r="E30" s="2"/>
      <c r="F30" s="2"/>
      <c r="G30" s="2"/>
      <c r="H30" s="2"/>
      <c r="I30" s="2"/>
      <c r="J30" s="2"/>
      <c r="K30" s="2"/>
    </row>
    <row r="31" spans="1:11" s="1" customFormat="1" x14ac:dyDescent="0.25">
      <c r="A31" s="1" t="s">
        <v>259</v>
      </c>
      <c r="B31" s="2"/>
      <c r="C31" s="2"/>
      <c r="D31" s="2"/>
      <c r="E31" s="2"/>
      <c r="F31" s="2"/>
      <c r="G31" s="2"/>
      <c r="H31" s="2"/>
      <c r="I31" s="2"/>
      <c r="J31" s="2"/>
      <c r="K31" s="2"/>
    </row>
    <row r="32" spans="1:11" s="1" customFormat="1" x14ac:dyDescent="0.25">
      <c r="A32" s="37" t="s">
        <v>4170</v>
      </c>
      <c r="B32" s="1" t="s">
        <v>2996</v>
      </c>
      <c r="C32" s="1" t="s">
        <v>2996</v>
      </c>
      <c r="D32" s="1" t="s">
        <v>2996</v>
      </c>
      <c r="E32" s="1" t="s">
        <v>2996</v>
      </c>
      <c r="F32" s="1" t="s">
        <v>2996</v>
      </c>
      <c r="G32" s="1" t="s">
        <v>2996</v>
      </c>
      <c r="H32" s="1" t="s">
        <v>2996</v>
      </c>
      <c r="I32" s="1" t="s">
        <v>2996</v>
      </c>
      <c r="J32" s="1" t="s">
        <v>2996</v>
      </c>
    </row>
  </sheetData>
  <conditionalFormatting sqref="B14:B20 K14:XFD20">
    <cfRule type="expression" dxfId="82" priority="3">
      <formula>AND(B$13&lt;&gt;"",B$13&lt;&gt;"Copy Address From")</formula>
    </cfRule>
  </conditionalFormatting>
  <conditionalFormatting sqref="A14:A20">
    <cfRule type="expression" dxfId="81" priority="2">
      <formula>AND(A$13&lt;&gt;"",A$13&lt;&gt;"Copy Address From")</formula>
    </cfRule>
  </conditionalFormatting>
  <conditionalFormatting sqref="C14:J20">
    <cfRule type="expression" dxfId="80" priority="1">
      <formula>AND(C$13&lt;&gt;"",C$13&lt;&gt;"Copy Address From")</formula>
    </cfRule>
  </conditionalFormatting>
  <dataValidations count="6">
    <dataValidation type="list" showInputMessage="1" showErrorMessage="1" sqref="K32">
      <formula1>"Dinas, Family, KPR, Rented, Self - Owned"</formula1>
    </dataValidation>
    <dataValidation type="list" showInputMessage="1" showErrorMessage="1" sqref="K12">
      <formula1>"Legal, Mailing, Residence, Residence 2"</formula1>
    </dataValidation>
    <dataValidation type="list" allowBlank="1" showInputMessage="1" showErrorMessage="1" sqref="K13">
      <formula1>"Job, Legal, Residence"</formula1>
    </dataValidation>
    <dataValidation type="custom" errorStyle="information" allowBlank="1" showInputMessage="1" showErrorMessage="1" sqref="B14:J20">
      <formula1>ISBLANK(B$13)</formula1>
    </dataValidation>
    <dataValidation type="list" errorStyle="information" showInputMessage="1" showErrorMessage="1" sqref="B12:J12">
      <formula1>"Legal, Mailing, Residence, Residence 2"</formula1>
    </dataValidation>
    <dataValidation type="list" errorStyle="information" showInputMessage="1" showErrorMessage="1" sqref="B32:J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B1" zoomScaleNormal="100" workbookViewId="0">
      <selection activeCell="M18" sqref="M18"/>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3283</v>
      </c>
      <c r="C1" t="s">
        <v>3283</v>
      </c>
      <c r="D1" t="s">
        <v>3283</v>
      </c>
      <c r="E1" t="s">
        <v>3283</v>
      </c>
      <c r="F1" t="s">
        <v>3283</v>
      </c>
      <c r="G1" t="s">
        <v>3283</v>
      </c>
      <c r="H1" t="s">
        <v>3283</v>
      </c>
      <c r="I1" t="s">
        <v>3283</v>
      </c>
      <c r="J1" t="s">
        <v>3283</v>
      </c>
    </row>
    <row r="2" spans="1:11" s="1" customFormat="1" x14ac:dyDescent="0.25">
      <c r="A2" s="1" t="s">
        <v>4146</v>
      </c>
      <c r="B2" s="1" t="s">
        <v>4249</v>
      </c>
      <c r="C2" s="1" t="s">
        <v>4249</v>
      </c>
      <c r="D2" s="1" t="s">
        <v>4249</v>
      </c>
      <c r="E2" s="1" t="s">
        <v>4249</v>
      </c>
      <c r="F2" s="1" t="s">
        <v>4249</v>
      </c>
      <c r="G2" s="1" t="s">
        <v>4249</v>
      </c>
      <c r="H2" s="1" t="s">
        <v>4249</v>
      </c>
      <c r="I2" s="1" t="s">
        <v>4249</v>
      </c>
      <c r="J2" s="1" t="s">
        <v>4249</v>
      </c>
    </row>
    <row r="3" spans="1:11" s="1" customFormat="1" x14ac:dyDescent="0.25">
      <c r="A3" s="1" t="s">
        <v>4147</v>
      </c>
    </row>
    <row r="4" spans="1:11" s="1" customFormat="1" x14ac:dyDescent="0.25">
      <c r="A4" s="1" t="s">
        <v>4156</v>
      </c>
      <c r="B4" s="1">
        <f>IF(B12="Employee",COUNTIFS($A$14:$A$26,"*$*",B14:B26,"")+COUNTIFS($A$55:$A$61,"*$*",B55:B61,""),IF(B12="Professional",COUNTIFS($A$28:$A$36,"*$*",B28:B36,"")+COUNTIFS($A$55:$A$61,"*$*",B55:B61,""),IF(B12="Non Professional",COUNTIFS($A$38:$A$40,"*$*",B38:B40,"")+COUNTIFS($A$55:$A$61,"*$*",B55:B61,""),IF(B12="Employee",COUNTIFS($A$42:$A$53,"*$*",B42:B53,"")+COUNTIFS($A$55:$A$61,"*$*",B55:B61,"")))))</f>
        <v>0</v>
      </c>
      <c r="C4" s="1">
        <f t="shared" ref="C4:J4" si="0">IF(C12="Employee",COUNTIFS($A$14:$A$26,"*$*",C14:C26,"")+COUNTIFS($A$55:$A$61,"*$*",C55:C61,""),IF(C12="Professional",COUNTIFS($A$28:$A$36,"*$*",C28:C36,"")+COUNTIFS($A$55:$A$61,"*$*",C55:C61,""),IF(C12="Non Professional",COUNTIFS($A$38:$A$40,"*$*",C38:C40,"")+COUNTIFS($A$55:$A$61,"*$*",C55:C61,""),IF(C12="Employee",COUNTIFS($A$42:$A$53,"*$*",C42:C53,"")+COUNTIFS($A$55:$A$61,"*$*",C55:C61,"")))))</f>
        <v>0</v>
      </c>
      <c r="D4" s="1">
        <f t="shared" si="0"/>
        <v>0</v>
      </c>
      <c r="E4" s="1">
        <f t="shared" si="0"/>
        <v>0</v>
      </c>
      <c r="F4" s="1">
        <f t="shared" si="0"/>
        <v>0</v>
      </c>
      <c r="G4" s="1">
        <f t="shared" si="0"/>
        <v>0</v>
      </c>
      <c r="H4" s="1">
        <f t="shared" si="0"/>
        <v>0</v>
      </c>
      <c r="I4" s="1">
        <f t="shared" si="0"/>
        <v>0</v>
      </c>
      <c r="J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r="11" spans="1:11" s="67" customFormat="1" x14ac:dyDescent="0.25">
      <c r="A11" s="64" t="s">
        <v>4216</v>
      </c>
      <c r="B11" s="65"/>
      <c r="C11" s="65"/>
      <c r="D11" s="65"/>
      <c r="E11" s="65"/>
      <c r="F11" s="65"/>
      <c r="G11" s="65"/>
      <c r="H11" s="65"/>
      <c r="I11" s="65"/>
      <c r="J11" s="65"/>
      <c r="K11" s="66"/>
    </row>
    <row r="12" spans="1:11" s="1" customFormat="1" x14ac:dyDescent="0.25">
      <c r="A12" s="1" t="s">
        <v>4216</v>
      </c>
      <c r="B12" s="1" t="s">
        <v>4213</v>
      </c>
      <c r="C12" s="1" t="s">
        <v>4214</v>
      </c>
      <c r="D12" s="1" t="s">
        <v>4215</v>
      </c>
      <c r="E12" s="1" t="s">
        <v>4215</v>
      </c>
      <c r="F12" s="1" t="s">
        <v>4215</v>
      </c>
      <c r="G12" s="1" t="s">
        <v>4215</v>
      </c>
      <c r="H12" s="1" t="s">
        <v>4215</v>
      </c>
      <c r="I12" s="1" t="s">
        <v>4215</v>
      </c>
      <c r="J12" s="1" t="s">
        <v>4215</v>
      </c>
    </row>
    <row r="13" spans="1:11" s="67" customFormat="1" x14ac:dyDescent="0.25">
      <c r="A13" s="64" t="s">
        <v>3559</v>
      </c>
      <c r="B13" s="65"/>
      <c r="C13" s="65"/>
      <c r="D13" s="65"/>
      <c r="E13" s="65"/>
      <c r="F13" s="65"/>
      <c r="G13" s="65"/>
      <c r="H13" s="65"/>
      <c r="I13" s="65"/>
      <c r="J13" s="65"/>
      <c r="K13" s="66"/>
    </row>
    <row r="14" spans="1:11" s="1" customFormat="1" x14ac:dyDescent="0.25">
      <c r="A14" s="38" t="s">
        <v>4204</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t="str">
        <f>VLOOKUP(H15,Master!$A$1:$B$100,2,FALSE)</f>
        <v>001</v>
      </c>
      <c r="I14" s="3" t="str">
        <f>VLOOKUP(I15,Master!$A$1:$B$100,2,FALSE)</f>
        <v>001</v>
      </c>
      <c r="J14" s="3" t="str">
        <f>VLOOKUP(J15,Master!$A$1:$B$100,2,FALSE)</f>
        <v>001</v>
      </c>
      <c r="K14" s="3"/>
    </row>
    <row r="15" spans="1:11" s="1" customFormat="1" x14ac:dyDescent="0.25">
      <c r="A15" s="37" t="s">
        <v>4205</v>
      </c>
      <c r="B15" s="3" t="s">
        <v>61</v>
      </c>
      <c r="C15" s="3" t="s">
        <v>61</v>
      </c>
      <c r="D15" s="3" t="s">
        <v>61</v>
      </c>
      <c r="E15" s="3" t="s">
        <v>61</v>
      </c>
      <c r="F15" s="3" t="s">
        <v>61</v>
      </c>
      <c r="G15" s="3" t="s">
        <v>61</v>
      </c>
      <c r="H15" s="3" t="s">
        <v>61</v>
      </c>
      <c r="I15" s="3" t="s">
        <v>61</v>
      </c>
      <c r="J15" s="3" t="s">
        <v>61</v>
      </c>
      <c r="K15" s="3"/>
    </row>
    <row r="16" spans="1:11" s="1" customFormat="1" x14ac:dyDescent="0.25">
      <c r="A16" s="37" t="s">
        <v>4206</v>
      </c>
      <c r="B16" s="3" t="s">
        <v>261</v>
      </c>
      <c r="C16" s="3" t="s">
        <v>261</v>
      </c>
      <c r="D16" s="3" t="s">
        <v>261</v>
      </c>
      <c r="E16" s="3" t="s">
        <v>261</v>
      </c>
      <c r="F16" s="3" t="s">
        <v>261</v>
      </c>
      <c r="G16" s="3" t="s">
        <v>261</v>
      </c>
      <c r="H16" s="3" t="s">
        <v>261</v>
      </c>
      <c r="I16" s="3" t="s">
        <v>261</v>
      </c>
      <c r="J16" s="3" t="s">
        <v>261</v>
      </c>
      <c r="K16" s="3"/>
    </row>
    <row r="17" spans="1:11" s="1" customFormat="1" x14ac:dyDescent="0.25">
      <c r="A17" s="37" t="s">
        <v>4207</v>
      </c>
      <c r="B17" s="3" t="s">
        <v>32</v>
      </c>
      <c r="C17" s="3" t="s">
        <v>32</v>
      </c>
      <c r="D17" s="3" t="s">
        <v>32</v>
      </c>
      <c r="E17" s="3" t="s">
        <v>32</v>
      </c>
      <c r="F17" s="3" t="s">
        <v>32</v>
      </c>
      <c r="G17" s="3" t="s">
        <v>32</v>
      </c>
      <c r="H17" s="3" t="s">
        <v>32</v>
      </c>
      <c r="I17" s="3" t="s">
        <v>32</v>
      </c>
      <c r="J17" s="3" t="s">
        <v>32</v>
      </c>
      <c r="K17" s="3"/>
    </row>
    <row r="18" spans="1:11" s="1" customFormat="1" x14ac:dyDescent="0.25">
      <c r="A18" s="1" t="s">
        <v>33</v>
      </c>
      <c r="B18" s="1" t="s">
        <v>6</v>
      </c>
      <c r="C18" s="1" t="s">
        <v>6</v>
      </c>
      <c r="D18" s="1" t="s">
        <v>6</v>
      </c>
      <c r="E18" s="1" t="s">
        <v>6</v>
      </c>
      <c r="F18" s="1" t="s">
        <v>6</v>
      </c>
      <c r="G18" s="1" t="s">
        <v>6</v>
      </c>
      <c r="H18" s="1" t="s">
        <v>6</v>
      </c>
      <c r="I18" s="1" t="s">
        <v>6</v>
      </c>
      <c r="J18" s="1" t="s">
        <v>6</v>
      </c>
    </row>
    <row r="19" spans="1:11" s="1" customFormat="1" x14ac:dyDescent="0.25">
      <c r="A19" s="1" t="s">
        <v>34</v>
      </c>
      <c r="B19" s="1" t="s">
        <v>5</v>
      </c>
      <c r="C19" s="1" t="s">
        <v>5</v>
      </c>
      <c r="D19" s="1" t="s">
        <v>5</v>
      </c>
      <c r="E19" s="1" t="s">
        <v>5</v>
      </c>
      <c r="F19" s="1" t="s">
        <v>5</v>
      </c>
      <c r="G19" s="1" t="s">
        <v>5</v>
      </c>
      <c r="H19" s="1" t="s">
        <v>5</v>
      </c>
      <c r="I19" s="1" t="s">
        <v>5</v>
      </c>
      <c r="J19" s="1" t="s">
        <v>5</v>
      </c>
    </row>
    <row r="20" spans="1:11" s="1" customFormat="1" x14ac:dyDescent="0.25">
      <c r="A20" s="37" t="s">
        <v>4208</v>
      </c>
      <c r="B20" s="1" t="s">
        <v>35</v>
      </c>
      <c r="C20" s="1" t="s">
        <v>35</v>
      </c>
      <c r="D20" s="1" t="s">
        <v>35</v>
      </c>
      <c r="E20" s="1" t="s">
        <v>35</v>
      </c>
      <c r="F20" s="1" t="s">
        <v>35</v>
      </c>
      <c r="G20" s="1" t="s">
        <v>35</v>
      </c>
      <c r="H20" s="1" t="s">
        <v>35</v>
      </c>
      <c r="I20" s="1" t="s">
        <v>35</v>
      </c>
      <c r="J20" s="1" t="s">
        <v>35</v>
      </c>
    </row>
    <row r="21" spans="1:11" s="1" customFormat="1" x14ac:dyDescent="0.25">
      <c r="A21" s="38" t="s">
        <v>4209</v>
      </c>
      <c r="B21" s="1" t="str">
        <f>VLOOKUP(B22,Master!$AW:$AX,2,FALSE)</f>
        <v>1111</v>
      </c>
      <c r="C21" s="1" t="str">
        <f>VLOOKUP(C22,Master!$AW:$AX,2,FALSE)</f>
        <v>1111</v>
      </c>
      <c r="D21" s="1" t="str">
        <f>VLOOKUP(D22,Master!$AW:$AX,2,FALSE)</f>
        <v>1111</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row>
    <row r="22" spans="1:11" s="1" customFormat="1" x14ac:dyDescent="0.25">
      <c r="A22" s="37" t="s">
        <v>4210</v>
      </c>
      <c r="B22" s="1" t="s">
        <v>3320</v>
      </c>
      <c r="C22" s="1" t="s">
        <v>3320</v>
      </c>
      <c r="D22" s="1" t="s">
        <v>3320</v>
      </c>
      <c r="E22" s="1" t="s">
        <v>3320</v>
      </c>
      <c r="F22" s="1" t="s">
        <v>3320</v>
      </c>
      <c r="G22" s="1" t="s">
        <v>3320</v>
      </c>
      <c r="H22" s="1" t="s">
        <v>3320</v>
      </c>
      <c r="I22" s="1" t="s">
        <v>3320</v>
      </c>
      <c r="J22" s="1" t="s">
        <v>3320</v>
      </c>
    </row>
    <row r="23" spans="1:11" s="1" customFormat="1" x14ac:dyDescent="0.25">
      <c r="A23" s="1" t="s">
        <v>36</v>
      </c>
    </row>
    <row r="24" spans="1:11" s="1" customFormat="1" x14ac:dyDescent="0.25">
      <c r="A24" s="37" t="s">
        <v>4211</v>
      </c>
      <c r="B24" s="41">
        <v>43957</v>
      </c>
      <c r="C24" s="41">
        <v>43957</v>
      </c>
      <c r="D24" s="41">
        <v>43957</v>
      </c>
      <c r="E24" s="41">
        <v>43957</v>
      </c>
      <c r="F24" s="41">
        <v>43957</v>
      </c>
      <c r="G24" s="41">
        <v>43957</v>
      </c>
      <c r="H24" s="41">
        <v>43957</v>
      </c>
      <c r="I24" s="41">
        <v>43957</v>
      </c>
      <c r="J24" s="41">
        <v>43957</v>
      </c>
      <c r="K24" s="8"/>
    </row>
    <row r="25" spans="1:11" s="1" customFormat="1" x14ac:dyDescent="0.25">
      <c r="A25" s="1" t="s">
        <v>241</v>
      </c>
      <c r="B25" s="2"/>
      <c r="C25" s="2"/>
      <c r="D25" s="2"/>
      <c r="E25" s="2"/>
      <c r="F25" s="2"/>
      <c r="G25" s="2"/>
      <c r="H25" s="2"/>
      <c r="I25" s="2"/>
      <c r="J25" s="2"/>
      <c r="K25" s="2"/>
    </row>
    <row r="26" spans="1:11" s="1" customFormat="1" x14ac:dyDescent="0.25">
      <c r="A26" s="1" t="s">
        <v>38</v>
      </c>
      <c r="B26" s="2"/>
      <c r="C26" s="2"/>
      <c r="D26" s="2"/>
      <c r="E26" s="2"/>
      <c r="F26" s="2"/>
      <c r="G26" s="2"/>
      <c r="H26" s="2"/>
      <c r="I26" s="2"/>
      <c r="J26" s="2"/>
      <c r="K26" s="2"/>
    </row>
    <row r="27" spans="1:11" s="57" customFormat="1" x14ac:dyDescent="0.25">
      <c r="A27" s="57" t="s">
        <v>4063</v>
      </c>
    </row>
    <row r="28" spans="1:11" s="1" customFormat="1" x14ac:dyDescent="0.25">
      <c r="A28" s="1" t="s">
        <v>27</v>
      </c>
      <c r="B28" s="3" t="str">
        <f>VLOOKUP(B29,Master!$A$1:$B$100,2,FALSE)</f>
        <v>ENTR</v>
      </c>
      <c r="C28" s="3" t="str">
        <f>VLOOKUP(C29,Master!$A$1:$B$100,2,FALSE)</f>
        <v>ENTR</v>
      </c>
      <c r="D28" s="3" t="str">
        <f>VLOOKUP(D29,Master!$A$1:$B$100,2,FALSE)</f>
        <v>ENTR</v>
      </c>
      <c r="E28" s="3" t="str">
        <f>VLOOKUP(E29,Master!$A$1:$B$100,2,FALSE)</f>
        <v>ENTR</v>
      </c>
      <c r="F28" s="3" t="str">
        <f>VLOOKUP(F29,Master!$A$1:$B$100,2,FALSE)</f>
        <v>ENTR</v>
      </c>
      <c r="G28" s="3" t="str">
        <f>VLOOKUP(G29,Master!$A$1:$B$100,2,FALSE)</f>
        <v>ENTR</v>
      </c>
      <c r="H28" s="3" t="str">
        <f>VLOOKUP(H29,Master!$A$1:$B$100,2,FALSE)</f>
        <v>ENTR</v>
      </c>
      <c r="I28" s="3" t="str">
        <f>VLOOKUP(I29,Master!$A$1:$B$100,2,FALSE)</f>
        <v>ENTR</v>
      </c>
      <c r="J28" s="3" t="str">
        <f>VLOOKUP(J29,Master!$A$1:$B$100,2,FALSE)</f>
        <v>ENTR</v>
      </c>
    </row>
    <row r="29" spans="1:11" s="1" customFormat="1" x14ac:dyDescent="0.25">
      <c r="A29" s="1" t="s">
        <v>60</v>
      </c>
      <c r="B29" s="3" t="s">
        <v>236</v>
      </c>
      <c r="C29" s="3" t="s">
        <v>236</v>
      </c>
      <c r="D29" s="3" t="s">
        <v>236</v>
      </c>
      <c r="E29" s="3" t="s">
        <v>236</v>
      </c>
      <c r="F29" s="3" t="s">
        <v>236</v>
      </c>
      <c r="G29" s="3" t="s">
        <v>236</v>
      </c>
      <c r="H29" s="3" t="s">
        <v>236</v>
      </c>
      <c r="I29" s="3" t="s">
        <v>236</v>
      </c>
      <c r="J29" s="3" t="s">
        <v>236</v>
      </c>
    </row>
    <row r="30" spans="1:11" s="1" customFormat="1" x14ac:dyDescent="0.25">
      <c r="A30" s="1" t="s">
        <v>34</v>
      </c>
      <c r="B30" s="1" t="s">
        <v>5</v>
      </c>
      <c r="C30" s="1" t="s">
        <v>5</v>
      </c>
      <c r="D30" s="1" t="s">
        <v>5</v>
      </c>
      <c r="E30" s="1" t="s">
        <v>5</v>
      </c>
      <c r="F30" s="1" t="s">
        <v>5</v>
      </c>
      <c r="G30" s="1" t="s">
        <v>5</v>
      </c>
      <c r="H30" s="1" t="s">
        <v>5</v>
      </c>
      <c r="I30" s="1" t="s">
        <v>5</v>
      </c>
      <c r="J30" s="1" t="s">
        <v>5</v>
      </c>
    </row>
    <row r="31" spans="1:11" s="1" customFormat="1" x14ac:dyDescent="0.25">
      <c r="A31" s="1" t="s">
        <v>240</v>
      </c>
      <c r="B31" s="1" t="s">
        <v>4061</v>
      </c>
      <c r="C31" s="1" t="s">
        <v>4061</v>
      </c>
      <c r="D31" s="1" t="s">
        <v>4061</v>
      </c>
      <c r="E31" s="1" t="s">
        <v>4061</v>
      </c>
      <c r="F31" s="1" t="s">
        <v>4061</v>
      </c>
      <c r="G31" s="1" t="s">
        <v>4061</v>
      </c>
      <c r="H31" s="1" t="s">
        <v>4061</v>
      </c>
      <c r="I31" s="1" t="s">
        <v>4061</v>
      </c>
      <c r="J31" s="1" t="s">
        <v>4061</v>
      </c>
    </row>
    <row r="32" spans="1:11" s="1" customFormat="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row>
    <row r="33" spans="1:10" s="1" customFormat="1" x14ac:dyDescent="0.25">
      <c r="A33" s="1" t="s">
        <v>4065</v>
      </c>
      <c r="B33" s="1" t="s">
        <v>4066</v>
      </c>
      <c r="C33" s="1" t="s">
        <v>4066</v>
      </c>
      <c r="D33" s="1" t="s">
        <v>4066</v>
      </c>
      <c r="E33" s="1" t="s">
        <v>4066</v>
      </c>
      <c r="F33" s="1" t="s">
        <v>4066</v>
      </c>
      <c r="G33" s="1" t="s">
        <v>4066</v>
      </c>
      <c r="H33" s="1" t="s">
        <v>4066</v>
      </c>
      <c r="I33" s="1" t="s">
        <v>4066</v>
      </c>
      <c r="J33" s="1" t="s">
        <v>4066</v>
      </c>
    </row>
    <row r="34" spans="1:10" s="1" customFormat="1" x14ac:dyDescent="0.25">
      <c r="A34" s="1" t="s">
        <v>4067</v>
      </c>
      <c r="B34" s="1">
        <v>1823612693</v>
      </c>
      <c r="C34" s="1">
        <v>1823612693</v>
      </c>
      <c r="D34" s="1">
        <v>1823612693</v>
      </c>
      <c r="E34" s="1">
        <v>1823612693</v>
      </c>
      <c r="F34" s="1">
        <v>1823612693</v>
      </c>
      <c r="G34" s="1">
        <v>1823612693</v>
      </c>
      <c r="H34" s="1">
        <v>1823612693</v>
      </c>
      <c r="I34" s="1">
        <v>1823612693</v>
      </c>
      <c r="J34" s="1">
        <v>1823612693</v>
      </c>
    </row>
    <row r="35" spans="1:10" s="1" customFormat="1" x14ac:dyDescent="0.25">
      <c r="A35" s="1" t="s">
        <v>4068</v>
      </c>
      <c r="B35" s="42">
        <v>44442</v>
      </c>
      <c r="C35" s="42">
        <v>44442</v>
      </c>
      <c r="D35" s="42">
        <v>44442</v>
      </c>
      <c r="E35" s="42">
        <v>44442</v>
      </c>
      <c r="F35" s="42">
        <v>44442</v>
      </c>
      <c r="G35" s="42">
        <v>44442</v>
      </c>
      <c r="H35" s="42">
        <v>44442</v>
      </c>
      <c r="I35" s="42">
        <v>44442</v>
      </c>
      <c r="J35" s="42">
        <v>44442</v>
      </c>
    </row>
    <row r="36" spans="1:10" s="1" customFormat="1" x14ac:dyDescent="0.25">
      <c r="A36" s="1" t="s">
        <v>241</v>
      </c>
      <c r="B36" s="1" t="s">
        <v>269</v>
      </c>
      <c r="C36" s="1" t="s">
        <v>269</v>
      </c>
      <c r="D36" s="1" t="s">
        <v>269</v>
      </c>
      <c r="E36" s="1" t="s">
        <v>269</v>
      </c>
      <c r="F36" s="1" t="s">
        <v>269</v>
      </c>
      <c r="G36" s="1" t="s">
        <v>269</v>
      </c>
      <c r="H36" s="1" t="s">
        <v>269</v>
      </c>
      <c r="I36" s="1" t="s">
        <v>269</v>
      </c>
      <c r="J36" s="1" t="s">
        <v>269</v>
      </c>
    </row>
    <row r="37" spans="1:10" s="57" customFormat="1" x14ac:dyDescent="0.25">
      <c r="A37" s="57" t="s">
        <v>4069</v>
      </c>
    </row>
    <row r="38" spans="1:10" s="1" customFormat="1" x14ac:dyDescent="0.25">
      <c r="A38" s="1" t="s">
        <v>4204</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c r="H38" s="3" t="str">
        <f>VLOOKUP(H39,Master!$A$1:$B$100,2,FALSE)</f>
        <v>SMPLPR</v>
      </c>
      <c r="I38" s="3" t="str">
        <f>VLOOKUP(I39,Master!$A$1:$B$100,2,FALSE)</f>
        <v>SMPLPR</v>
      </c>
      <c r="J38" s="3" t="str">
        <f>VLOOKUP(J39,Master!$A$1:$B$100,2,FALSE)</f>
        <v>SMPLPR</v>
      </c>
    </row>
    <row r="39" spans="1:10" s="1" customFormat="1" x14ac:dyDescent="0.25">
      <c r="A39" s="1" t="s">
        <v>4205</v>
      </c>
      <c r="B39" s="3" t="s">
        <v>4070</v>
      </c>
      <c r="C39" s="3" t="s">
        <v>4070</v>
      </c>
      <c r="D39" s="3" t="s">
        <v>4070</v>
      </c>
      <c r="E39" s="3" t="s">
        <v>4070</v>
      </c>
      <c r="F39" s="3" t="s">
        <v>4070</v>
      </c>
      <c r="G39" s="3" t="s">
        <v>4070</v>
      </c>
      <c r="H39" s="3" t="s">
        <v>4070</v>
      </c>
      <c r="I39" s="3" t="s">
        <v>4070</v>
      </c>
      <c r="J39" s="3" t="s">
        <v>4070</v>
      </c>
    </row>
    <row r="40" spans="1:10" s="1" customFormat="1" x14ac:dyDescent="0.25">
      <c r="A40" s="1" t="s">
        <v>4212</v>
      </c>
      <c r="B40" s="1" t="s">
        <v>4099</v>
      </c>
      <c r="C40" s="1" t="s">
        <v>4099</v>
      </c>
      <c r="D40" s="1" t="s">
        <v>4099</v>
      </c>
      <c r="E40" s="1" t="s">
        <v>4099</v>
      </c>
      <c r="F40" s="1" t="s">
        <v>4099</v>
      </c>
      <c r="G40" s="1" t="s">
        <v>4099</v>
      </c>
      <c r="H40" s="1" t="s">
        <v>4099</v>
      </c>
      <c r="I40" s="1" t="s">
        <v>4099</v>
      </c>
      <c r="J40" s="1" t="s">
        <v>4099</v>
      </c>
    </row>
    <row r="41" spans="1:10" s="57" customFormat="1" x14ac:dyDescent="0.25">
      <c r="A41" s="57" t="s">
        <v>4071</v>
      </c>
    </row>
    <row r="42" spans="1:10" s="1" customFormat="1"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c r="H42" s="3" t="str">
        <f>VLOOKUP(H43,Master!$A$1:$B$100,2,FALSE)</f>
        <v>PO</v>
      </c>
      <c r="I42" s="3" t="str">
        <f>VLOOKUP(I43,Master!$A$1:$B$100,2,FALSE)</f>
        <v>PO</v>
      </c>
      <c r="J42" s="3" t="str">
        <f>VLOOKUP(J43,Master!$A$1:$B$100,2,FALSE)</f>
        <v>PO</v>
      </c>
    </row>
    <row r="43" spans="1:10" s="1" customFormat="1" x14ac:dyDescent="0.25">
      <c r="A43" s="1" t="s">
        <v>60</v>
      </c>
      <c r="B43" s="3" t="s">
        <v>231</v>
      </c>
      <c r="C43" s="3" t="s">
        <v>231</v>
      </c>
      <c r="D43" s="3" t="s">
        <v>231</v>
      </c>
      <c r="E43" s="3" t="s">
        <v>231</v>
      </c>
      <c r="F43" s="3" t="s">
        <v>231</v>
      </c>
      <c r="G43" s="3" t="s">
        <v>231</v>
      </c>
      <c r="H43" s="3" t="s">
        <v>231</v>
      </c>
      <c r="I43" s="3" t="s">
        <v>231</v>
      </c>
      <c r="J43" s="3" t="s">
        <v>231</v>
      </c>
    </row>
    <row r="44" spans="1:10" s="1" customFormat="1" x14ac:dyDescent="0.25">
      <c r="A44" s="1" t="s">
        <v>29</v>
      </c>
      <c r="B44" s="3" t="s">
        <v>270</v>
      </c>
      <c r="C44" s="3" t="s">
        <v>270</v>
      </c>
      <c r="D44" s="3" t="s">
        <v>270</v>
      </c>
      <c r="E44" s="3" t="s">
        <v>270</v>
      </c>
      <c r="F44" s="3" t="s">
        <v>270</v>
      </c>
      <c r="G44" s="3" t="s">
        <v>270</v>
      </c>
      <c r="H44" s="3" t="s">
        <v>270</v>
      </c>
      <c r="I44" s="3" t="s">
        <v>270</v>
      </c>
      <c r="J44" s="3" t="s">
        <v>270</v>
      </c>
    </row>
    <row r="45" spans="1:10" s="1" customFormat="1" x14ac:dyDescent="0.25">
      <c r="A45" s="1" t="s">
        <v>34</v>
      </c>
      <c r="B45" s="1" t="s">
        <v>5</v>
      </c>
      <c r="C45" s="1" t="s">
        <v>5</v>
      </c>
      <c r="D45" s="1" t="s">
        <v>5</v>
      </c>
      <c r="E45" s="1" t="s">
        <v>5</v>
      </c>
      <c r="F45" s="1" t="s">
        <v>5</v>
      </c>
      <c r="G45" s="1" t="s">
        <v>5</v>
      </c>
      <c r="H45" s="1" t="s">
        <v>5</v>
      </c>
      <c r="I45" s="1" t="s">
        <v>5</v>
      </c>
      <c r="J45" s="1" t="s">
        <v>5</v>
      </c>
    </row>
    <row r="46" spans="1:10" s="1" customFormat="1" x14ac:dyDescent="0.25">
      <c r="A46" s="1" t="s">
        <v>240</v>
      </c>
      <c r="B46" s="1" t="s">
        <v>4072</v>
      </c>
      <c r="C46" s="1" t="s">
        <v>4072</v>
      </c>
      <c r="D46" s="1" t="s">
        <v>4072</v>
      </c>
      <c r="E46" s="1" t="s">
        <v>4072</v>
      </c>
      <c r="F46" s="1" t="s">
        <v>4072</v>
      </c>
      <c r="G46" s="1" t="s">
        <v>4072</v>
      </c>
      <c r="H46" s="1" t="s">
        <v>4072</v>
      </c>
      <c r="I46" s="1" t="s">
        <v>4072</v>
      </c>
      <c r="J46" s="1" t="s">
        <v>4072</v>
      </c>
    </row>
    <row r="47" spans="1:10" s="1" customFormat="1"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row>
    <row r="48" spans="1:10" s="1" customFormat="1" x14ac:dyDescent="0.25">
      <c r="A48" s="1" t="s">
        <v>4065</v>
      </c>
      <c r="B48" s="1" t="s">
        <v>3322</v>
      </c>
      <c r="C48" s="1" t="s">
        <v>3322</v>
      </c>
      <c r="D48" s="1" t="s">
        <v>3322</v>
      </c>
      <c r="E48" s="1" t="s">
        <v>3322</v>
      </c>
      <c r="F48" s="1" t="s">
        <v>3322</v>
      </c>
      <c r="G48" s="1" t="s">
        <v>3322</v>
      </c>
      <c r="H48" s="1" t="s">
        <v>3322</v>
      </c>
      <c r="I48" s="1" t="s">
        <v>3322</v>
      </c>
      <c r="J48" s="1" t="s">
        <v>3322</v>
      </c>
    </row>
    <row r="49" spans="1:11" s="1" customFormat="1" x14ac:dyDescent="0.25">
      <c r="A49" s="1" t="s">
        <v>4073</v>
      </c>
      <c r="B49" s="1" t="s">
        <v>37</v>
      </c>
      <c r="C49" s="1" t="s">
        <v>37</v>
      </c>
      <c r="D49" s="1" t="s">
        <v>37</v>
      </c>
      <c r="E49" s="1" t="s">
        <v>37</v>
      </c>
      <c r="F49" s="1" t="s">
        <v>37</v>
      </c>
      <c r="G49" s="1" t="s">
        <v>37</v>
      </c>
      <c r="H49" s="1" t="s">
        <v>37</v>
      </c>
      <c r="I49" s="1" t="s">
        <v>37</v>
      </c>
      <c r="J49" s="1" t="s">
        <v>37</v>
      </c>
    </row>
    <row r="50" spans="1:11" s="1" customFormat="1" x14ac:dyDescent="0.25">
      <c r="A50" s="1" t="s">
        <v>4074</v>
      </c>
      <c r="B50" s="41">
        <v>43957</v>
      </c>
      <c r="C50" s="41">
        <v>43957</v>
      </c>
      <c r="D50" s="41">
        <v>43957</v>
      </c>
      <c r="E50" s="41">
        <v>43957</v>
      </c>
      <c r="F50" s="41">
        <v>43957</v>
      </c>
      <c r="G50" s="41">
        <v>43957</v>
      </c>
      <c r="H50" s="41">
        <v>43957</v>
      </c>
      <c r="I50" s="41">
        <v>43957</v>
      </c>
      <c r="J50" s="41">
        <v>43957</v>
      </c>
    </row>
    <row r="51" spans="1:11" s="1" customFormat="1" x14ac:dyDescent="0.25">
      <c r="A51" s="1" t="s">
        <v>241</v>
      </c>
      <c r="B51" s="2" t="s">
        <v>31</v>
      </c>
      <c r="C51" s="2" t="s">
        <v>31</v>
      </c>
      <c r="D51" s="2" t="s">
        <v>31</v>
      </c>
      <c r="E51" s="2" t="s">
        <v>31</v>
      </c>
      <c r="F51" s="2" t="s">
        <v>31</v>
      </c>
      <c r="G51" s="2" t="s">
        <v>31</v>
      </c>
      <c r="H51" s="2" t="s">
        <v>31</v>
      </c>
      <c r="I51" s="2" t="s">
        <v>31</v>
      </c>
      <c r="J51" s="2" t="s">
        <v>31</v>
      </c>
    </row>
    <row r="52" spans="1:11" s="1" customFormat="1" x14ac:dyDescent="0.25">
      <c r="A52" s="1" t="s">
        <v>38</v>
      </c>
      <c r="B52" s="2">
        <v>100</v>
      </c>
      <c r="C52" s="2">
        <v>100</v>
      </c>
      <c r="D52" s="2">
        <v>100</v>
      </c>
      <c r="E52" s="2">
        <v>100</v>
      </c>
      <c r="F52" s="2">
        <v>100</v>
      </c>
      <c r="G52" s="2">
        <v>100</v>
      </c>
      <c r="H52" s="2">
        <v>100</v>
      </c>
      <c r="I52" s="2">
        <v>100</v>
      </c>
      <c r="J52" s="2">
        <v>100</v>
      </c>
    </row>
    <row r="53" spans="1:11" s="1" customFormat="1" x14ac:dyDescent="0.25">
      <c r="A53" s="1" t="s">
        <v>4075</v>
      </c>
      <c r="B53" s="1" t="s">
        <v>4076</v>
      </c>
      <c r="C53" s="1" t="s">
        <v>4076</v>
      </c>
      <c r="D53" s="1" t="s">
        <v>4076</v>
      </c>
      <c r="E53" s="1" t="s">
        <v>4076</v>
      </c>
      <c r="F53" s="1" t="s">
        <v>4076</v>
      </c>
      <c r="G53" s="1" t="s">
        <v>4076</v>
      </c>
      <c r="H53" s="1" t="s">
        <v>4076</v>
      </c>
      <c r="I53" s="1" t="s">
        <v>4076</v>
      </c>
      <c r="J53" s="1" t="s">
        <v>4076</v>
      </c>
    </row>
    <row r="54" spans="1:11" s="57" customFormat="1" x14ac:dyDescent="0.25">
      <c r="A54" s="58" t="s">
        <v>3560</v>
      </c>
      <c r="B54" s="59"/>
      <c r="C54" s="59"/>
      <c r="D54" s="59"/>
      <c r="E54" s="59"/>
      <c r="F54" s="59"/>
      <c r="G54" s="59"/>
      <c r="H54" s="59"/>
      <c r="I54" s="59"/>
      <c r="J54" s="59"/>
      <c r="K54" s="60"/>
    </row>
    <row r="55" spans="1:11" s="1" customFormat="1" x14ac:dyDescent="0.25">
      <c r="A55" s="37" t="s">
        <v>4161</v>
      </c>
      <c r="B55" s="1" t="s">
        <v>4106</v>
      </c>
      <c r="C55" s="1" t="s">
        <v>4106</v>
      </c>
      <c r="D55" s="1" t="s">
        <v>4106</v>
      </c>
      <c r="E55" s="1" t="s">
        <v>4106</v>
      </c>
      <c r="F55" s="1" t="s">
        <v>4106</v>
      </c>
      <c r="G55" s="1" t="s">
        <v>4106</v>
      </c>
      <c r="H55" s="1" t="s">
        <v>4106</v>
      </c>
      <c r="I55" s="1" t="s">
        <v>4106</v>
      </c>
      <c r="J55" s="1" t="s">
        <v>4106</v>
      </c>
    </row>
    <row r="56" spans="1:11" s="1" customFormat="1" x14ac:dyDescent="0.25">
      <c r="A56" s="37" t="s">
        <v>4162</v>
      </c>
      <c r="B56" s="3" t="s">
        <v>55</v>
      </c>
      <c r="C56" s="3" t="s">
        <v>55</v>
      </c>
      <c r="D56" s="3" t="s">
        <v>55</v>
      </c>
      <c r="E56" s="3" t="s">
        <v>55</v>
      </c>
      <c r="F56" s="3" t="s">
        <v>55</v>
      </c>
      <c r="G56" s="3" t="s">
        <v>55</v>
      </c>
      <c r="H56" s="3" t="s">
        <v>55</v>
      </c>
      <c r="I56" s="3" t="s">
        <v>55</v>
      </c>
      <c r="J56" s="3" t="s">
        <v>55</v>
      </c>
      <c r="K56" s="2"/>
    </row>
    <row r="57" spans="1:11" s="1" customFormat="1" x14ac:dyDescent="0.25">
      <c r="A57" s="37" t="s">
        <v>4163</v>
      </c>
      <c r="B57" s="3" t="s">
        <v>56</v>
      </c>
      <c r="C57" s="3" t="s">
        <v>56</v>
      </c>
      <c r="D57" s="3" t="s">
        <v>56</v>
      </c>
      <c r="E57" s="3" t="s">
        <v>56</v>
      </c>
      <c r="F57" s="3" t="s">
        <v>56</v>
      </c>
      <c r="G57" s="3" t="s">
        <v>56</v>
      </c>
      <c r="H57" s="3" t="s">
        <v>56</v>
      </c>
      <c r="I57" s="3" t="s">
        <v>56</v>
      </c>
      <c r="J57" s="3" t="s">
        <v>56</v>
      </c>
      <c r="K57" s="2"/>
    </row>
    <row r="58" spans="1:11" s="1" customFormat="1" x14ac:dyDescent="0.25">
      <c r="A58" s="37" t="s">
        <v>4164</v>
      </c>
      <c r="B58" s="1">
        <v>25584</v>
      </c>
      <c r="C58" s="1">
        <v>25584</v>
      </c>
      <c r="D58" s="1">
        <v>25584</v>
      </c>
      <c r="E58" s="1">
        <v>25584</v>
      </c>
      <c r="F58" s="1">
        <v>25584</v>
      </c>
      <c r="G58" s="1">
        <v>25584</v>
      </c>
      <c r="H58" s="1">
        <v>25584</v>
      </c>
      <c r="I58" s="1">
        <v>25584</v>
      </c>
      <c r="J58" s="1">
        <v>25584</v>
      </c>
      <c r="K58" s="2"/>
    </row>
    <row r="59" spans="1:11" s="1" customFormat="1" x14ac:dyDescent="0.25">
      <c r="A59" s="37" t="s">
        <v>4166</v>
      </c>
      <c r="B59" s="1" t="s">
        <v>4102</v>
      </c>
      <c r="C59" s="1" t="s">
        <v>4102</v>
      </c>
      <c r="D59" s="1" t="s">
        <v>4102</v>
      </c>
      <c r="E59" s="1" t="s">
        <v>4102</v>
      </c>
      <c r="F59" s="1" t="s">
        <v>4102</v>
      </c>
      <c r="G59" s="1" t="s">
        <v>4102</v>
      </c>
      <c r="H59" s="1" t="s">
        <v>4102</v>
      </c>
      <c r="I59" s="1" t="s">
        <v>4102</v>
      </c>
      <c r="J59" s="1" t="s">
        <v>4102</v>
      </c>
    </row>
    <row r="60" spans="1:11" s="1" customFormat="1" x14ac:dyDescent="0.25">
      <c r="A60" s="37" t="s">
        <v>4165</v>
      </c>
      <c r="B60" s="1" t="s">
        <v>4101</v>
      </c>
      <c r="C60" s="1" t="s">
        <v>4101</v>
      </c>
      <c r="D60" s="1" t="s">
        <v>4101</v>
      </c>
      <c r="E60" s="1" t="s">
        <v>4101</v>
      </c>
      <c r="F60" s="1" t="s">
        <v>4101</v>
      </c>
      <c r="G60" s="1" t="s">
        <v>4101</v>
      </c>
      <c r="H60" s="1" t="s">
        <v>4101</v>
      </c>
      <c r="I60" s="1" t="s">
        <v>4101</v>
      </c>
      <c r="J60" s="1" t="s">
        <v>4101</v>
      </c>
    </row>
    <row r="61" spans="1:11" s="1" customFormat="1" x14ac:dyDescent="0.25">
      <c r="A61" s="37" t="s">
        <v>4167</v>
      </c>
      <c r="B61" s="1" t="s">
        <v>4103</v>
      </c>
      <c r="C61" s="1" t="s">
        <v>4103</v>
      </c>
      <c r="D61" s="1" t="s">
        <v>4103</v>
      </c>
      <c r="E61" s="1" t="s">
        <v>4103</v>
      </c>
      <c r="F61" s="1" t="s">
        <v>4103</v>
      </c>
      <c r="G61" s="1" t="s">
        <v>4103</v>
      </c>
      <c r="H61" s="1" t="s">
        <v>4103</v>
      </c>
      <c r="I61" s="1" t="s">
        <v>4103</v>
      </c>
      <c r="J61" s="1" t="s">
        <v>4103</v>
      </c>
    </row>
    <row r="62" spans="1:11" s="1" customFormat="1" x14ac:dyDescent="0.25">
      <c r="A62" s="2" t="s">
        <v>24</v>
      </c>
    </row>
    <row r="63" spans="1:11" s="1" customFormat="1" x14ac:dyDescent="0.25">
      <c r="A63" s="1" t="s">
        <v>249</v>
      </c>
      <c r="B63" s="2"/>
      <c r="C63" s="2"/>
      <c r="D63" s="2"/>
      <c r="E63" s="2"/>
      <c r="F63" s="2"/>
      <c r="G63" s="2"/>
      <c r="H63" s="2"/>
      <c r="I63" s="2"/>
      <c r="J63" s="2"/>
      <c r="K63" s="2"/>
    </row>
    <row r="64" spans="1:11" s="1" customFormat="1" x14ac:dyDescent="0.25">
      <c r="A64" s="1" t="s">
        <v>250</v>
      </c>
      <c r="B64" s="2"/>
      <c r="C64" s="2"/>
      <c r="D64" s="2"/>
      <c r="E64" s="2"/>
      <c r="F64" s="2"/>
      <c r="G64" s="2"/>
      <c r="H64" s="2"/>
      <c r="I64" s="2"/>
      <c r="J64" s="2"/>
      <c r="K64" s="2"/>
    </row>
    <row r="65" spans="1:11" s="1" customFormat="1" x14ac:dyDescent="0.25">
      <c r="A65" s="1" t="s">
        <v>251</v>
      </c>
      <c r="B65" s="2"/>
      <c r="C65" s="2"/>
      <c r="D65" s="2"/>
      <c r="E65" s="2"/>
      <c r="F65" s="2"/>
      <c r="G65" s="2"/>
      <c r="H65" s="2"/>
      <c r="I65" s="2"/>
      <c r="J65" s="2"/>
      <c r="K65" s="2"/>
    </row>
    <row r="66" spans="1:11" s="1" customFormat="1" x14ac:dyDescent="0.25">
      <c r="A66" s="1" t="s">
        <v>252</v>
      </c>
      <c r="B66" s="2"/>
      <c r="C66" s="2"/>
      <c r="D66" s="2"/>
      <c r="E66" s="2"/>
      <c r="F66" s="2"/>
      <c r="G66" s="2"/>
      <c r="H66" s="2"/>
      <c r="I66" s="2"/>
      <c r="J66" s="2"/>
      <c r="K66" s="2"/>
    </row>
    <row r="67" spans="1:11" s="1" customFormat="1" x14ac:dyDescent="0.25">
      <c r="A67" s="1" t="s">
        <v>253</v>
      </c>
      <c r="B67" s="2"/>
      <c r="C67" s="2"/>
      <c r="D67" s="2"/>
      <c r="E67" s="2"/>
      <c r="F67" s="2"/>
      <c r="G67" s="2"/>
      <c r="H67" s="2"/>
      <c r="I67" s="2"/>
      <c r="J67" s="2"/>
      <c r="K67" s="2"/>
    </row>
    <row r="68" spans="1:11" s="1" customFormat="1" x14ac:dyDescent="0.25">
      <c r="A68" s="1" t="s">
        <v>254</v>
      </c>
      <c r="B68" s="2"/>
      <c r="C68" s="2"/>
      <c r="D68" s="2"/>
      <c r="E68" s="2"/>
      <c r="F68" s="2"/>
      <c r="G68" s="2"/>
      <c r="H68" s="2"/>
      <c r="I68" s="2"/>
      <c r="J68" s="2"/>
      <c r="K68" s="2"/>
    </row>
    <row r="69" spans="1:11" s="1" customFormat="1" x14ac:dyDescent="0.25">
      <c r="A69" s="1" t="s">
        <v>255</v>
      </c>
      <c r="B69" s="2"/>
      <c r="C69" s="2"/>
      <c r="D69" s="2"/>
      <c r="E69" s="2"/>
      <c r="F69" s="2"/>
      <c r="G69" s="2"/>
      <c r="H69" s="2"/>
      <c r="I69" s="2"/>
      <c r="J69" s="2"/>
      <c r="K69" s="2"/>
    </row>
    <row r="70" spans="1:11" s="1" customFormat="1" x14ac:dyDescent="0.25">
      <c r="A70" s="1" t="s">
        <v>256</v>
      </c>
      <c r="B70" s="2"/>
      <c r="C70" s="2"/>
      <c r="D70" s="2"/>
      <c r="E70" s="2"/>
      <c r="F70" s="2"/>
      <c r="G70" s="2"/>
      <c r="H70" s="2"/>
      <c r="I70" s="2"/>
      <c r="J70" s="2"/>
      <c r="K70" s="2"/>
    </row>
    <row r="71" spans="1:11" s="1" customFormat="1" x14ac:dyDescent="0.25">
      <c r="A71" s="1" t="s">
        <v>257</v>
      </c>
      <c r="B71" s="2"/>
      <c r="C71" s="2"/>
      <c r="D71" s="2"/>
      <c r="E71" s="2"/>
      <c r="F71" s="2"/>
      <c r="G71" s="2"/>
      <c r="H71" s="2"/>
      <c r="I71" s="2"/>
      <c r="J71" s="2"/>
      <c r="K71" s="2"/>
    </row>
    <row r="72" spans="1:11" s="1" customFormat="1" x14ac:dyDescent="0.25">
      <c r="A72" s="1" t="s">
        <v>258</v>
      </c>
      <c r="B72" s="2"/>
      <c r="C72" s="2"/>
      <c r="D72" s="2"/>
      <c r="E72" s="2"/>
      <c r="F72" s="2"/>
      <c r="G72" s="2"/>
      <c r="H72" s="2"/>
      <c r="I72" s="2"/>
      <c r="J72" s="2"/>
      <c r="K72" s="2"/>
    </row>
    <row r="73" spans="1:11" s="1" customFormat="1" x14ac:dyDescent="0.25">
      <c r="A73" s="1" t="s">
        <v>259</v>
      </c>
      <c r="B73" s="2"/>
      <c r="C73" s="2"/>
      <c r="D73" s="2"/>
      <c r="E73" s="2"/>
      <c r="F73" s="2"/>
      <c r="G73" s="2"/>
      <c r="H73" s="2"/>
      <c r="I73" s="2"/>
      <c r="J73" s="2"/>
      <c r="K73" s="2"/>
    </row>
    <row r="74" spans="1:11" s="1" customFormat="1" x14ac:dyDescent="0.25">
      <c r="A74" s="2" t="s">
        <v>25</v>
      </c>
      <c r="B74" s="1" t="s">
        <v>26</v>
      </c>
      <c r="C74" s="1" t="s">
        <v>26</v>
      </c>
      <c r="D74" s="1" t="s">
        <v>26</v>
      </c>
      <c r="E74" s="1" t="s">
        <v>26</v>
      </c>
      <c r="F74" s="1" t="s">
        <v>26</v>
      </c>
      <c r="G74" s="1" t="s">
        <v>26</v>
      </c>
      <c r="H74" s="1" t="s">
        <v>26</v>
      </c>
      <c r="I74" s="1" t="s">
        <v>26</v>
      </c>
      <c r="J74" s="1" t="s">
        <v>26</v>
      </c>
    </row>
    <row r="75" spans="1:11" s="57" customFormat="1" x14ac:dyDescent="0.25">
      <c r="A75" s="58" t="s">
        <v>3561</v>
      </c>
      <c r="B75" s="59"/>
      <c r="C75" s="59"/>
      <c r="D75" s="59"/>
      <c r="E75" s="59"/>
      <c r="F75" s="59"/>
      <c r="G75" s="59"/>
      <c r="H75" s="59"/>
      <c r="I75" s="59"/>
      <c r="J75" s="59"/>
      <c r="K75" s="60"/>
    </row>
    <row r="76" spans="1:11" s="1" customFormat="1" x14ac:dyDescent="0.25">
      <c r="A76" s="2" t="s">
        <v>242</v>
      </c>
      <c r="B76" s="1" t="s">
        <v>4240</v>
      </c>
      <c r="C76" s="1" t="s">
        <v>4240</v>
      </c>
      <c r="D76" s="1" t="s">
        <v>4240</v>
      </c>
      <c r="E76" s="1" t="s">
        <v>4240</v>
      </c>
      <c r="F76" s="1" t="s">
        <v>4240</v>
      </c>
      <c r="G76" s="1" t="s">
        <v>4240</v>
      </c>
      <c r="H76" s="1" t="s">
        <v>4240</v>
      </c>
      <c r="I76" s="1" t="s">
        <v>4240</v>
      </c>
      <c r="J76" s="1" t="s">
        <v>4240</v>
      </c>
    </row>
    <row r="77" spans="1:11" s="1" customFormat="1" x14ac:dyDescent="0.25">
      <c r="A77" s="2" t="s">
        <v>243</v>
      </c>
      <c r="B77" s="63" t="s">
        <v>4241</v>
      </c>
      <c r="C77" s="63" t="s">
        <v>4241</v>
      </c>
      <c r="D77" s="63" t="s">
        <v>4241</v>
      </c>
      <c r="E77" s="63" t="s">
        <v>4241</v>
      </c>
      <c r="F77" s="63" t="s">
        <v>4241</v>
      </c>
      <c r="G77" s="63" t="s">
        <v>4241</v>
      </c>
      <c r="H77" s="63" t="s">
        <v>4241</v>
      </c>
      <c r="I77" s="63" t="s">
        <v>4241</v>
      </c>
      <c r="J77" s="63" t="s">
        <v>4241</v>
      </c>
    </row>
    <row r="78" spans="1:11" s="57" customFormat="1" x14ac:dyDescent="0.25">
      <c r="A78" s="58" t="s">
        <v>3562</v>
      </c>
      <c r="B78" s="59"/>
      <c r="C78" s="59"/>
      <c r="D78" s="59"/>
      <c r="E78" s="59"/>
      <c r="F78" s="59"/>
      <c r="G78" s="59"/>
      <c r="H78" s="59"/>
      <c r="I78" s="59"/>
      <c r="J78" s="59"/>
      <c r="K78" s="60"/>
    </row>
    <row r="79" spans="1:11" s="1" customFormat="1" x14ac:dyDescent="0.25">
      <c r="A79" s="2" t="s">
        <v>303</v>
      </c>
      <c r="B79" s="1" t="s">
        <v>4106</v>
      </c>
      <c r="C79" s="1" t="s">
        <v>4106</v>
      </c>
      <c r="D79" s="1" t="s">
        <v>4106</v>
      </c>
      <c r="E79" s="1" t="s">
        <v>4106</v>
      </c>
      <c r="F79" s="1" t="s">
        <v>4106</v>
      </c>
      <c r="G79" s="1" t="s">
        <v>4106</v>
      </c>
      <c r="H79" s="1" t="s">
        <v>4106</v>
      </c>
      <c r="I79" s="1" t="s">
        <v>4106</v>
      </c>
      <c r="J79" s="1" t="s">
        <v>4106</v>
      </c>
    </row>
    <row r="80" spans="1:11" s="1" customFormat="1" x14ac:dyDescent="0.25">
      <c r="A80" s="2" t="s">
        <v>304</v>
      </c>
      <c r="B80" s="2">
        <v>12</v>
      </c>
      <c r="C80" s="2">
        <v>12</v>
      </c>
      <c r="D80" s="2">
        <v>12</v>
      </c>
      <c r="E80" s="2">
        <v>12</v>
      </c>
      <c r="F80" s="2">
        <v>12</v>
      </c>
      <c r="G80" s="2">
        <v>12</v>
      </c>
      <c r="H80" s="2">
        <v>12</v>
      </c>
      <c r="I80" s="2">
        <v>12</v>
      </c>
      <c r="J80" s="2">
        <v>12</v>
      </c>
      <c r="K80" s="2"/>
    </row>
    <row r="81" spans="1:11" s="1" customFormat="1" x14ac:dyDescent="0.25">
      <c r="A81" s="2" t="s">
        <v>305</v>
      </c>
      <c r="B81" s="2">
        <v>23</v>
      </c>
      <c r="C81" s="2">
        <v>23</v>
      </c>
      <c r="D81" s="2">
        <v>23</v>
      </c>
      <c r="E81" s="2">
        <v>23</v>
      </c>
      <c r="F81" s="2">
        <v>23</v>
      </c>
      <c r="G81" s="2">
        <v>23</v>
      </c>
      <c r="H81" s="2">
        <v>23</v>
      </c>
      <c r="I81" s="2">
        <v>23</v>
      </c>
      <c r="J81" s="2">
        <v>23</v>
      </c>
      <c r="K81" s="2"/>
    </row>
    <row r="82" spans="1:11" s="1" customFormat="1" x14ac:dyDescent="0.25">
      <c r="A82" s="2" t="s">
        <v>306</v>
      </c>
      <c r="B82" s="2">
        <v>11530</v>
      </c>
      <c r="C82" s="2">
        <v>11530</v>
      </c>
      <c r="D82" s="2">
        <v>11530</v>
      </c>
      <c r="E82" s="2">
        <v>11530</v>
      </c>
      <c r="F82" s="2">
        <v>11530</v>
      </c>
      <c r="G82" s="2">
        <v>11530</v>
      </c>
      <c r="H82" s="2">
        <v>11530</v>
      </c>
      <c r="I82" s="2">
        <v>11530</v>
      </c>
      <c r="J82" s="2">
        <v>11530</v>
      </c>
      <c r="K82" s="2"/>
    </row>
    <row r="83" spans="1:11" s="1" customFormat="1" x14ac:dyDescent="0.25">
      <c r="A83" s="2" t="s">
        <v>307</v>
      </c>
      <c r="B83" s="1" t="s">
        <v>4144</v>
      </c>
      <c r="C83" s="1" t="s">
        <v>4144</v>
      </c>
      <c r="D83" s="1" t="s">
        <v>4144</v>
      </c>
      <c r="E83" s="1" t="s">
        <v>4144</v>
      </c>
      <c r="F83" s="1" t="s">
        <v>4144</v>
      </c>
      <c r="G83" s="1" t="s">
        <v>4144</v>
      </c>
      <c r="H83" s="1" t="s">
        <v>4144</v>
      </c>
      <c r="I83" s="1" t="s">
        <v>4144</v>
      </c>
      <c r="J83" s="1" t="s">
        <v>4144</v>
      </c>
    </row>
    <row r="84" spans="1:11" s="1" customFormat="1" x14ac:dyDescent="0.25">
      <c r="A84" s="2" t="s">
        <v>308</v>
      </c>
      <c r="B84" s="1" t="s">
        <v>4144</v>
      </c>
      <c r="C84" s="1" t="s">
        <v>4144</v>
      </c>
      <c r="D84" s="1" t="s">
        <v>4144</v>
      </c>
      <c r="E84" s="1" t="s">
        <v>4144</v>
      </c>
      <c r="F84" s="1" t="s">
        <v>4144</v>
      </c>
      <c r="G84" s="1" t="s">
        <v>4144</v>
      </c>
      <c r="H84" s="1" t="s">
        <v>4144</v>
      </c>
      <c r="I84" s="1" t="s">
        <v>4144</v>
      </c>
      <c r="J84" s="1" t="s">
        <v>4144</v>
      </c>
    </row>
    <row r="85" spans="1:11" s="1" customFormat="1" x14ac:dyDescent="0.25">
      <c r="A85" s="2" t="s">
        <v>309</v>
      </c>
      <c r="B85" s="1" t="s">
        <v>4145</v>
      </c>
      <c r="C85" s="1" t="s">
        <v>4145</v>
      </c>
      <c r="D85" s="1" t="s">
        <v>4145</v>
      </c>
      <c r="E85" s="1" t="s">
        <v>4145</v>
      </c>
      <c r="F85" s="1" t="s">
        <v>4145</v>
      </c>
      <c r="G85" s="1" t="s">
        <v>4145</v>
      </c>
      <c r="H85" s="1" t="s">
        <v>4145</v>
      </c>
      <c r="I85" s="1" t="s">
        <v>4145</v>
      </c>
      <c r="J85" s="1" t="s">
        <v>4145</v>
      </c>
    </row>
    <row r="86" spans="1:11" s="1" customFormat="1" x14ac:dyDescent="0.25">
      <c r="A86" s="2" t="s">
        <v>310</v>
      </c>
    </row>
    <row r="87" spans="1:11" s="1" customFormat="1" x14ac:dyDescent="0.25">
      <c r="A87" s="1" t="s">
        <v>311</v>
      </c>
      <c r="B87" s="2">
        <v>223</v>
      </c>
      <c r="C87" s="2">
        <v>223</v>
      </c>
      <c r="D87" s="2">
        <v>223</v>
      </c>
      <c r="E87" s="2">
        <v>223</v>
      </c>
      <c r="F87" s="2">
        <v>223</v>
      </c>
      <c r="G87" s="2">
        <v>223</v>
      </c>
      <c r="H87" s="2">
        <v>223</v>
      </c>
      <c r="I87" s="2">
        <v>223</v>
      </c>
      <c r="J87" s="2">
        <v>223</v>
      </c>
      <c r="K87" s="2"/>
    </row>
    <row r="88" spans="1:11" s="1" customFormat="1" x14ac:dyDescent="0.25">
      <c r="A88" s="1" t="s">
        <v>312</v>
      </c>
      <c r="B88" s="2">
        <v>12737</v>
      </c>
      <c r="C88" s="2">
        <v>12737</v>
      </c>
      <c r="D88" s="2">
        <v>12737</v>
      </c>
      <c r="E88" s="2">
        <v>12737</v>
      </c>
      <c r="F88" s="2">
        <v>12737</v>
      </c>
      <c r="G88" s="2">
        <v>12737</v>
      </c>
      <c r="H88" s="2">
        <v>12737</v>
      </c>
      <c r="I88" s="2">
        <v>12737</v>
      </c>
      <c r="J88" s="2">
        <v>12737</v>
      </c>
      <c r="K88" s="2"/>
    </row>
    <row r="89" spans="1:11" s="1" customFormat="1" x14ac:dyDescent="0.25">
      <c r="A89" s="1" t="s">
        <v>313</v>
      </c>
      <c r="B89" s="2"/>
      <c r="C89" s="2"/>
      <c r="D89" s="2"/>
      <c r="E89" s="2"/>
      <c r="F89" s="2"/>
      <c r="G89" s="2"/>
      <c r="H89" s="2"/>
      <c r="I89" s="2"/>
      <c r="J89" s="2"/>
      <c r="K89" s="2"/>
    </row>
    <row r="90" spans="1:11" s="1" customFormat="1" x14ac:dyDescent="0.25">
      <c r="A90" s="1" t="s">
        <v>314</v>
      </c>
      <c r="B90" s="2"/>
      <c r="C90" s="2"/>
      <c r="D90" s="2"/>
      <c r="E90" s="2"/>
      <c r="F90" s="2"/>
      <c r="G90" s="2"/>
      <c r="H90" s="2"/>
      <c r="I90" s="2"/>
      <c r="J90" s="2"/>
      <c r="K90" s="2"/>
    </row>
    <row r="91" spans="1:11" s="1" customFormat="1" x14ac:dyDescent="0.25">
      <c r="A91" s="1" t="s">
        <v>315</v>
      </c>
      <c r="B91" s="2"/>
      <c r="C91" s="2"/>
      <c r="D91" s="2"/>
      <c r="E91" s="2"/>
      <c r="F91" s="2"/>
      <c r="G91" s="2"/>
      <c r="H91" s="2"/>
      <c r="I91" s="2"/>
      <c r="J91" s="2"/>
      <c r="K91" s="2"/>
    </row>
    <row r="92" spans="1:11" s="1" customFormat="1" x14ac:dyDescent="0.25">
      <c r="A92" s="1" t="s">
        <v>316</v>
      </c>
      <c r="B92" s="2"/>
      <c r="C92" s="2"/>
      <c r="D92" s="2"/>
      <c r="E92" s="2"/>
      <c r="F92" s="2"/>
      <c r="G92" s="2"/>
      <c r="H92" s="2"/>
      <c r="I92" s="2"/>
      <c r="J92" s="2"/>
      <c r="K92" s="2"/>
    </row>
    <row r="93" spans="1:11" s="1" customFormat="1" x14ac:dyDescent="0.25">
      <c r="A93" s="1" t="s">
        <v>317</v>
      </c>
      <c r="B93" s="2"/>
      <c r="C93" s="2"/>
      <c r="D93" s="2"/>
      <c r="E93" s="2"/>
      <c r="F93" s="2"/>
      <c r="G93" s="2"/>
      <c r="H93" s="2"/>
      <c r="I93" s="2"/>
      <c r="J93" s="2"/>
      <c r="K93" s="2"/>
    </row>
    <row r="94" spans="1:11" s="1" customFormat="1" x14ac:dyDescent="0.25">
      <c r="A94" s="1" t="s">
        <v>318</v>
      </c>
      <c r="B94" s="2"/>
      <c r="C94" s="2"/>
      <c r="D94" s="2"/>
      <c r="E94" s="2"/>
      <c r="F94" s="2"/>
      <c r="G94" s="2"/>
      <c r="H94" s="2"/>
      <c r="I94" s="2"/>
      <c r="J94" s="2"/>
      <c r="K94" s="2"/>
    </row>
    <row r="95" spans="1:11" s="1" customFormat="1" x14ac:dyDescent="0.25">
      <c r="A95" s="1" t="s">
        <v>319</v>
      </c>
      <c r="B95" s="2"/>
      <c r="C95" s="2"/>
      <c r="D95" s="2"/>
      <c r="E95" s="2"/>
      <c r="F95" s="2"/>
      <c r="G95" s="2"/>
      <c r="H95" s="2"/>
      <c r="I95" s="2"/>
      <c r="J95" s="2"/>
      <c r="K95" s="2"/>
    </row>
    <row r="96" spans="1:11" s="1" customFormat="1" x14ac:dyDescent="0.25">
      <c r="A96" s="1" t="s">
        <v>320</v>
      </c>
      <c r="B96" s="2"/>
      <c r="C96" s="2"/>
      <c r="D96" s="2"/>
      <c r="E96" s="2"/>
      <c r="F96" s="2"/>
      <c r="G96" s="2"/>
      <c r="H96" s="2"/>
      <c r="I96" s="2"/>
      <c r="J96" s="2"/>
      <c r="K96" s="2"/>
    </row>
    <row r="97" spans="1:11" s="1" customFormat="1" x14ac:dyDescent="0.25">
      <c r="A97" s="1" t="s">
        <v>321</v>
      </c>
      <c r="B97" s="2"/>
      <c r="C97" s="2"/>
      <c r="D97" s="2"/>
      <c r="E97" s="2"/>
      <c r="F97" s="2"/>
      <c r="G97" s="2"/>
      <c r="H97" s="2"/>
      <c r="I97" s="2"/>
      <c r="J97" s="2"/>
      <c r="K97" s="2"/>
    </row>
    <row r="98" spans="1:11" s="1" customFormat="1" x14ac:dyDescent="0.25">
      <c r="A98" s="2" t="s">
        <v>322</v>
      </c>
      <c r="B98" s="1" t="s">
        <v>2991</v>
      </c>
      <c r="C98" s="1" t="s">
        <v>2991</v>
      </c>
      <c r="D98" s="1" t="s">
        <v>2991</v>
      </c>
      <c r="E98" s="1" t="s">
        <v>2991</v>
      </c>
      <c r="F98" s="1" t="s">
        <v>2991</v>
      </c>
      <c r="G98" s="1" t="s">
        <v>2991</v>
      </c>
      <c r="H98" s="1" t="s">
        <v>2991</v>
      </c>
      <c r="I98" s="1" t="s">
        <v>2991</v>
      </c>
      <c r="J98" s="1" t="s">
        <v>2991</v>
      </c>
    </row>
    <row r="99" spans="1:11" s="57" customFormat="1" x14ac:dyDescent="0.25">
      <c r="A99" s="58" t="s">
        <v>3563</v>
      </c>
      <c r="B99" s="59"/>
      <c r="C99" s="59"/>
      <c r="D99" s="59"/>
      <c r="E99" s="59"/>
      <c r="F99" s="59"/>
      <c r="G99" s="59"/>
      <c r="H99" s="59"/>
      <c r="I99" s="59"/>
      <c r="J99" s="59"/>
      <c r="K99" s="60"/>
    </row>
    <row r="100" spans="1:11" s="1" customFormat="1" x14ac:dyDescent="0.25">
      <c r="A100" s="2" t="s">
        <v>244</v>
      </c>
      <c r="B100" s="1" t="s">
        <v>4242</v>
      </c>
      <c r="C100" s="1" t="s">
        <v>4242</v>
      </c>
      <c r="D100" s="1" t="s">
        <v>4242</v>
      </c>
      <c r="E100" s="1" t="s">
        <v>4242</v>
      </c>
      <c r="F100" s="1" t="s">
        <v>4242</v>
      </c>
      <c r="G100" s="1" t="s">
        <v>4242</v>
      </c>
      <c r="H100" s="1" t="s">
        <v>4242</v>
      </c>
      <c r="I100" s="1" t="s">
        <v>4242</v>
      </c>
      <c r="J100" s="1" t="s">
        <v>4242</v>
      </c>
    </row>
    <row r="101" spans="1:11" s="1" customFormat="1" x14ac:dyDescent="0.25">
      <c r="A101" s="2" t="s">
        <v>245</v>
      </c>
      <c r="B101" s="1" t="s">
        <v>4243</v>
      </c>
      <c r="C101" s="1" t="s">
        <v>4243</v>
      </c>
      <c r="D101" s="1" t="s">
        <v>4243</v>
      </c>
      <c r="E101" s="1" t="s">
        <v>4243</v>
      </c>
      <c r="F101" s="1" t="s">
        <v>4243</v>
      </c>
      <c r="G101" s="1" t="s">
        <v>4243</v>
      </c>
      <c r="H101" s="1" t="s">
        <v>4243</v>
      </c>
      <c r="I101" s="1" t="s">
        <v>4243</v>
      </c>
      <c r="J101" s="1" t="s">
        <v>4243</v>
      </c>
    </row>
    <row r="102" spans="1:11" s="1" customFormat="1" x14ac:dyDescent="0.25">
      <c r="A102" s="2" t="s">
        <v>282</v>
      </c>
      <c r="B102" s="1" t="s">
        <v>4244</v>
      </c>
      <c r="C102" s="1" t="s">
        <v>4244</v>
      </c>
      <c r="D102" s="1" t="s">
        <v>4244</v>
      </c>
      <c r="E102" s="1" t="s">
        <v>4244</v>
      </c>
      <c r="F102" s="1" t="s">
        <v>4244</v>
      </c>
      <c r="G102" s="1" t="s">
        <v>4244</v>
      </c>
      <c r="H102" s="1" t="s">
        <v>4244</v>
      </c>
      <c r="I102" s="1" t="s">
        <v>4244</v>
      </c>
      <c r="J102" s="1" t="s">
        <v>4244</v>
      </c>
    </row>
    <row r="103" spans="1:11" s="1" customFormat="1" x14ac:dyDescent="0.25">
      <c r="A103" s="2" t="s">
        <v>246</v>
      </c>
      <c r="B103" s="1" t="s">
        <v>4245</v>
      </c>
      <c r="C103" s="1" t="s">
        <v>4245</v>
      </c>
      <c r="D103" s="1" t="s">
        <v>4245</v>
      </c>
      <c r="E103" s="1" t="s">
        <v>4245</v>
      </c>
      <c r="F103" s="1" t="s">
        <v>4245</v>
      </c>
      <c r="G103" s="1" t="s">
        <v>4245</v>
      </c>
      <c r="H103" s="1" t="s">
        <v>4245</v>
      </c>
      <c r="I103" s="1" t="s">
        <v>4245</v>
      </c>
      <c r="J103" s="1" t="s">
        <v>4245</v>
      </c>
    </row>
    <row r="104" spans="1:11" s="1" customFormat="1" x14ac:dyDescent="0.25">
      <c r="A104" s="2" t="s">
        <v>247</v>
      </c>
      <c r="B104" s="63" t="s">
        <v>4246</v>
      </c>
      <c r="C104" s="63" t="s">
        <v>4246</v>
      </c>
      <c r="D104" s="63" t="s">
        <v>4246</v>
      </c>
      <c r="E104" s="63" t="s">
        <v>4246</v>
      </c>
      <c r="F104" s="63" t="s">
        <v>4246</v>
      </c>
      <c r="G104" s="63" t="s">
        <v>4246</v>
      </c>
      <c r="H104" s="63" t="s">
        <v>4246</v>
      </c>
      <c r="I104" s="63" t="s">
        <v>4246</v>
      </c>
      <c r="J104" s="63" t="s">
        <v>4246</v>
      </c>
    </row>
    <row r="105" spans="1:11" s="57" customFormat="1" x14ac:dyDescent="0.25">
      <c r="A105" s="58" t="s">
        <v>3564</v>
      </c>
      <c r="B105" s="59"/>
      <c r="C105" s="59"/>
      <c r="D105" s="59"/>
      <c r="E105" s="59"/>
      <c r="F105" s="59"/>
      <c r="G105" s="59"/>
      <c r="H105" s="59"/>
      <c r="I105" s="59"/>
      <c r="J105" s="59"/>
      <c r="K105" s="60"/>
    </row>
    <row r="106" spans="1:11" s="1" customFormat="1" x14ac:dyDescent="0.25">
      <c r="A106" s="2" t="s">
        <v>283</v>
      </c>
      <c r="B106" s="1" t="s">
        <v>4106</v>
      </c>
      <c r="C106" s="1" t="s">
        <v>4106</v>
      </c>
      <c r="D106" s="1" t="s">
        <v>4106</v>
      </c>
      <c r="E106" s="1" t="s">
        <v>4106</v>
      </c>
      <c r="F106" s="1" t="s">
        <v>4106</v>
      </c>
      <c r="G106" s="1" t="s">
        <v>4106</v>
      </c>
      <c r="H106" s="1" t="s">
        <v>4106</v>
      </c>
      <c r="I106" s="1" t="s">
        <v>4106</v>
      </c>
      <c r="J106" s="1" t="s">
        <v>4106</v>
      </c>
    </row>
    <row r="107" spans="1:11" s="1" customFormat="1" x14ac:dyDescent="0.25">
      <c r="A107" s="2" t="s">
        <v>284</v>
      </c>
      <c r="B107" s="2">
        <v>1</v>
      </c>
      <c r="C107" s="2">
        <v>1</v>
      </c>
      <c r="D107" s="2">
        <v>1</v>
      </c>
      <c r="E107" s="2">
        <v>1</v>
      </c>
      <c r="F107" s="2">
        <v>1</v>
      </c>
      <c r="G107" s="2">
        <v>1</v>
      </c>
      <c r="H107" s="2">
        <v>1</v>
      </c>
      <c r="I107" s="2">
        <v>1</v>
      </c>
      <c r="J107" s="2">
        <v>1</v>
      </c>
      <c r="K107" s="2"/>
    </row>
    <row r="108" spans="1:11" s="1" customFormat="1" x14ac:dyDescent="0.25">
      <c r="A108" s="2" t="s">
        <v>285</v>
      </c>
      <c r="B108" s="2">
        <v>1</v>
      </c>
      <c r="C108" s="2">
        <v>1</v>
      </c>
      <c r="D108" s="2">
        <v>1</v>
      </c>
      <c r="E108" s="2">
        <v>1</v>
      </c>
      <c r="F108" s="2">
        <v>1</v>
      </c>
      <c r="G108" s="2">
        <v>1</v>
      </c>
      <c r="H108" s="2">
        <v>1</v>
      </c>
      <c r="I108" s="2">
        <v>1</v>
      </c>
      <c r="J108" s="2">
        <v>1</v>
      </c>
      <c r="K108" s="2"/>
    </row>
    <row r="109" spans="1:11" s="1" customFormat="1" x14ac:dyDescent="0.25">
      <c r="A109" s="2" t="s">
        <v>286</v>
      </c>
      <c r="B109" s="2">
        <v>11530</v>
      </c>
      <c r="C109" s="2">
        <v>11530</v>
      </c>
      <c r="D109" s="2">
        <v>11530</v>
      </c>
      <c r="E109" s="2">
        <v>11530</v>
      </c>
      <c r="F109" s="2">
        <v>11530</v>
      </c>
      <c r="G109" s="2">
        <v>11530</v>
      </c>
      <c r="H109" s="2">
        <v>11530</v>
      </c>
      <c r="I109" s="2">
        <v>11530</v>
      </c>
      <c r="J109" s="2">
        <v>11530</v>
      </c>
      <c r="K109" s="2"/>
    </row>
    <row r="110" spans="1:11" s="1" customFormat="1" x14ac:dyDescent="0.25">
      <c r="A110" s="2" t="s">
        <v>287</v>
      </c>
      <c r="B110" s="1" t="s">
        <v>4144</v>
      </c>
      <c r="C110" s="1" t="s">
        <v>4144</v>
      </c>
      <c r="D110" s="1" t="s">
        <v>4144</v>
      </c>
      <c r="E110" s="1" t="s">
        <v>4144</v>
      </c>
      <c r="F110" s="1" t="s">
        <v>4144</v>
      </c>
      <c r="G110" s="1" t="s">
        <v>4144</v>
      </c>
      <c r="H110" s="1" t="s">
        <v>4144</v>
      </c>
      <c r="I110" s="1" t="s">
        <v>4144</v>
      </c>
      <c r="J110" s="1" t="s">
        <v>4144</v>
      </c>
    </row>
    <row r="111" spans="1:11" s="1" customFormat="1" x14ac:dyDescent="0.25">
      <c r="A111" s="2" t="s">
        <v>288</v>
      </c>
      <c r="B111" s="1" t="s">
        <v>4144</v>
      </c>
      <c r="C111" s="1" t="s">
        <v>4144</v>
      </c>
      <c r="D111" s="1" t="s">
        <v>4144</v>
      </c>
      <c r="E111" s="1" t="s">
        <v>4144</v>
      </c>
      <c r="F111" s="1" t="s">
        <v>4144</v>
      </c>
      <c r="G111" s="1" t="s">
        <v>4144</v>
      </c>
      <c r="H111" s="1" t="s">
        <v>4144</v>
      </c>
      <c r="I111" s="1" t="s">
        <v>4144</v>
      </c>
      <c r="J111" s="1" t="s">
        <v>4144</v>
      </c>
    </row>
    <row r="112" spans="1:11" s="1" customFormat="1" x14ac:dyDescent="0.25">
      <c r="A112" s="2" t="s">
        <v>289</v>
      </c>
      <c r="B112" s="1" t="s">
        <v>4145</v>
      </c>
      <c r="C112" s="1" t="s">
        <v>4145</v>
      </c>
      <c r="D112" s="1" t="s">
        <v>4145</v>
      </c>
      <c r="E112" s="1" t="s">
        <v>4145</v>
      </c>
      <c r="F112" s="1" t="s">
        <v>4145</v>
      </c>
      <c r="G112" s="1" t="s">
        <v>4145</v>
      </c>
      <c r="H112" s="1" t="s">
        <v>4145</v>
      </c>
      <c r="I112" s="1" t="s">
        <v>4145</v>
      </c>
      <c r="J112" s="1" t="s">
        <v>4145</v>
      </c>
    </row>
    <row r="113" spans="1:11" s="1" customFormat="1" x14ac:dyDescent="0.25">
      <c r="A113" s="2" t="s">
        <v>290</v>
      </c>
      <c r="B113" s="1" t="s">
        <v>4247</v>
      </c>
      <c r="C113" s="1" t="s">
        <v>4247</v>
      </c>
      <c r="D113" s="1" t="s">
        <v>4247</v>
      </c>
      <c r="E113" s="1" t="s">
        <v>4247</v>
      </c>
      <c r="F113" s="1" t="s">
        <v>4247</v>
      </c>
      <c r="G113" s="1" t="s">
        <v>4247</v>
      </c>
      <c r="H113" s="1" t="s">
        <v>4247</v>
      </c>
      <c r="I113" s="1" t="s">
        <v>4247</v>
      </c>
      <c r="J113" s="1" t="s">
        <v>4247</v>
      </c>
    </row>
    <row r="114" spans="1:11" s="1" customFormat="1" x14ac:dyDescent="0.25">
      <c r="A114" s="1" t="s">
        <v>291</v>
      </c>
      <c r="B114" s="2">
        <v>123</v>
      </c>
      <c r="C114" s="2">
        <v>123</v>
      </c>
      <c r="D114" s="2">
        <v>123</v>
      </c>
      <c r="E114" s="2">
        <v>123</v>
      </c>
      <c r="F114" s="2">
        <v>123</v>
      </c>
      <c r="G114" s="2">
        <v>123</v>
      </c>
      <c r="H114" s="2">
        <v>123</v>
      </c>
      <c r="I114" s="2">
        <v>123</v>
      </c>
      <c r="J114" s="2">
        <v>123</v>
      </c>
      <c r="K114" s="2"/>
    </row>
    <row r="115" spans="1:11" s="1" customFormat="1" x14ac:dyDescent="0.25">
      <c r="A115" s="1" t="s">
        <v>292</v>
      </c>
      <c r="B115" s="2">
        <v>123123</v>
      </c>
      <c r="C115" s="2">
        <v>123123</v>
      </c>
      <c r="D115" s="2">
        <v>123123</v>
      </c>
      <c r="E115" s="2">
        <v>123123</v>
      </c>
      <c r="F115" s="2">
        <v>123123</v>
      </c>
      <c r="G115" s="2">
        <v>123123</v>
      </c>
      <c r="H115" s="2">
        <v>123123</v>
      </c>
      <c r="I115" s="2">
        <v>123123</v>
      </c>
      <c r="J115" s="2">
        <v>123123</v>
      </c>
      <c r="K115" s="2"/>
    </row>
    <row r="116" spans="1:11" s="1" customFormat="1" x14ac:dyDescent="0.25">
      <c r="A116" s="1" t="s">
        <v>293</v>
      </c>
      <c r="B116" s="2"/>
      <c r="C116" s="2"/>
      <c r="D116" s="2"/>
      <c r="E116" s="2"/>
      <c r="F116" s="2"/>
      <c r="G116" s="2"/>
      <c r="H116" s="2"/>
      <c r="I116" s="2"/>
      <c r="J116" s="2"/>
      <c r="K116" s="2"/>
    </row>
    <row r="117" spans="1:11" s="1" customFormat="1" x14ac:dyDescent="0.25">
      <c r="A117" s="1" t="s">
        <v>294</v>
      </c>
      <c r="B117" s="2"/>
      <c r="C117" s="2"/>
      <c r="D117" s="2"/>
      <c r="E117" s="2"/>
      <c r="F117" s="2"/>
      <c r="G117" s="2"/>
      <c r="H117" s="2"/>
      <c r="I117" s="2"/>
      <c r="J117" s="2"/>
      <c r="K117" s="2"/>
    </row>
    <row r="118" spans="1:11" s="1" customFormat="1" x14ac:dyDescent="0.25">
      <c r="A118" s="1" t="s">
        <v>295</v>
      </c>
      <c r="B118" s="2"/>
      <c r="C118" s="2"/>
      <c r="D118" s="2"/>
      <c r="E118" s="2"/>
      <c r="F118" s="2"/>
      <c r="G118" s="2"/>
      <c r="H118" s="2"/>
      <c r="I118" s="2"/>
      <c r="J118" s="2"/>
      <c r="K118" s="2"/>
    </row>
    <row r="119" spans="1:11" s="1" customFormat="1" x14ac:dyDescent="0.25">
      <c r="A119" s="1" t="s">
        <v>296</v>
      </c>
      <c r="B119" s="2"/>
      <c r="C119" s="2"/>
      <c r="D119" s="2"/>
      <c r="E119" s="2"/>
      <c r="F119" s="2"/>
      <c r="G119" s="2"/>
      <c r="H119" s="2"/>
      <c r="I119" s="2"/>
      <c r="J119" s="2"/>
      <c r="K119" s="2"/>
    </row>
    <row r="120" spans="1:11" s="1" customFormat="1" x14ac:dyDescent="0.25">
      <c r="A120" s="1" t="s">
        <v>297</v>
      </c>
      <c r="B120" s="2"/>
      <c r="C120" s="2"/>
      <c r="D120" s="2"/>
      <c r="E120" s="2"/>
      <c r="F120" s="2"/>
      <c r="G120" s="2"/>
      <c r="H120" s="2"/>
      <c r="I120" s="2"/>
      <c r="J120" s="2"/>
      <c r="K120" s="2"/>
    </row>
    <row r="121" spans="1:11" s="1" customFormat="1" x14ac:dyDescent="0.25">
      <c r="A121" s="1" t="s">
        <v>298</v>
      </c>
      <c r="B121" s="2"/>
      <c r="C121" s="2"/>
      <c r="D121" s="2"/>
      <c r="E121" s="2"/>
      <c r="F121" s="2"/>
      <c r="G121" s="2"/>
      <c r="H121" s="2"/>
      <c r="I121" s="2"/>
      <c r="J121" s="2"/>
      <c r="K121" s="2"/>
    </row>
    <row r="122" spans="1:11" s="1" customFormat="1" x14ac:dyDescent="0.25">
      <c r="A122" s="1" t="s">
        <v>299</v>
      </c>
      <c r="B122" s="2"/>
      <c r="C122" s="2"/>
      <c r="D122" s="2"/>
      <c r="E122" s="2"/>
      <c r="F122" s="2"/>
      <c r="G122" s="2"/>
      <c r="H122" s="2"/>
      <c r="I122" s="2"/>
      <c r="J122" s="2"/>
      <c r="K122" s="2"/>
    </row>
    <row r="123" spans="1:11" s="1" customFormat="1" x14ac:dyDescent="0.25">
      <c r="A123" s="1" t="s">
        <v>300</v>
      </c>
      <c r="B123" s="2"/>
      <c r="C123" s="2"/>
      <c r="D123" s="2"/>
      <c r="E123" s="2"/>
      <c r="F123" s="2"/>
      <c r="G123" s="2"/>
      <c r="H123" s="2"/>
      <c r="I123" s="2"/>
      <c r="J123" s="2"/>
      <c r="K123" s="2"/>
    </row>
    <row r="124" spans="1:11" s="1" customFormat="1" x14ac:dyDescent="0.25">
      <c r="A124" s="1" t="s">
        <v>301</v>
      </c>
      <c r="B124" s="2"/>
      <c r="C124" s="2"/>
      <c r="D124" s="2"/>
      <c r="E124" s="2"/>
      <c r="F124" s="2"/>
      <c r="G124" s="2"/>
      <c r="H124" s="2"/>
      <c r="I124" s="2"/>
      <c r="J124" s="2"/>
      <c r="K124" s="2"/>
    </row>
    <row r="125" spans="1:11" s="1" customFormat="1" x14ac:dyDescent="0.25">
      <c r="A125" s="2" t="s">
        <v>302</v>
      </c>
      <c r="B125" s="1" t="s">
        <v>2996</v>
      </c>
      <c r="C125" s="1" t="s">
        <v>2996</v>
      </c>
      <c r="D125" s="1" t="s">
        <v>2996</v>
      </c>
      <c r="E125" s="1" t="s">
        <v>2996</v>
      </c>
      <c r="F125" s="1" t="s">
        <v>2996</v>
      </c>
      <c r="G125" s="1" t="s">
        <v>2996</v>
      </c>
      <c r="H125" s="1" t="s">
        <v>2996</v>
      </c>
      <c r="I125" s="1" t="s">
        <v>2996</v>
      </c>
      <c r="J125" s="1" t="s">
        <v>2996</v>
      </c>
    </row>
  </sheetData>
  <mergeCells count="2">
    <mergeCell ref="A13:XFD13"/>
    <mergeCell ref="A11:XFD11"/>
  </mergeCells>
  <dataValidations count="13">
    <dataValidation type="list" allowBlank="1" showInputMessage="1" showErrorMessage="1" sqref="K18:K19 K22">
      <formula1>"Yes, No"</formula1>
    </dataValidation>
    <dataValidation type="list" showInputMessage="1" showErrorMessage="1" sqref="K74 K98 K125">
      <formula1>"Dinas, Family, KPR, Rented, Self - Owned"</formula1>
    </dataValidation>
    <dataValidation type="list" allowBlank="1" showInputMessage="1" showErrorMessage="1" sqref="K17">
      <formula1>"Contract, Permanent"</formula1>
    </dataValidation>
    <dataValidation type="whole" errorStyle="information" allowBlank="1" showInputMessage="1" showErrorMessage="1" sqref="B26:J26">
      <formula1>0</formula1>
      <formula2>9.99999999999999E+22</formula2>
    </dataValidation>
    <dataValidation type="list" errorStyle="information" allowBlank="1" showInputMessage="1" showErrorMessage="1" sqref="B74:J74 B125:J125 B98:J98">
      <formula1>"Dinas, Family, KPR, Rented, Self - Owned"</formula1>
    </dataValidation>
    <dataValidation errorStyle="information" allowBlank="1" showInputMessage="1" showErrorMessage="1" sqref="B20:J21 B23:J25 B28:J28 B31:J32 B34:J36 B38:J38 B40:J40 B42:J42 B46:J47 B49:J51 B55:J61 B106:J124 B79:J85 B100:J104 B14:J14"/>
    <dataValidation type="list" errorStyle="information" allowBlank="1" showInputMessage="1" showErrorMessage="1" sqref="B29:J29 B39:J39 B43:J43 B15:J15">
      <formula1>ListJobProfession</formula1>
    </dataValidation>
    <dataValidation type="list" errorStyle="information" allowBlank="1" showInputMessage="1" showErrorMessage="1" sqref="B44:J44 B16:J16">
      <formula1>ListJobPosition</formula1>
    </dataValidation>
    <dataValidation type="list" errorStyle="information" allowBlank="1" showInputMessage="1" showErrorMessage="1" sqref="B17:J17">
      <formula1>"Contract, Permanent"</formula1>
    </dataValidation>
    <dataValidation type="list" errorStyle="information" allowBlank="1" showInputMessage="1" showErrorMessage="1" sqref="B30:J30 B45:J45 B18:J19">
      <formula1>"Yes, No"</formula1>
    </dataValidation>
    <dataValidation type="list" errorStyle="information" allowBlank="1" showInputMessage="1" showErrorMessage="1" sqref="B33:J33 B48:J48 B22:J22">
      <formula1>ListIndustryType</formula1>
    </dataValidation>
    <dataValidation type="whole" errorStyle="information" allowBlank="1" showInputMessage="1" showErrorMessage="1" sqref="B52:J52">
      <formula1>0</formula1>
      <formula2>999999999999999000000</formula2>
    </dataValidation>
    <dataValidation type="list" errorStyle="information" allowBlank="1" showInputMessage="1" showErrorMessage="1" sqref="B53:J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B1" workbookViewId="0">
      <selection activeCell="K13" sqref="K13"/>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3283</v>
      </c>
      <c r="C1" t="s">
        <v>3283</v>
      </c>
      <c r="D1" s="1" t="s">
        <v>3283</v>
      </c>
      <c r="E1" s="1" t="s">
        <v>3283</v>
      </c>
      <c r="F1" s="1" t="s">
        <v>3283</v>
      </c>
      <c r="G1" s="1" t="s">
        <v>3283</v>
      </c>
      <c r="H1" s="1" t="s">
        <v>3283</v>
      </c>
      <c r="I1" s="1" t="s">
        <v>3283</v>
      </c>
      <c r="J1" s="1" t="s">
        <v>3283</v>
      </c>
    </row>
    <row r="2" spans="1:11" s="1" customFormat="1" x14ac:dyDescent="0.25">
      <c r="A2" s="1" t="s">
        <v>4146</v>
      </c>
      <c r="B2" s="1" t="s">
        <v>4249</v>
      </c>
      <c r="C2" s="1" t="s">
        <v>4249</v>
      </c>
      <c r="D2" s="1" t="s">
        <v>4249</v>
      </c>
      <c r="E2" s="1" t="s">
        <v>4249</v>
      </c>
      <c r="F2" s="1" t="s">
        <v>4249</v>
      </c>
      <c r="G2" s="1" t="s">
        <v>4249</v>
      </c>
      <c r="H2" s="1" t="s">
        <v>4249</v>
      </c>
      <c r="I2" s="1" t="s">
        <v>4249</v>
      </c>
      <c r="J2" s="1" t="s">
        <v>4249</v>
      </c>
    </row>
    <row r="3" spans="1:11" s="1" customFormat="1" x14ac:dyDescent="0.25">
      <c r="A3" s="1" t="s">
        <v>4147</v>
      </c>
    </row>
    <row r="4" spans="1:11" s="1" customFormat="1" x14ac:dyDescent="0.25">
      <c r="A4" s="1" t="s">
        <v>4156</v>
      </c>
      <c r="B4" s="1">
        <f>IF(B12="Input Data",COUNTIFS($A$15:$A$42,"*$*",B15:B42,""),COUNTIFS($A$13:$A$14,"*$*",B13:B14,""))</f>
        <v>0</v>
      </c>
      <c r="C4" s="1">
        <f t="shared" ref="C4:J4" si="0">IF(C12="Input Data",COUNTIFS($A$15:$A$42,"*$*",C15:C42,""),COUNTIFS($A$13:$A$14,"*$*",C13:C14,""))</f>
        <v>0</v>
      </c>
      <c r="D4" s="1">
        <f t="shared" si="0"/>
        <v>0</v>
      </c>
      <c r="E4" s="1">
        <f t="shared" si="0"/>
        <v>0</v>
      </c>
      <c r="F4" s="1">
        <f t="shared" si="0"/>
        <v>0</v>
      </c>
      <c r="G4" s="1">
        <f t="shared" si="0"/>
        <v>0</v>
      </c>
      <c r="H4" s="1">
        <f t="shared" si="0"/>
        <v>0</v>
      </c>
      <c r="I4" s="1">
        <f t="shared" si="0"/>
        <v>0</v>
      </c>
      <c r="J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r="11" spans="1:11" s="53" customFormat="1" x14ac:dyDescent="0.25">
      <c r="B11" s="54"/>
      <c r="C11" s="54"/>
      <c r="D11" s="55"/>
      <c r="E11" s="55"/>
    </row>
    <row r="12" spans="1:11" s="1" customFormat="1" x14ac:dyDescent="0.25">
      <c r="A12" s="1" t="s">
        <v>4109</v>
      </c>
      <c r="B12" s="50" t="s">
        <v>4110</v>
      </c>
      <c r="C12" s="50" t="s">
        <v>4110</v>
      </c>
      <c r="D12" s="50" t="s">
        <v>4110</v>
      </c>
      <c r="E12" s="50" t="s">
        <v>4110</v>
      </c>
      <c r="F12" s="50" t="s">
        <v>4110</v>
      </c>
      <c r="G12" s="50" t="s">
        <v>4110</v>
      </c>
      <c r="H12" s="50" t="s">
        <v>4110</v>
      </c>
      <c r="I12" s="50" t="s">
        <v>4110</v>
      </c>
      <c r="J12" s="50" t="s">
        <v>4110</v>
      </c>
    </row>
    <row r="13" spans="1:11" s="1" customFormat="1" x14ac:dyDescent="0.25">
      <c r="A13" s="37" t="s">
        <v>4171</v>
      </c>
      <c r="B13" s="4"/>
      <c r="C13" s="4"/>
      <c r="D13" s="4"/>
      <c r="E13" s="4"/>
      <c r="F13" s="4"/>
      <c r="G13" s="4"/>
      <c r="H13" s="4"/>
      <c r="I13" s="4"/>
      <c r="J13" s="4"/>
    </row>
    <row r="14" spans="1:11" s="1" customFormat="1" x14ac:dyDescent="0.25">
      <c r="A14" s="37" t="s">
        <v>4172</v>
      </c>
      <c r="B14" s="1" t="s">
        <v>4108</v>
      </c>
      <c r="C14" s="1" t="s">
        <v>4108</v>
      </c>
      <c r="D14" s="1" t="s">
        <v>4108</v>
      </c>
      <c r="E14" s="1" t="s">
        <v>4108</v>
      </c>
      <c r="F14" s="1" t="s">
        <v>4108</v>
      </c>
      <c r="G14" s="1" t="s">
        <v>4108</v>
      </c>
      <c r="H14" s="1" t="s">
        <v>4108</v>
      </c>
      <c r="I14" s="1" t="s">
        <v>4108</v>
      </c>
      <c r="J14" s="1" t="s">
        <v>4108</v>
      </c>
      <c r="K14" s="2"/>
    </row>
    <row r="15" spans="1:11" s="1" customFormat="1" x14ac:dyDescent="0.25">
      <c r="A15" s="37" t="s">
        <v>4173</v>
      </c>
      <c r="B15" s="1" t="s">
        <v>4138</v>
      </c>
      <c r="C15" s="1" t="s">
        <v>4138</v>
      </c>
      <c r="D15" s="1" t="s">
        <v>4138</v>
      </c>
      <c r="E15" s="1" t="s">
        <v>4138</v>
      </c>
      <c r="F15" s="1" t="s">
        <v>4138</v>
      </c>
      <c r="G15" s="1" t="s">
        <v>4138</v>
      </c>
      <c r="H15" s="1" t="s">
        <v>4138</v>
      </c>
      <c r="I15" s="1" t="s">
        <v>4138</v>
      </c>
      <c r="J15" s="1" t="s">
        <v>4138</v>
      </c>
      <c r="K15" s="8"/>
    </row>
    <row r="16" spans="1:11" s="1" customFormat="1" x14ac:dyDescent="0.25">
      <c r="A16" s="2" t="s">
        <v>4111</v>
      </c>
      <c r="B16" s="1" t="s">
        <v>4125</v>
      </c>
      <c r="C16" s="1" t="s">
        <v>4125</v>
      </c>
      <c r="D16" s="1" t="s">
        <v>4125</v>
      </c>
      <c r="E16" s="1" t="s">
        <v>4125</v>
      </c>
      <c r="F16" s="1" t="s">
        <v>4125</v>
      </c>
      <c r="G16" s="1" t="s">
        <v>4125</v>
      </c>
      <c r="H16" s="1" t="s">
        <v>4125</v>
      </c>
      <c r="I16" s="1" t="s">
        <v>4125</v>
      </c>
      <c r="J16" s="1" t="s">
        <v>4125</v>
      </c>
      <c r="K16" s="8"/>
    </row>
    <row r="17" spans="1:11" s="1" customFormat="1" x14ac:dyDescent="0.25">
      <c r="A17" s="37" t="s">
        <v>4112</v>
      </c>
      <c r="B17" s="3" t="s">
        <v>4250</v>
      </c>
      <c r="C17" s="3" t="s">
        <v>4250</v>
      </c>
      <c r="D17" s="3" t="s">
        <v>4250</v>
      </c>
      <c r="E17" s="3" t="s">
        <v>4250</v>
      </c>
      <c r="F17" s="3" t="s">
        <v>4250</v>
      </c>
      <c r="G17" s="3" t="s">
        <v>4250</v>
      </c>
      <c r="H17" s="3" t="s">
        <v>4250</v>
      </c>
      <c r="I17" s="3" t="s">
        <v>4250</v>
      </c>
      <c r="J17" s="3" t="s">
        <v>4250</v>
      </c>
      <c r="K17" s="8"/>
    </row>
    <row r="18" spans="1:11" s="1" customFormat="1" x14ac:dyDescent="0.25">
      <c r="A18" s="2" t="s">
        <v>4113</v>
      </c>
      <c r="K18" s="8"/>
    </row>
    <row r="19" spans="1:11" s="1" customFormat="1" x14ac:dyDescent="0.25">
      <c r="A19" s="51" t="s">
        <v>41</v>
      </c>
      <c r="B19" s="8" t="s">
        <v>333</v>
      </c>
      <c r="C19" s="8" t="s">
        <v>333</v>
      </c>
      <c r="D19" s="8" t="s">
        <v>333</v>
      </c>
      <c r="E19" s="8" t="s">
        <v>333</v>
      </c>
      <c r="F19" s="8" t="s">
        <v>333</v>
      </c>
      <c r="G19" s="8" t="s">
        <v>333</v>
      </c>
      <c r="H19" s="8" t="s">
        <v>333</v>
      </c>
      <c r="I19" s="8" t="s">
        <v>333</v>
      </c>
      <c r="J19" s="8" t="s">
        <v>333</v>
      </c>
      <c r="K19" s="8"/>
    </row>
    <row r="20" spans="1:11" s="1" customFormat="1" x14ac:dyDescent="0.25">
      <c r="A20" s="2" t="s">
        <v>4115</v>
      </c>
      <c r="B20" s="52" t="s">
        <v>4139</v>
      </c>
      <c r="C20" s="52" t="s">
        <v>4139</v>
      </c>
      <c r="D20" s="52" t="s">
        <v>4139</v>
      </c>
      <c r="E20" s="52" t="s">
        <v>4139</v>
      </c>
      <c r="F20" s="52" t="s">
        <v>4139</v>
      </c>
      <c r="G20" s="52" t="s">
        <v>4139</v>
      </c>
      <c r="H20" s="52" t="s">
        <v>4139</v>
      </c>
      <c r="I20" s="52" t="s">
        <v>4139</v>
      </c>
      <c r="J20" s="52" t="s">
        <v>4139</v>
      </c>
      <c r="K20" s="8"/>
    </row>
    <row r="21" spans="1:11" s="1" customFormat="1" x14ac:dyDescent="0.25">
      <c r="A21" s="37" t="s">
        <v>4116</v>
      </c>
      <c r="B21" s="1" t="s">
        <v>4136</v>
      </c>
      <c r="C21" s="1" t="s">
        <v>4136</v>
      </c>
      <c r="D21" s="1" t="s">
        <v>4136</v>
      </c>
      <c r="E21" s="1" t="s">
        <v>4136</v>
      </c>
      <c r="F21" s="1" t="s">
        <v>4136</v>
      </c>
      <c r="G21" s="1" t="s">
        <v>4136</v>
      </c>
      <c r="H21" s="1" t="s">
        <v>4136</v>
      </c>
      <c r="I21" s="1" t="s">
        <v>4136</v>
      </c>
      <c r="J21" s="1" t="s">
        <v>4136</v>
      </c>
      <c r="K21" s="8"/>
    </row>
    <row r="22" spans="1:11" s="1" customFormat="1" x14ac:dyDescent="0.25">
      <c r="A22" s="2" t="s">
        <v>4117</v>
      </c>
      <c r="B22" s="1" t="s">
        <v>4140</v>
      </c>
      <c r="C22" s="1" t="s">
        <v>4140</v>
      </c>
      <c r="D22" s="1" t="s">
        <v>4140</v>
      </c>
      <c r="E22" s="1" t="s">
        <v>4140</v>
      </c>
      <c r="F22" s="1" t="s">
        <v>4140</v>
      </c>
      <c r="G22" s="1" t="s">
        <v>4140</v>
      </c>
      <c r="H22" s="1" t="s">
        <v>4140</v>
      </c>
      <c r="I22" s="1" t="s">
        <v>4140</v>
      </c>
      <c r="J22" s="1" t="s">
        <v>4140</v>
      </c>
      <c r="K22" s="8"/>
    </row>
    <row r="23" spans="1:11" s="1" customFormat="1" x14ac:dyDescent="0.25">
      <c r="A23" s="2" t="s">
        <v>4118</v>
      </c>
      <c r="B23" s="3" t="s">
        <v>4142</v>
      </c>
      <c r="C23" s="3" t="s">
        <v>4142</v>
      </c>
      <c r="D23" s="3" t="s">
        <v>4142</v>
      </c>
      <c r="E23" s="3" t="s">
        <v>4142</v>
      </c>
      <c r="F23" s="3" t="s">
        <v>4142</v>
      </c>
      <c r="G23" s="3" t="s">
        <v>4142</v>
      </c>
      <c r="H23" s="3" t="s">
        <v>4142</v>
      </c>
      <c r="I23" s="3" t="s">
        <v>4142</v>
      </c>
      <c r="J23" s="3" t="s">
        <v>4142</v>
      </c>
      <c r="K23" s="8"/>
    </row>
    <row r="24" spans="1:11" s="1" customFormat="1" x14ac:dyDescent="0.25">
      <c r="A24" s="37" t="s">
        <v>4114</v>
      </c>
      <c r="B24" s="3" t="s">
        <v>4141</v>
      </c>
      <c r="C24" s="3" t="s">
        <v>4141</v>
      </c>
      <c r="D24" s="3" t="s">
        <v>4141</v>
      </c>
      <c r="E24" s="3" t="s">
        <v>4141</v>
      </c>
      <c r="F24" s="3" t="s">
        <v>4141</v>
      </c>
      <c r="G24" s="3" t="s">
        <v>4141</v>
      </c>
      <c r="H24" s="3" t="s">
        <v>4141</v>
      </c>
      <c r="I24" s="3" t="s">
        <v>4141</v>
      </c>
      <c r="J24" s="3" t="s">
        <v>4141</v>
      </c>
      <c r="K24" s="8"/>
    </row>
    <row r="25" spans="1:11" s="1" customFormat="1" x14ac:dyDescent="0.25">
      <c r="A25" s="2" t="s">
        <v>4119</v>
      </c>
      <c r="K25" s="8"/>
    </row>
    <row r="26" spans="1:11" s="1" customFormat="1" x14ac:dyDescent="0.25">
      <c r="A26" s="2" t="s">
        <v>14</v>
      </c>
      <c r="K26" s="2"/>
    </row>
    <row r="27" spans="1:11" s="1" customFormat="1" x14ac:dyDescent="0.25">
      <c r="A27" s="2" t="s">
        <v>15</v>
      </c>
      <c r="B27" s="1" t="s">
        <v>4143</v>
      </c>
      <c r="C27" s="1" t="s">
        <v>4143</v>
      </c>
      <c r="D27" s="1" t="s">
        <v>4143</v>
      </c>
      <c r="E27" s="1" t="s">
        <v>4143</v>
      </c>
      <c r="F27" s="1" t="s">
        <v>4143</v>
      </c>
      <c r="G27" s="1" t="s">
        <v>4143</v>
      </c>
      <c r="H27" s="1" t="s">
        <v>4143</v>
      </c>
      <c r="I27" s="1" t="s">
        <v>4143</v>
      </c>
      <c r="J27" s="1" t="s">
        <v>4143</v>
      </c>
    </row>
    <row r="28" spans="1:11" s="1" customFormat="1" x14ac:dyDescent="0.25">
      <c r="A28" s="2" t="s">
        <v>17</v>
      </c>
      <c r="B28" s="2">
        <v>23</v>
      </c>
      <c r="C28" s="2">
        <v>23</v>
      </c>
      <c r="D28" s="2">
        <v>23</v>
      </c>
      <c r="E28" s="2">
        <v>23</v>
      </c>
      <c r="F28" s="2">
        <v>23</v>
      </c>
      <c r="G28" s="2">
        <v>23</v>
      </c>
      <c r="H28" s="2">
        <v>23</v>
      </c>
      <c r="I28" s="2">
        <v>23</v>
      </c>
      <c r="J28" s="2">
        <v>23</v>
      </c>
    </row>
    <row r="29" spans="1:11" s="1" customFormat="1" x14ac:dyDescent="0.25">
      <c r="A29" s="2" t="s">
        <v>18</v>
      </c>
      <c r="B29" s="2">
        <v>22</v>
      </c>
      <c r="C29" s="2">
        <v>22</v>
      </c>
      <c r="D29" s="2">
        <v>22</v>
      </c>
      <c r="E29" s="2">
        <v>22</v>
      </c>
      <c r="F29" s="2">
        <v>22</v>
      </c>
      <c r="G29" s="2">
        <v>22</v>
      </c>
      <c r="H29" s="2">
        <v>22</v>
      </c>
      <c r="I29" s="2">
        <v>22</v>
      </c>
      <c r="J29" s="2">
        <v>22</v>
      </c>
    </row>
    <row r="30" spans="1:11" s="1" customFormat="1" x14ac:dyDescent="0.25">
      <c r="A30" s="2" t="s">
        <v>19</v>
      </c>
      <c r="B30" s="2">
        <v>11530</v>
      </c>
      <c r="C30" s="2">
        <v>11530</v>
      </c>
      <c r="D30" s="2">
        <v>11530</v>
      </c>
      <c r="E30" s="2">
        <v>11530</v>
      </c>
      <c r="F30" s="2">
        <v>11530</v>
      </c>
      <c r="G30" s="2">
        <v>11530</v>
      </c>
      <c r="H30" s="2">
        <v>11530</v>
      </c>
      <c r="I30" s="2">
        <v>11530</v>
      </c>
      <c r="J30" s="2">
        <v>11530</v>
      </c>
    </row>
    <row r="31" spans="1:11" s="1" customFormat="1" x14ac:dyDescent="0.25">
      <c r="A31" s="2" t="s">
        <v>22</v>
      </c>
      <c r="B31" s="2" t="s">
        <v>4144</v>
      </c>
      <c r="C31" s="2" t="s">
        <v>4144</v>
      </c>
      <c r="D31" s="2" t="s">
        <v>4144</v>
      </c>
      <c r="E31" s="2" t="s">
        <v>4144</v>
      </c>
      <c r="F31" s="2" t="s">
        <v>4144</v>
      </c>
      <c r="G31" s="2" t="s">
        <v>4144</v>
      </c>
      <c r="H31" s="2" t="s">
        <v>4144</v>
      </c>
      <c r="I31" s="2" t="s">
        <v>4144</v>
      </c>
      <c r="J31" s="2" t="s">
        <v>4144</v>
      </c>
    </row>
    <row r="32" spans="1:11" s="1" customFormat="1" x14ac:dyDescent="0.25">
      <c r="A32" s="2" t="s">
        <v>20</v>
      </c>
      <c r="B32" s="2" t="s">
        <v>4144</v>
      </c>
      <c r="C32" s="2" t="s">
        <v>4144</v>
      </c>
      <c r="D32" s="2" t="s">
        <v>4144</v>
      </c>
      <c r="E32" s="2" t="s">
        <v>4144</v>
      </c>
      <c r="F32" s="2" t="s">
        <v>4144</v>
      </c>
      <c r="G32" s="2" t="s">
        <v>4144</v>
      </c>
      <c r="H32" s="2" t="s">
        <v>4144</v>
      </c>
      <c r="I32" s="2" t="s">
        <v>4144</v>
      </c>
      <c r="J32" s="2" t="s">
        <v>4144</v>
      </c>
    </row>
    <row r="33" spans="1:10" s="1" customFormat="1" x14ac:dyDescent="0.25">
      <c r="A33" s="2" t="s">
        <v>23</v>
      </c>
      <c r="B33" s="2" t="s">
        <v>4145</v>
      </c>
      <c r="C33" s="2" t="s">
        <v>4145</v>
      </c>
      <c r="D33" s="2" t="s">
        <v>4145</v>
      </c>
      <c r="E33" s="2" t="s">
        <v>4145</v>
      </c>
      <c r="F33" s="2" t="s">
        <v>4145</v>
      </c>
      <c r="G33" s="2" t="s">
        <v>4145</v>
      </c>
      <c r="H33" s="2" t="s">
        <v>4145</v>
      </c>
      <c r="I33" s="2" t="s">
        <v>4145</v>
      </c>
      <c r="J33" s="2" t="s">
        <v>4145</v>
      </c>
    </row>
    <row r="34" spans="1:10" s="1" customFormat="1" x14ac:dyDescent="0.25">
      <c r="A34" s="2" t="s">
        <v>249</v>
      </c>
      <c r="B34" s="2"/>
      <c r="C34" s="2"/>
      <c r="D34" s="2"/>
      <c r="E34" s="2"/>
      <c r="F34" s="2"/>
      <c r="G34" s="2"/>
      <c r="H34" s="2"/>
      <c r="I34" s="2"/>
      <c r="J34" s="2"/>
    </row>
    <row r="35" spans="1:10" s="1" customFormat="1" x14ac:dyDescent="0.25">
      <c r="A35" s="2" t="s">
        <v>250</v>
      </c>
      <c r="B35" s="2"/>
      <c r="C35" s="2"/>
      <c r="D35" s="2"/>
      <c r="E35" s="2"/>
      <c r="F35" s="2"/>
      <c r="G35" s="2"/>
      <c r="H35" s="2"/>
      <c r="I35" s="2"/>
      <c r="J35" s="2"/>
    </row>
    <row r="36" spans="1:10" s="1" customFormat="1" x14ac:dyDescent="0.25">
      <c r="A36" s="2" t="s">
        <v>251</v>
      </c>
      <c r="B36" s="2"/>
      <c r="C36" s="2"/>
      <c r="D36" s="2"/>
      <c r="E36" s="2"/>
      <c r="F36" s="2"/>
      <c r="G36" s="2"/>
      <c r="H36" s="2"/>
      <c r="I36" s="2"/>
      <c r="J36" s="2"/>
    </row>
    <row r="37" spans="1:10" s="1" customFormat="1" x14ac:dyDescent="0.25">
      <c r="A37" s="2" t="s">
        <v>252</v>
      </c>
    </row>
    <row r="38" spans="1:10" s="1" customFormat="1" x14ac:dyDescent="0.25">
      <c r="A38" s="2" t="s">
        <v>253</v>
      </c>
    </row>
    <row r="39" spans="1:10" s="1" customFormat="1" x14ac:dyDescent="0.25">
      <c r="A39" s="2" t="s">
        <v>254</v>
      </c>
    </row>
    <row r="40" spans="1:10" s="1" customFormat="1" x14ac:dyDescent="0.25">
      <c r="A40" s="1" t="s">
        <v>255</v>
      </c>
      <c r="B40" s="2"/>
      <c r="C40" s="2"/>
      <c r="D40" s="2"/>
      <c r="E40" s="2"/>
      <c r="F40" s="2"/>
      <c r="G40" s="2"/>
      <c r="H40" s="2"/>
      <c r="I40" s="2"/>
      <c r="J40" s="2"/>
    </row>
    <row r="41" spans="1:10" s="1" customFormat="1" x14ac:dyDescent="0.25">
      <c r="A41" s="1" t="s">
        <v>256</v>
      </c>
      <c r="B41" s="2"/>
      <c r="C41" s="2"/>
      <c r="D41" s="2"/>
      <c r="E41" s="2"/>
      <c r="F41" s="2"/>
      <c r="G41" s="2"/>
      <c r="H41" s="2"/>
      <c r="I41" s="2"/>
      <c r="J41" s="2"/>
    </row>
    <row r="42" spans="1:10" s="1" customFormat="1" x14ac:dyDescent="0.25">
      <c r="A42" s="1" t="s">
        <v>257</v>
      </c>
      <c r="B42" s="2"/>
      <c r="C42" s="2"/>
      <c r="D42" s="2"/>
      <c r="E42" s="2"/>
      <c r="F42" s="2"/>
      <c r="G42" s="2"/>
      <c r="H42" s="2"/>
      <c r="I42" s="2"/>
      <c r="J42" s="2"/>
    </row>
  </sheetData>
  <conditionalFormatting sqref="B27:B39">
    <cfRule type="expression" dxfId="79" priority="6">
      <formula>AND(B$13&lt;&gt;"",B$13&lt;&gt;"Copy Address From")</formula>
    </cfRule>
  </conditionalFormatting>
  <conditionalFormatting sqref="B16">
    <cfRule type="expression" dxfId="78" priority="5">
      <formula>B$13="LookUp"</formula>
    </cfRule>
  </conditionalFormatting>
  <conditionalFormatting sqref="C27:J39">
    <cfRule type="expression" dxfId="77" priority="2">
      <formula>AND(C$13&lt;&gt;"",C$13&lt;&gt;"Copy Address From")</formula>
    </cfRule>
  </conditionalFormatting>
  <conditionalFormatting sqref="C16:J16">
    <cfRule type="expression" dxfId="76" priority="1">
      <formula>C$13="LookUp"</formula>
    </cfRule>
  </conditionalFormatting>
  <dataValidations count="9">
    <dataValidation type="list" showInputMessage="1" showErrorMessage="1" sqref="K14">
      <formula1>"AKTA, CAT CAT, CAT IS A CAT, DESCRIPTION FOR AAA, DESCRIPTION FOR ASA, DESCRIPTION FOR KTP, E-KTP, KITAS, NPWP, SIM"</formula1>
    </dataValidation>
    <dataValidation type="custom" errorStyle="information" allowBlank="1" showInputMessage="1" showErrorMessage="1" sqref="B27:J27">
      <formula1>ISBLANK(B$26)</formula1>
    </dataValidation>
    <dataValidation type="list" errorStyle="information" allowBlank="1" showInputMessage="1" showErrorMessage="1" sqref="B19:J19">
      <formula1>ListCusRel</formula1>
    </dataValidation>
    <dataValidation type="custom" allowBlank="1" showInputMessage="1" showErrorMessage="1" sqref="B34:J39">
      <formula1>ISBLANK(B$13)</formula1>
    </dataValidation>
    <dataValidation type="list" errorStyle="information" allowBlank="1" showInputMessage="1" showErrorMessage="1" sqref="B12:J12">
      <formula1>"Input Data, LookUp"</formula1>
    </dataValidation>
    <dataValidation type="list" errorStyle="information" showInputMessage="1" showErrorMessage="1" sqref="B16:J16">
      <formula1>ListIdType</formula1>
    </dataValidation>
    <dataValidation errorStyle="information" allowBlank="1" showInputMessage="1" showErrorMessage="1" sqref="B17:J18 B20:J24"/>
    <dataValidation type="list" errorStyle="information" allowBlank="1" showInputMessage="1" showErrorMessage="1" sqref="B26:J26">
      <formula1>"Job, Legal, Residence"</formula1>
    </dataValidation>
    <dataValidation type="custom" errorStyle="information" allowBlank="1" showInputMessage="1" showErrorMessage="1" sqref="B28:J33">
      <formula1>ISBLANK(B$13)</formula1>
    </dataValidation>
  </dataValidations>
  <hyperlinks>
    <hyperlink ref="B20" r:id="rId1"/>
    <hyperlink ref="C20" r:id="rId2"/>
    <hyperlink ref="D20" r:id="rId3"/>
    <hyperlink ref="E20" r:id="rId4"/>
    <hyperlink ref="F20" r:id="rId5"/>
    <hyperlink ref="G20" r:id="rId6"/>
    <hyperlink ref="H20" r:id="rId7"/>
    <hyperlink ref="I20" r:id="rId8"/>
    <hyperlink ref="J20" r:id="rId9"/>
  </hyperlinks>
  <pageMargins left="0.7" right="0.7" top="0.75" bottom="0.75" header="0.3" footer="0.3"/>
  <pageSetup paperSize="9" orientation="portrait"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L14" sqref="L14"/>
    </sheetView>
  </sheetViews>
  <sheetFormatPr defaultRowHeight="15" x14ac:dyDescent="0.25"/>
  <cols>
    <col min="1" max="1" width="22" bestFit="1" customWidth="1" collapsed="1"/>
    <col min="2" max="3" width="19.85546875" bestFit="1" customWidth="1" collapsed="1"/>
    <col min="4" max="5" width="14.85546875" bestFit="1" customWidth="1" collapsed="1"/>
    <col min="10" max="10" width="13.5703125" customWidth="1"/>
  </cols>
  <sheetData>
    <row r="1" spans="1:11" s="1" customFormat="1" x14ac:dyDescent="0.25">
      <c r="A1" s="1" t="s">
        <v>12</v>
      </c>
      <c r="B1" t="s">
        <v>3283</v>
      </c>
      <c r="C1" t="s">
        <v>3283</v>
      </c>
      <c r="D1" t="s">
        <v>3283</v>
      </c>
      <c r="E1" t="s">
        <v>3283</v>
      </c>
      <c r="F1" t="s">
        <v>3283</v>
      </c>
      <c r="G1" t="s">
        <v>3283</v>
      </c>
      <c r="H1" t="s">
        <v>3283</v>
      </c>
      <c r="I1" t="s">
        <v>3283</v>
      </c>
      <c r="J1" t="s">
        <v>3283</v>
      </c>
    </row>
    <row r="2" spans="1:11" s="1" customFormat="1" x14ac:dyDescent="0.25">
      <c r="A2" s="1" t="s">
        <v>4146</v>
      </c>
      <c r="B2" s="1" t="s">
        <v>4249</v>
      </c>
      <c r="C2" s="1" t="s">
        <v>4249</v>
      </c>
      <c r="D2" s="1" t="s">
        <v>4249</v>
      </c>
      <c r="E2" s="1" t="s">
        <v>4249</v>
      </c>
      <c r="F2" s="1" t="s">
        <v>4249</v>
      </c>
      <c r="G2" s="1" t="s">
        <v>4249</v>
      </c>
      <c r="H2" s="1" t="s">
        <v>4249</v>
      </c>
      <c r="I2" s="1" t="s">
        <v>4249</v>
      </c>
      <c r="J2" s="1" t="s">
        <v>4249</v>
      </c>
    </row>
    <row r="3" spans="1:11" s="1" customFormat="1" x14ac:dyDescent="0.25">
      <c r="A3" s="1" t="s">
        <v>4147</v>
      </c>
    </row>
    <row r="4" spans="1:11" s="1" customFormat="1" x14ac:dyDescent="0.25">
      <c r="A4" s="1" t="s">
        <v>4156</v>
      </c>
      <c r="B4" s="1">
        <f>IF(LEN(B12) &gt;0,COUNTIFS($A$12:$A$21,"*$*",B12:B21,""),0)+IF(LEN(B24)&gt;0,COUNTIFS($A$23:$A$30,"*$*",B23:B30,""),0)</f>
        <v>0</v>
      </c>
      <c r="C4" s="1">
        <f>IF(LEN(C12) &gt;0,COUNTIFS($A$12:$A$19,"*$*",C12:C19,""),0)+IF(LEN(C24)&gt;0,COUNTIFS($A$23:$A$30,"*$*",C23:C30,""),0)</f>
        <v>0</v>
      </c>
      <c r="D4" s="1">
        <f>IF(LEN(D12) &gt;0,COUNTIFS($A$12:$A$19,"*$*",D12:D19,""),0)+IF(LEN(D24)&gt;0,COUNTIFS($A$23:$A$30,"*$*",D23:D30,""),0)</f>
        <v>0</v>
      </c>
      <c r="E4" s="1">
        <f t="shared" ref="E4:J4" si="0">IF(LEN(E12) &gt;0,COUNTIFS($A$12:$A$19,"*$*",E12:E19,""),0)+IF(LEN(E24)&gt;0,COUNTIFS($A$23:$A$30,"*$*",E23:E30,""),0)</f>
        <v>0</v>
      </c>
      <c r="F4" s="1">
        <f t="shared" si="0"/>
        <v>0</v>
      </c>
      <c r="G4" s="1">
        <f t="shared" si="0"/>
        <v>0</v>
      </c>
      <c r="H4" s="1">
        <f t="shared" si="0"/>
        <v>0</v>
      </c>
      <c r="I4" s="1">
        <f t="shared" si="0"/>
        <v>0</v>
      </c>
      <c r="J4" s="1">
        <f t="shared" si="0"/>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3558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r="10" spans="1:11" s="1" customFormat="1" x14ac:dyDescent="0.25">
      <c r="A10" s="1" t="s">
        <v>4217</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r="11" spans="1:11" s="57" customFormat="1" x14ac:dyDescent="0.25">
      <c r="A11" s="58" t="s">
        <v>3565</v>
      </c>
      <c r="B11" s="59"/>
      <c r="C11" s="59"/>
      <c r="D11" s="59"/>
      <c r="E11" s="59"/>
      <c r="F11" s="59"/>
      <c r="G11" s="59"/>
      <c r="H11" s="59"/>
      <c r="I11" s="59"/>
      <c r="J11" s="59"/>
      <c r="K11" s="60"/>
    </row>
    <row r="12" spans="1:11" s="1" customFormat="1" x14ac:dyDescent="0.25">
      <c r="A12" s="37" t="s">
        <v>4174</v>
      </c>
      <c r="B12" s="44">
        <v>5000000000</v>
      </c>
      <c r="C12" s="44">
        <v>5000000000</v>
      </c>
      <c r="D12" s="44">
        <v>5000000000</v>
      </c>
      <c r="E12" s="44">
        <v>5000000000</v>
      </c>
      <c r="F12" s="44">
        <v>5000000000</v>
      </c>
      <c r="G12" s="44">
        <v>5000000000</v>
      </c>
      <c r="H12" s="44">
        <v>5000000000</v>
      </c>
      <c r="I12" s="44">
        <v>5000000000</v>
      </c>
      <c r="J12" s="44">
        <v>5000000000</v>
      </c>
      <c r="K12" s="8"/>
    </row>
    <row r="13" spans="1:11" s="1" customFormat="1" x14ac:dyDescent="0.25">
      <c r="A13" s="1" t="s">
        <v>44</v>
      </c>
      <c r="B13" s="44">
        <v>5000000000</v>
      </c>
      <c r="C13" s="44">
        <v>5000000000</v>
      </c>
      <c r="D13" s="44">
        <v>5000000000</v>
      </c>
      <c r="E13" s="44">
        <v>5000000000</v>
      </c>
      <c r="F13" s="44">
        <v>5000000000</v>
      </c>
      <c r="G13" s="44">
        <v>5000000000</v>
      </c>
      <c r="H13" s="44">
        <v>5000000000</v>
      </c>
      <c r="I13" s="44">
        <v>5000000000</v>
      </c>
      <c r="J13" s="44">
        <v>5000000000</v>
      </c>
      <c r="K13" s="8"/>
    </row>
    <row r="14" spans="1:11" s="1" customFormat="1" x14ac:dyDescent="0.25">
      <c r="A14" s="1" t="s">
        <v>45</v>
      </c>
      <c r="B14" s="2" t="s">
        <v>46</v>
      </c>
      <c r="C14" s="2" t="s">
        <v>46</v>
      </c>
      <c r="D14" s="2" t="s">
        <v>46</v>
      </c>
      <c r="E14" s="2" t="s">
        <v>46</v>
      </c>
      <c r="F14" s="2" t="s">
        <v>46</v>
      </c>
      <c r="G14" s="2" t="s">
        <v>46</v>
      </c>
      <c r="H14" s="2" t="s">
        <v>46</v>
      </c>
      <c r="I14" s="2" t="s">
        <v>46</v>
      </c>
      <c r="J14" s="2" t="s">
        <v>46</v>
      </c>
      <c r="K14" s="2"/>
    </row>
    <row r="15" spans="1:11" s="1" customFormat="1" x14ac:dyDescent="0.25">
      <c r="A15" s="1" t="s">
        <v>47</v>
      </c>
      <c r="B15" s="43">
        <v>15000000</v>
      </c>
      <c r="C15" s="43">
        <v>15000000</v>
      </c>
      <c r="D15" s="43">
        <v>15000000</v>
      </c>
      <c r="E15" s="43">
        <v>15000000</v>
      </c>
      <c r="F15" s="43">
        <v>15000000</v>
      </c>
      <c r="G15" s="43">
        <v>15000000</v>
      </c>
      <c r="H15" s="43">
        <v>15000000</v>
      </c>
      <c r="I15" s="43">
        <v>15000000</v>
      </c>
      <c r="J15" s="43">
        <v>15000000</v>
      </c>
      <c r="K15" s="2"/>
    </row>
    <row r="16" spans="1:11" s="1" customFormat="1" x14ac:dyDescent="0.25">
      <c r="A16" s="1" t="s">
        <v>48</v>
      </c>
      <c r="B16" s="43">
        <v>15000000</v>
      </c>
      <c r="C16" s="43">
        <v>15000000</v>
      </c>
      <c r="D16" s="43">
        <v>15000000</v>
      </c>
      <c r="E16" s="43">
        <v>15000000</v>
      </c>
      <c r="F16" s="43">
        <v>15000000</v>
      </c>
      <c r="G16" s="43">
        <v>15000000</v>
      </c>
      <c r="H16" s="43">
        <v>15000000</v>
      </c>
      <c r="I16" s="43">
        <v>15000000</v>
      </c>
      <c r="J16" s="43">
        <v>15000000</v>
      </c>
      <c r="K16" s="2"/>
    </row>
    <row r="17" spans="1:11" s="1" customFormat="1" x14ac:dyDescent="0.25">
      <c r="A17" s="37" t="s">
        <v>4175</v>
      </c>
      <c r="B17" s="41" t="s">
        <v>4104</v>
      </c>
      <c r="C17" s="41" t="s">
        <v>4104</v>
      </c>
      <c r="D17" s="41" t="s">
        <v>4104</v>
      </c>
      <c r="E17" s="41" t="s">
        <v>4104</v>
      </c>
      <c r="F17" s="41" t="s">
        <v>4104</v>
      </c>
      <c r="G17" s="41" t="s">
        <v>4104</v>
      </c>
      <c r="H17" s="41" t="s">
        <v>4104</v>
      </c>
      <c r="I17" s="41" t="s">
        <v>4104</v>
      </c>
      <c r="J17" s="41" t="s">
        <v>4104</v>
      </c>
      <c r="K17" s="8"/>
    </row>
    <row r="18" spans="1:11" s="1" customFormat="1" x14ac:dyDescent="0.25">
      <c r="A18" s="2" t="s">
        <v>4077</v>
      </c>
      <c r="B18" s="44"/>
      <c r="C18" s="44"/>
      <c r="D18" s="44"/>
      <c r="E18" s="44"/>
      <c r="F18" s="44"/>
      <c r="G18" s="44"/>
      <c r="H18" s="44"/>
      <c r="I18" s="44"/>
      <c r="J18" s="44"/>
      <c r="K18" s="8"/>
    </row>
    <row r="19" spans="1:11" s="49" customFormat="1" x14ac:dyDescent="0.25">
      <c r="A19" s="20" t="s">
        <v>4078</v>
      </c>
      <c r="B19" s="48"/>
      <c r="C19" s="48"/>
      <c r="D19" s="48"/>
      <c r="E19" s="48"/>
      <c r="F19" s="48"/>
      <c r="G19" s="48"/>
      <c r="H19" s="48"/>
      <c r="I19" s="48"/>
      <c r="J19" s="48"/>
      <c r="K19" s="48"/>
    </row>
    <row r="20" spans="1:11" s="58" customFormat="1" x14ac:dyDescent="0.25">
      <c r="A20" s="58" t="s">
        <v>3566</v>
      </c>
      <c r="B20" s="59"/>
      <c r="C20" s="59"/>
      <c r="D20" s="59"/>
      <c r="E20" s="59"/>
      <c r="F20" s="59"/>
      <c r="G20" s="59"/>
      <c r="H20" s="59"/>
      <c r="I20" s="59"/>
      <c r="J20" s="59"/>
      <c r="K20" s="59"/>
    </row>
    <row r="21" spans="1:11" s="1" customFormat="1" x14ac:dyDescent="0.25">
      <c r="A21" s="1" t="s">
        <v>49</v>
      </c>
      <c r="B21" s="16">
        <v>200000000</v>
      </c>
      <c r="C21" s="16">
        <v>200000000</v>
      </c>
      <c r="D21" s="16">
        <v>200000000</v>
      </c>
      <c r="E21" s="16">
        <v>200000000</v>
      </c>
      <c r="F21" s="16">
        <v>200000000</v>
      </c>
      <c r="G21" s="16">
        <v>200000000</v>
      </c>
      <c r="H21" s="16">
        <v>200000000</v>
      </c>
      <c r="I21" s="16">
        <v>200000000</v>
      </c>
      <c r="J21" s="16">
        <v>200000000</v>
      </c>
      <c r="K21" s="2"/>
    </row>
    <row r="22" spans="1:11" s="57" customFormat="1" x14ac:dyDescent="0.25">
      <c r="A22" s="58" t="s">
        <v>3567</v>
      </c>
      <c r="B22" s="59"/>
      <c r="C22" s="59"/>
      <c r="D22" s="59"/>
      <c r="E22" s="59"/>
      <c r="F22" s="59"/>
      <c r="G22" s="59"/>
      <c r="H22" s="59"/>
      <c r="I22" s="59"/>
      <c r="J22" s="59"/>
      <c r="K22" s="60"/>
    </row>
    <row r="23" spans="1:11" s="1" customFormat="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t="str">
        <f>VLOOKUP(G24,Master!$J$1:$K$206,2,FALSE)</f>
        <v>009</v>
      </c>
      <c r="H23" s="3" t="str">
        <f>VLOOKUP(H24,Master!$J$1:$K$206,2,FALSE)</f>
        <v>009</v>
      </c>
      <c r="I23" s="3" t="str">
        <f>VLOOKUP(I24,Master!$J$1:$K$206,2,FALSE)</f>
        <v>009</v>
      </c>
      <c r="J23" s="3" t="str">
        <f>VLOOKUP(J24,Master!$J$1:$K$206,2,FALSE)</f>
        <v>009</v>
      </c>
      <c r="K23" s="3"/>
    </row>
    <row r="24" spans="1:11" s="1" customFormat="1" x14ac:dyDescent="0.25">
      <c r="A24" s="36" t="s">
        <v>4221</v>
      </c>
      <c r="B24" s="3" t="s">
        <v>342</v>
      </c>
      <c r="C24" s="3" t="s">
        <v>342</v>
      </c>
      <c r="D24" s="3" t="s">
        <v>342</v>
      </c>
      <c r="E24" s="3" t="s">
        <v>342</v>
      </c>
      <c r="F24" s="3" t="s">
        <v>342</v>
      </c>
      <c r="G24" s="3" t="s">
        <v>342</v>
      </c>
      <c r="H24" s="3" t="s">
        <v>342</v>
      </c>
      <c r="I24" s="3" t="s">
        <v>342</v>
      </c>
      <c r="J24" s="3" t="s">
        <v>342</v>
      </c>
      <c r="K24" s="3"/>
    </row>
    <row r="25" spans="1:11" s="1" customFormat="1" x14ac:dyDescent="0.25">
      <c r="A25" s="36" t="s">
        <v>4222</v>
      </c>
      <c r="B25" s="1" t="s">
        <v>4226</v>
      </c>
      <c r="C25" s="1" t="s">
        <v>4226</v>
      </c>
      <c r="D25" s="1" t="s">
        <v>4226</v>
      </c>
      <c r="E25" s="1" t="s">
        <v>4226</v>
      </c>
      <c r="F25" s="1" t="s">
        <v>4226</v>
      </c>
      <c r="G25" s="1" t="s">
        <v>4226</v>
      </c>
      <c r="H25" s="1" t="s">
        <v>4226</v>
      </c>
      <c r="I25" s="1" t="s">
        <v>4226</v>
      </c>
      <c r="J25" s="1" t="s">
        <v>4226</v>
      </c>
    </row>
    <row r="26" spans="1:11" s="1" customFormat="1" x14ac:dyDescent="0.25">
      <c r="A26" s="36" t="s">
        <v>4223</v>
      </c>
      <c r="B26" s="1" t="s">
        <v>4227</v>
      </c>
      <c r="C26" s="1" t="s">
        <v>4227</v>
      </c>
      <c r="D26" s="1" t="s">
        <v>4227</v>
      </c>
      <c r="E26" s="1" t="s">
        <v>4227</v>
      </c>
      <c r="F26" s="1" t="s">
        <v>4227</v>
      </c>
      <c r="G26" s="1" t="s">
        <v>4227</v>
      </c>
      <c r="H26" s="1" t="s">
        <v>4227</v>
      </c>
      <c r="I26" s="1" t="s">
        <v>4227</v>
      </c>
      <c r="J26" s="1" t="s">
        <v>4227</v>
      </c>
    </row>
    <row r="27" spans="1:11" s="1" customFormat="1" x14ac:dyDescent="0.25">
      <c r="A27" s="36" t="s">
        <v>4224</v>
      </c>
      <c r="B27" s="8" t="s">
        <v>4228</v>
      </c>
      <c r="C27" s="8" t="s">
        <v>4228</v>
      </c>
      <c r="D27" s="8" t="s">
        <v>4228</v>
      </c>
      <c r="E27" s="8" t="s">
        <v>4228</v>
      </c>
      <c r="F27" s="8" t="s">
        <v>4228</v>
      </c>
      <c r="G27" s="8" t="s">
        <v>4228</v>
      </c>
      <c r="H27" s="8" t="s">
        <v>4228</v>
      </c>
      <c r="I27" s="8" t="s">
        <v>4228</v>
      </c>
      <c r="J27" s="8" t="s">
        <v>4228</v>
      </c>
      <c r="K27" s="8"/>
    </row>
    <row r="28" spans="1:11" s="1" customFormat="1" x14ac:dyDescent="0.25">
      <c r="A28" s="1" t="s">
        <v>52</v>
      </c>
      <c r="B28" s="1" t="s">
        <v>6</v>
      </c>
      <c r="C28" s="1" t="s">
        <v>6</v>
      </c>
      <c r="D28" s="1" t="s">
        <v>6</v>
      </c>
      <c r="E28" s="1" t="s">
        <v>6</v>
      </c>
      <c r="F28" s="1" t="s">
        <v>6</v>
      </c>
      <c r="G28" s="1" t="s">
        <v>6</v>
      </c>
      <c r="H28" s="1" t="s">
        <v>6</v>
      </c>
      <c r="I28" s="1" t="s">
        <v>6</v>
      </c>
      <c r="J28" s="1" t="s">
        <v>6</v>
      </c>
    </row>
    <row r="29" spans="1:11" s="1" customFormat="1" x14ac:dyDescent="0.25">
      <c r="A29" s="1" t="s">
        <v>53</v>
      </c>
      <c r="B29" s="1" t="s">
        <v>6</v>
      </c>
      <c r="C29" s="1" t="s">
        <v>6</v>
      </c>
      <c r="D29" s="1" t="s">
        <v>6</v>
      </c>
      <c r="E29" s="1" t="s">
        <v>6</v>
      </c>
      <c r="F29" s="1" t="s">
        <v>6</v>
      </c>
      <c r="G29" s="1" t="s">
        <v>6</v>
      </c>
      <c r="H29" s="1" t="s">
        <v>6</v>
      </c>
      <c r="I29" s="1" t="s">
        <v>6</v>
      </c>
      <c r="J29" s="1" t="s">
        <v>6</v>
      </c>
    </row>
    <row r="30" spans="1:11" s="1" customFormat="1" x14ac:dyDescent="0.25">
      <c r="A30" s="36" t="s">
        <v>4225</v>
      </c>
      <c r="B30" s="16">
        <v>1000000</v>
      </c>
      <c r="C30" s="16">
        <v>1000000</v>
      </c>
      <c r="D30" s="16">
        <v>1000000</v>
      </c>
      <c r="E30" s="16">
        <v>1000000</v>
      </c>
      <c r="F30" s="16">
        <v>1000000</v>
      </c>
      <c r="G30" s="16">
        <v>1000000</v>
      </c>
      <c r="H30" s="16">
        <v>1000000</v>
      </c>
      <c r="I30" s="16">
        <v>1000000</v>
      </c>
      <c r="J30" s="16">
        <v>1000000</v>
      </c>
    </row>
    <row r="31" spans="1:11" s="1" customFormat="1" x14ac:dyDescent="0.25">
      <c r="A31" s="36" t="s">
        <v>4229</v>
      </c>
      <c r="B31" s="1" t="s">
        <v>4230</v>
      </c>
      <c r="C31" s="1" t="s">
        <v>4230</v>
      </c>
      <c r="D31" s="1" t="s">
        <v>4230</v>
      </c>
      <c r="E31" s="1" t="s">
        <v>4230</v>
      </c>
      <c r="F31" s="1" t="s">
        <v>4230</v>
      </c>
      <c r="G31" s="1" t="s">
        <v>4230</v>
      </c>
      <c r="H31" s="1" t="s">
        <v>4230</v>
      </c>
      <c r="I31" s="1" t="s">
        <v>4230</v>
      </c>
      <c r="J31" s="1" t="s">
        <v>4230</v>
      </c>
    </row>
    <row r="32" spans="1:11" s="1" customFormat="1" x14ac:dyDescent="0.25">
      <c r="A32" s="36" t="s">
        <v>4231</v>
      </c>
      <c r="B32" s="1" t="s">
        <v>4232</v>
      </c>
      <c r="C32" s="1" t="s">
        <v>4232</v>
      </c>
      <c r="D32" s="1" t="s">
        <v>4232</v>
      </c>
      <c r="E32" s="1" t="s">
        <v>4232</v>
      </c>
      <c r="F32" s="1" t="s">
        <v>4232</v>
      </c>
      <c r="G32" s="1" t="s">
        <v>4232</v>
      </c>
      <c r="H32" s="1" t="s">
        <v>4232</v>
      </c>
      <c r="I32" s="1" t="s">
        <v>4232</v>
      </c>
      <c r="J32" s="1" t="s">
        <v>4232</v>
      </c>
    </row>
    <row r="33" spans="1:10" s="1" customFormat="1" x14ac:dyDescent="0.25">
      <c r="A33" s="36" t="s">
        <v>4233</v>
      </c>
      <c r="B33" s="1" t="s">
        <v>4254</v>
      </c>
      <c r="C33" s="1" t="s">
        <v>4254</v>
      </c>
      <c r="D33" s="1" t="s">
        <v>4254</v>
      </c>
      <c r="E33" s="1" t="s">
        <v>4254</v>
      </c>
      <c r="F33" s="1" t="s">
        <v>4254</v>
      </c>
      <c r="G33" s="1" t="s">
        <v>4254</v>
      </c>
      <c r="H33" s="1" t="s">
        <v>4254</v>
      </c>
      <c r="I33" s="1" t="s">
        <v>4254</v>
      </c>
      <c r="J33" s="1" t="s">
        <v>4254</v>
      </c>
    </row>
    <row r="34" spans="1:10" s="1" customFormat="1" x14ac:dyDescent="0.25">
      <c r="A34" s="36" t="s">
        <v>4235</v>
      </c>
      <c r="B34" s="1" t="s">
        <v>4234</v>
      </c>
      <c r="C34" s="1" t="s">
        <v>4234</v>
      </c>
      <c r="D34" s="1" t="s">
        <v>4234</v>
      </c>
      <c r="E34" s="1" t="s">
        <v>4234</v>
      </c>
      <c r="F34" s="1" t="s">
        <v>4234</v>
      </c>
      <c r="G34" s="1" t="s">
        <v>4234</v>
      </c>
      <c r="H34" s="1" t="s">
        <v>4234</v>
      </c>
      <c r="I34" s="1" t="s">
        <v>4234</v>
      </c>
      <c r="J34" s="1" t="s">
        <v>4234</v>
      </c>
    </row>
    <row r="35" spans="1:10" s="1" customFormat="1" x14ac:dyDescent="0.25">
      <c r="A35" s="36" t="s">
        <v>4236</v>
      </c>
      <c r="B35" s="1" t="s">
        <v>4219</v>
      </c>
      <c r="C35" s="1" t="s">
        <v>4219</v>
      </c>
      <c r="D35" s="1" t="s">
        <v>4219</v>
      </c>
      <c r="E35" s="1" t="s">
        <v>4219</v>
      </c>
      <c r="F35" s="1" t="s">
        <v>4219</v>
      </c>
      <c r="G35" s="1" t="s">
        <v>4219</v>
      </c>
      <c r="H35" s="1" t="s">
        <v>4219</v>
      </c>
      <c r="I35" s="1" t="s">
        <v>4219</v>
      </c>
      <c r="J35" s="1" t="s">
        <v>4219</v>
      </c>
    </row>
    <row r="36" spans="1:10" s="1" customFormat="1" x14ac:dyDescent="0.25">
      <c r="A36" s="36" t="s">
        <v>4237</v>
      </c>
      <c r="B36" s="1" t="s">
        <v>4238</v>
      </c>
      <c r="C36" s="1" t="s">
        <v>4238</v>
      </c>
      <c r="D36" s="1" t="s">
        <v>4238</v>
      </c>
      <c r="E36" s="1" t="s">
        <v>4238</v>
      </c>
      <c r="F36" s="1" t="s">
        <v>4238</v>
      </c>
      <c r="G36" s="1" t="s">
        <v>4238</v>
      </c>
      <c r="H36" s="1" t="s">
        <v>4238</v>
      </c>
      <c r="I36" s="1" t="s">
        <v>4238</v>
      </c>
      <c r="J36" s="1" t="s">
        <v>4238</v>
      </c>
    </row>
  </sheetData>
  <dataValidations count="10">
    <dataValidation type="list" allowBlank="1" showInputMessage="1" showErrorMessage="1" sqref="K28:K30">
      <formula1>"Yes, No"</formula1>
    </dataValidation>
    <dataValidation type="list" allowBlank="1" showInputMessage="1" showErrorMessage="1" sqref="K14">
      <formula1>"Business, Online Shop, Salary, Stock Trading"</formula1>
    </dataValidation>
    <dataValidation type="whole" errorStyle="information" allowBlank="1" showInputMessage="1" showErrorMessage="1" sqref="B12:J13">
      <formula1>0</formula1>
      <formula2>9.99999999999999E+25</formula2>
    </dataValidation>
    <dataValidation type="whole" errorStyle="information" allowBlank="1" showInputMessage="1" showErrorMessage="1" sqref="B15:J16">
      <formula1>0</formula1>
      <formula2>999999999999999000000</formula2>
    </dataValidation>
    <dataValidation type="whole" errorStyle="information" allowBlank="1" showInputMessage="1" showErrorMessage="1" sqref="B30:J30">
      <formula1>0</formula1>
      <formula2>9.99999999999999E+22</formula2>
    </dataValidation>
    <dataValidation type="list" errorStyle="information" allowBlank="1" showInputMessage="1" showErrorMessage="1" sqref="B24:J24">
      <formula1>ListBank</formula1>
    </dataValidation>
    <dataValidation type="list" errorStyle="information" allowBlank="1" showInputMessage="1" showErrorMessage="1" sqref="B14:J14">
      <formula1>"Business, Online Shop, Salary, Stock Trading"</formula1>
    </dataValidation>
    <dataValidation type="list" errorStyle="information" showInputMessage="1" showErrorMessage="1" sqref="B19:J19">
      <formula1>"Yes,No"</formula1>
    </dataValidation>
    <dataValidation errorStyle="information" allowBlank="1" showInputMessage="1" showErrorMessage="1" sqref="B25:J27 B18:J18"/>
    <dataValidation type="list" errorStyle="information" allowBlank="1" showInputMessage="1" showErrorMessage="1" sqref="B28:J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6"/>
  <sheetViews>
    <sheetView workbookViewId="0">
      <selection activeCell="M15" sqref="M15"/>
    </sheetView>
  </sheetViews>
  <sheetFormatPr defaultRowHeight="15" x14ac:dyDescent="0.25"/>
  <cols>
    <col min="1" max="1" width="16.140625" bestFit="1" customWidth="1" collapsed="1"/>
    <col min="2" max="5" width="18.140625" bestFit="1" customWidth="1" collapsed="1"/>
  </cols>
  <sheetData>
    <row r="1" spans="1:10" s="1" customFormat="1" x14ac:dyDescent="0.25">
      <c r="A1" s="1" t="s">
        <v>12</v>
      </c>
      <c r="B1" t="s">
        <v>3283</v>
      </c>
      <c r="C1" t="s">
        <v>3283</v>
      </c>
      <c r="D1" s="1" t="s">
        <v>3283</v>
      </c>
      <c r="E1" s="1" t="s">
        <v>3283</v>
      </c>
      <c r="F1" s="1" t="s">
        <v>3283</v>
      </c>
      <c r="G1" s="1" t="s">
        <v>3283</v>
      </c>
      <c r="H1" s="1" t="s">
        <v>3283</v>
      </c>
      <c r="I1" s="1" t="s">
        <v>3283</v>
      </c>
      <c r="J1" s="1" t="s">
        <v>3283</v>
      </c>
    </row>
    <row r="2" spans="1:10" s="1" customFormat="1" x14ac:dyDescent="0.25">
      <c r="A2" s="1" t="s">
        <v>4146</v>
      </c>
      <c r="B2" s="1" t="s">
        <v>4249</v>
      </c>
      <c r="C2" s="1" t="s">
        <v>4249</v>
      </c>
      <c r="D2" s="1" t="s">
        <v>4249</v>
      </c>
      <c r="E2" s="1" t="s">
        <v>4249</v>
      </c>
      <c r="F2" s="1" t="s">
        <v>4249</v>
      </c>
      <c r="G2" s="1" t="s">
        <v>4249</v>
      </c>
      <c r="H2" s="1" t="s">
        <v>4249</v>
      </c>
      <c r="I2" s="1" t="s">
        <v>4249</v>
      </c>
      <c r="J2" s="1" t="s">
        <v>4249</v>
      </c>
    </row>
    <row r="3" spans="1:10" s="1" customFormat="1" x14ac:dyDescent="0.25">
      <c r="A3" s="1" t="s">
        <v>4147</v>
      </c>
    </row>
    <row r="4" spans="1:10" s="1" customFormat="1" x14ac:dyDescent="0.25">
      <c r="A4" s="1" t="s">
        <v>4156</v>
      </c>
      <c r="B4" s="1">
        <f>IF(B12="Yes",COUNTIFS($A$13:$A$16,"*$*",B13:B16,""),0)</f>
        <v>0</v>
      </c>
      <c r="C4" s="1">
        <f>IF(C12="Yes",COUNTIFS($A$13:$A$16,"*$*",C13:C16,""),0)</f>
        <v>0</v>
      </c>
      <c r="D4" s="1">
        <f t="shared" ref="D4:J4" si="0">IF(D12="Yes",COUNTIFS($A$13:$A$16,"*$*",D13:D16,""),0)</f>
        <v>0</v>
      </c>
      <c r="E4" s="1">
        <f t="shared" si="0"/>
        <v>0</v>
      </c>
      <c r="F4" s="1">
        <f t="shared" si="0"/>
        <v>0</v>
      </c>
      <c r="G4" s="1">
        <f t="shared" si="0"/>
        <v>0</v>
      </c>
      <c r="H4" s="1">
        <f t="shared" si="0"/>
        <v>0</v>
      </c>
      <c r="I4" s="1">
        <f t="shared" si="0"/>
        <v>0</v>
      </c>
      <c r="J4" s="1">
        <f t="shared" si="0"/>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r="11" spans="1:10" s="53" customFormat="1" x14ac:dyDescent="0.25">
      <c r="B11" s="54"/>
      <c r="C11" s="54"/>
    </row>
    <row r="12" spans="1:10" s="61" customFormat="1" x14ac:dyDescent="0.25">
      <c r="A12" s="61" t="s">
        <v>4218</v>
      </c>
      <c r="B12" s="62" t="s">
        <v>6</v>
      </c>
      <c r="C12" s="62" t="s">
        <v>6</v>
      </c>
      <c r="D12" s="62" t="s">
        <v>6</v>
      </c>
      <c r="E12" s="62" t="s">
        <v>6</v>
      </c>
      <c r="F12" s="62" t="s">
        <v>6</v>
      </c>
      <c r="G12" s="62" t="s">
        <v>6</v>
      </c>
      <c r="H12" s="62" t="s">
        <v>6</v>
      </c>
      <c r="I12" s="62" t="s">
        <v>6</v>
      </c>
      <c r="J12" s="62" t="s">
        <v>6</v>
      </c>
    </row>
    <row r="13" spans="1:10" s="1" customFormat="1" x14ac:dyDescent="0.25">
      <c r="A13" s="36" t="s">
        <v>4176</v>
      </c>
      <c r="B13" s="1" t="s">
        <v>4239</v>
      </c>
      <c r="C13" s="1" t="s">
        <v>4239</v>
      </c>
      <c r="D13" s="1" t="s">
        <v>4239</v>
      </c>
      <c r="E13" s="1" t="s">
        <v>4239</v>
      </c>
      <c r="F13" s="1" t="s">
        <v>4239</v>
      </c>
      <c r="G13" s="1" t="s">
        <v>4239</v>
      </c>
      <c r="H13" s="1" t="s">
        <v>4239</v>
      </c>
      <c r="I13" s="1" t="s">
        <v>4239</v>
      </c>
      <c r="J13" s="1" t="s">
        <v>4239</v>
      </c>
    </row>
    <row r="14" spans="1:10" s="1" customFormat="1" x14ac:dyDescent="0.25">
      <c r="A14" s="1" t="s">
        <v>54</v>
      </c>
      <c r="B14" s="1" t="s">
        <v>4255</v>
      </c>
      <c r="C14" s="1" t="s">
        <v>4255</v>
      </c>
      <c r="D14" s="1" t="s">
        <v>4255</v>
      </c>
      <c r="E14" s="1" t="s">
        <v>4255</v>
      </c>
      <c r="F14" s="1" t="s">
        <v>4255</v>
      </c>
      <c r="G14" s="1" t="s">
        <v>4255</v>
      </c>
      <c r="H14" s="1" t="s">
        <v>4255</v>
      </c>
      <c r="I14" s="1" t="s">
        <v>4255</v>
      </c>
      <c r="J14" s="1" t="s">
        <v>4255</v>
      </c>
    </row>
    <row r="15" spans="1:10" s="1" customFormat="1" x14ac:dyDescent="0.25">
      <c r="A15" s="36" t="s">
        <v>4177</v>
      </c>
      <c r="B15" s="43" t="s">
        <v>4220</v>
      </c>
      <c r="C15" s="43" t="s">
        <v>4220</v>
      </c>
      <c r="D15" s="43" t="s">
        <v>4220</v>
      </c>
      <c r="E15" s="43" t="s">
        <v>4220</v>
      </c>
      <c r="F15" s="43" t="s">
        <v>4220</v>
      </c>
      <c r="G15" s="43" t="s">
        <v>4220</v>
      </c>
      <c r="H15" s="43" t="s">
        <v>4220</v>
      </c>
      <c r="I15" s="43" t="s">
        <v>4220</v>
      </c>
      <c r="J15" s="43" t="s">
        <v>4220</v>
      </c>
    </row>
    <row r="16" spans="1:10" s="1" customFormat="1" x14ac:dyDescent="0.25">
      <c r="A16" s="36" t="s">
        <v>4178</v>
      </c>
      <c r="B16" s="2" t="s">
        <v>4219</v>
      </c>
      <c r="C16" s="2" t="s">
        <v>4219</v>
      </c>
      <c r="D16" s="2" t="s">
        <v>4219</v>
      </c>
      <c r="E16" s="2" t="s">
        <v>4219</v>
      </c>
      <c r="F16" s="2" t="s">
        <v>4219</v>
      </c>
      <c r="G16" s="2" t="s">
        <v>4219</v>
      </c>
      <c r="H16" s="2" t="s">
        <v>4219</v>
      </c>
      <c r="I16" s="2" t="s">
        <v>4219</v>
      </c>
      <c r="J16" s="2" t="s">
        <v>4219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42"/>
  <sheetViews>
    <sheetView workbookViewId="0">
      <selection activeCell="M14" sqref="M14"/>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10" s="1" customFormat="1" x14ac:dyDescent="0.25">
      <c r="A1" s="1" t="s">
        <v>12</v>
      </c>
      <c r="B1" t="s">
        <v>3283</v>
      </c>
      <c r="C1" t="s">
        <v>3283</v>
      </c>
      <c r="D1" t="s">
        <v>3283</v>
      </c>
      <c r="E1" t="s">
        <v>3283</v>
      </c>
      <c r="F1" t="s">
        <v>3283</v>
      </c>
      <c r="G1" t="s">
        <v>3283</v>
      </c>
      <c r="H1" t="s">
        <v>3283</v>
      </c>
      <c r="I1" t="s">
        <v>3283</v>
      </c>
      <c r="J1" t="s">
        <v>3283</v>
      </c>
    </row>
    <row r="2" spans="1:10" s="1" customFormat="1" x14ac:dyDescent="0.25">
      <c r="A2" s="1" t="s">
        <v>4146</v>
      </c>
      <c r="B2" t="s">
        <v>4249</v>
      </c>
      <c r="C2" t="s">
        <v>4249</v>
      </c>
      <c r="D2" t="s">
        <v>4249</v>
      </c>
      <c r="E2" t="s">
        <v>4249</v>
      </c>
      <c r="F2" t="s">
        <v>4249</v>
      </c>
      <c r="G2" t="s">
        <v>4249</v>
      </c>
      <c r="H2" t="s">
        <v>4249</v>
      </c>
      <c r="I2" t="s">
        <v>4249</v>
      </c>
      <c r="J2" t="s">
        <v>4249</v>
      </c>
    </row>
    <row r="3" spans="1:10" s="1" customFormat="1" x14ac:dyDescent="0.25">
      <c r="A3" s="1" t="s">
        <v>4147</v>
      </c>
    </row>
    <row r="4" spans="1:10" s="1" customFormat="1" x14ac:dyDescent="0.25">
      <c r="A4" s="1" t="s">
        <v>4156</v>
      </c>
      <c r="B4" s="1">
        <f>COUNTIFS($A$12:$A$42,"*$*",B12:B42,"")</f>
        <v>0</v>
      </c>
      <c r="C4" s="1">
        <f t="shared" ref="C4:J4" si="0">COUNTIFS($A$12:$A$42,"*$*",C12:C42,"")</f>
        <v>0</v>
      </c>
      <c r="D4" s="1">
        <f t="shared" si="0"/>
        <v>0</v>
      </c>
      <c r="E4" s="1">
        <f t="shared" si="0"/>
        <v>0</v>
      </c>
      <c r="F4" s="1">
        <f t="shared" si="0"/>
        <v>0</v>
      </c>
      <c r="G4" s="1">
        <f t="shared" si="0"/>
        <v>0</v>
      </c>
      <c r="H4" s="1">
        <f t="shared" si="0"/>
        <v>0</v>
      </c>
      <c r="I4" s="1">
        <f t="shared" si="0"/>
        <v>0</v>
      </c>
      <c r="J4" s="1">
        <f t="shared" si="0"/>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3558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r="11" spans="1:10" s="67" customFormat="1" x14ac:dyDescent="0.25">
      <c r="A11" s="64" t="s">
        <v>3568</v>
      </c>
      <c r="B11" s="65"/>
      <c r="C11" s="65"/>
      <c r="D11" s="65"/>
      <c r="E11" s="66"/>
    </row>
    <row r="12" spans="1:10" s="1" customFormat="1" x14ac:dyDescent="0.25">
      <c r="A12" s="38" t="s">
        <v>4179</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c r="H12" s="13" t="str">
        <f>VLOOKUP('7.OtherAttribute'!H13,Master!$M:$N,2,FALSE)</f>
        <v>01</v>
      </c>
      <c r="I12" s="13" t="str">
        <f>VLOOKUP('7.OtherAttribute'!I13,Master!$M:$N,2,FALSE)</f>
        <v>01</v>
      </c>
      <c r="J12" s="13" t="str">
        <f>VLOOKUP('7.OtherAttribute'!J13,Master!$M:$N,2,FALSE)</f>
        <v>01</v>
      </c>
    </row>
    <row r="13" spans="1:10" s="1" customFormat="1" ht="30" x14ac:dyDescent="0.25">
      <c r="A13" s="37" t="s">
        <v>4180</v>
      </c>
      <c r="B13" s="13" t="s">
        <v>683</v>
      </c>
      <c r="C13" s="13" t="s">
        <v>683</v>
      </c>
      <c r="D13" s="13" t="s">
        <v>683</v>
      </c>
      <c r="E13" s="13" t="s">
        <v>683</v>
      </c>
      <c r="F13" s="13" t="s">
        <v>683</v>
      </c>
      <c r="G13" s="13" t="s">
        <v>683</v>
      </c>
      <c r="H13" s="13" t="s">
        <v>683</v>
      </c>
      <c r="I13" s="13" t="s">
        <v>683</v>
      </c>
      <c r="J13" s="13" t="s">
        <v>683</v>
      </c>
    </row>
    <row r="14" spans="1:10" s="1" customFormat="1" x14ac:dyDescent="0.25">
      <c r="A14" s="38" t="s">
        <v>4181</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c r="H14" s="14" t="str">
        <f>VLOOKUP(H15,Master!$P:$Q,2,FALSE)</f>
        <v>4</v>
      </c>
      <c r="I14" s="14" t="str">
        <f>VLOOKUP(I15,Master!$P:$Q,2,FALSE)</f>
        <v>4</v>
      </c>
      <c r="J14" s="14" t="str">
        <f>VLOOKUP(J15,Master!$P:$Q,2,FALSE)</f>
        <v>4</v>
      </c>
    </row>
    <row r="15" spans="1:10" s="1" customFormat="1" ht="30" x14ac:dyDescent="0.25">
      <c r="A15" s="37" t="s">
        <v>4182</v>
      </c>
      <c r="B15" s="14" t="s">
        <v>1234</v>
      </c>
      <c r="C15" s="14" t="s">
        <v>1234</v>
      </c>
      <c r="D15" s="14" t="s">
        <v>1234</v>
      </c>
      <c r="E15" s="14" t="s">
        <v>1234</v>
      </c>
      <c r="F15" s="14" t="s">
        <v>1234</v>
      </c>
      <c r="G15" s="14" t="s">
        <v>1234</v>
      </c>
      <c r="H15" s="14" t="s">
        <v>1234</v>
      </c>
      <c r="I15" s="14" t="s">
        <v>1234</v>
      </c>
      <c r="J15" s="14" t="s">
        <v>1234</v>
      </c>
    </row>
    <row r="16" spans="1:10" s="1" customFormat="1" x14ac:dyDescent="0.25">
      <c r="A16" s="38" t="s">
        <v>4183</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c r="H16" s="14" t="str">
        <f>VLOOKUP(H17,Master!$S:$T,2,FALSE)</f>
        <v>e2954</v>
      </c>
      <c r="I16" s="14" t="str">
        <f>VLOOKUP(I17,Master!$S:$T,2,FALSE)</f>
        <v>e2954</v>
      </c>
      <c r="J16" s="14" t="str">
        <f>VLOOKUP(J17,Master!$S:$T,2,FALSE)</f>
        <v>e2954</v>
      </c>
    </row>
    <row r="17" spans="1:10" s="1" customFormat="1" ht="180" x14ac:dyDescent="0.25">
      <c r="A17" s="37" t="s">
        <v>4185</v>
      </c>
      <c r="B17" s="14" t="s">
        <v>4107</v>
      </c>
      <c r="C17" s="14" t="s">
        <v>4107</v>
      </c>
      <c r="D17" s="14" t="s">
        <v>4107</v>
      </c>
      <c r="E17" s="14" t="s">
        <v>4107</v>
      </c>
      <c r="F17" s="14" t="s">
        <v>4107</v>
      </c>
      <c r="G17" s="14" t="s">
        <v>4107</v>
      </c>
      <c r="H17" s="14" t="s">
        <v>4107</v>
      </c>
      <c r="I17" s="14" t="s">
        <v>4107</v>
      </c>
      <c r="J17" s="14" t="s">
        <v>4107</v>
      </c>
    </row>
    <row r="18" spans="1:10" s="1" customFormat="1" x14ac:dyDescent="0.25">
      <c r="A18" s="38" t="s">
        <v>4186</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c r="H18" s="14" t="str">
        <f>VLOOKUP(H19,Master!$V:$W,2,FALSE)</f>
        <v>e3826</v>
      </c>
      <c r="I18" s="14" t="str">
        <f>VLOOKUP(I19,Master!$V:$W,2,FALSE)</f>
        <v>e3826</v>
      </c>
      <c r="J18" s="14" t="str">
        <f>VLOOKUP(J19,Master!$V:$W,2,FALSE)</f>
        <v>e3826</v>
      </c>
    </row>
    <row r="19" spans="1:10" s="1" customFormat="1" ht="45" x14ac:dyDescent="0.25">
      <c r="A19" s="37" t="s">
        <v>4184</v>
      </c>
      <c r="B19" s="14" t="s">
        <v>1409</v>
      </c>
      <c r="C19" s="14" t="s">
        <v>1409</v>
      </c>
      <c r="D19" s="14" t="s">
        <v>1409</v>
      </c>
      <c r="E19" s="14" t="s">
        <v>1409</v>
      </c>
      <c r="F19" s="14" t="s">
        <v>1409</v>
      </c>
      <c r="G19" s="14" t="s">
        <v>1409</v>
      </c>
      <c r="H19" s="14" t="s">
        <v>1409</v>
      </c>
      <c r="I19" s="14" t="s">
        <v>1409</v>
      </c>
      <c r="J19" s="14" t="s">
        <v>1409</v>
      </c>
    </row>
    <row r="20" spans="1:10" s="57" customFormat="1" x14ac:dyDescent="0.25">
      <c r="A20" s="58" t="s">
        <v>3569</v>
      </c>
      <c r="B20" s="59"/>
      <c r="C20" s="59"/>
      <c r="D20" s="59"/>
      <c r="E20" s="59"/>
      <c r="F20" s="59"/>
      <c r="G20" s="59"/>
      <c r="H20" s="59"/>
      <c r="I20" s="59"/>
      <c r="J20" s="59"/>
    </row>
    <row r="21" spans="1:10" s="1" customFormat="1" x14ac:dyDescent="0.25">
      <c r="A21" s="2" t="s">
        <v>1594</v>
      </c>
      <c r="B21" s="14" t="s">
        <v>4062</v>
      </c>
      <c r="C21" s="14" t="s">
        <v>4062</v>
      </c>
      <c r="D21" s="14" t="s">
        <v>4062</v>
      </c>
      <c r="E21" s="14" t="s">
        <v>4062</v>
      </c>
      <c r="F21" s="14" t="s">
        <v>4062</v>
      </c>
      <c r="G21" s="14" t="s">
        <v>4062</v>
      </c>
      <c r="H21" s="14" t="s">
        <v>4062</v>
      </c>
      <c r="I21" s="14" t="s">
        <v>4062</v>
      </c>
      <c r="J21" s="14" t="s">
        <v>4062</v>
      </c>
    </row>
    <row r="22" spans="1:10" s="1" customFormat="1" x14ac:dyDescent="0.25">
      <c r="A22" s="38" t="s">
        <v>4187</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c r="H22" s="15" t="str">
        <f>VLOOKUP(H23,Master!$Y:$Z,2,FALSE)</f>
        <v>9000</v>
      </c>
      <c r="I22" s="15" t="str">
        <f>VLOOKUP(I23,Master!$Y:$Z,2,FALSE)</f>
        <v>9000</v>
      </c>
      <c r="J22" s="15" t="str">
        <f>VLOOKUP(J23,Master!$Y:$Z,2,FALSE)</f>
        <v>9000</v>
      </c>
    </row>
    <row r="23" spans="1:10" s="1" customFormat="1" ht="45" x14ac:dyDescent="0.25">
      <c r="A23" s="37" t="s">
        <v>4188</v>
      </c>
      <c r="B23" s="14" t="s">
        <v>2732</v>
      </c>
      <c r="C23" s="14" t="s">
        <v>2732</v>
      </c>
      <c r="D23" s="14" t="s">
        <v>2732</v>
      </c>
      <c r="E23" s="14" t="s">
        <v>2732</v>
      </c>
      <c r="F23" s="14" t="s">
        <v>2732</v>
      </c>
      <c r="G23" s="14" t="s">
        <v>2732</v>
      </c>
      <c r="H23" s="14" t="s">
        <v>2732</v>
      </c>
      <c r="I23" s="14" t="s">
        <v>2732</v>
      </c>
      <c r="J23" s="14" t="s">
        <v>2732</v>
      </c>
    </row>
    <row r="24" spans="1:10" s="1" customFormat="1" x14ac:dyDescent="0.25">
      <c r="A24" s="2" t="s">
        <v>1595</v>
      </c>
      <c r="B24" s="14" t="s">
        <v>4062</v>
      </c>
      <c r="C24" s="14" t="s">
        <v>4062</v>
      </c>
      <c r="D24" s="14" t="s">
        <v>4062</v>
      </c>
      <c r="E24" s="14" t="s">
        <v>4062</v>
      </c>
      <c r="F24" s="14" t="s">
        <v>4062</v>
      </c>
      <c r="G24" s="14" t="s">
        <v>4062</v>
      </c>
      <c r="H24" s="14" t="s">
        <v>4062</v>
      </c>
      <c r="I24" s="14" t="s">
        <v>4062</v>
      </c>
      <c r="J24" s="14" t="s">
        <v>4062</v>
      </c>
    </row>
    <row r="25" spans="1:10" s="1" customFormat="1" x14ac:dyDescent="0.25">
      <c r="A25" s="2" t="s">
        <v>1596</v>
      </c>
      <c r="B25" s="14" t="s">
        <v>4062</v>
      </c>
      <c r="C25" s="14" t="s">
        <v>4062</v>
      </c>
      <c r="D25" s="14" t="s">
        <v>4062</v>
      </c>
      <c r="E25" s="14" t="s">
        <v>4062</v>
      </c>
      <c r="F25" s="14" t="s">
        <v>4062</v>
      </c>
      <c r="G25" s="14" t="s">
        <v>4062</v>
      </c>
      <c r="H25" s="14" t="s">
        <v>4062</v>
      </c>
      <c r="I25" s="14" t="s">
        <v>4062</v>
      </c>
      <c r="J25" s="14" t="s">
        <v>4062</v>
      </c>
    </row>
    <row r="26" spans="1:10" s="1" customFormat="1" x14ac:dyDescent="0.25">
      <c r="A26" s="38" t="s">
        <v>4189</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c r="H26" s="15" t="str">
        <f>VLOOKUP(H27,Master!$AB:$AC,2,FALSE)</f>
        <v>9900</v>
      </c>
      <c r="I26" s="15" t="str">
        <f>VLOOKUP(I27,Master!$AB:$AC,2,FALSE)</f>
        <v>9900</v>
      </c>
      <c r="J26" s="15" t="str">
        <f>VLOOKUP(J27,Master!$AB:$AC,2,FALSE)</f>
        <v>9900</v>
      </c>
    </row>
    <row r="27" spans="1:10" s="1" customFormat="1" ht="60" x14ac:dyDescent="0.25">
      <c r="A27" s="37" t="s">
        <v>4190</v>
      </c>
      <c r="B27" s="14" t="s">
        <v>2963</v>
      </c>
      <c r="C27" s="14" t="s">
        <v>2963</v>
      </c>
      <c r="D27" s="14" t="s">
        <v>2963</v>
      </c>
      <c r="E27" s="14" t="s">
        <v>2963</v>
      </c>
      <c r="F27" s="14" t="s">
        <v>2963</v>
      </c>
      <c r="G27" s="14" t="s">
        <v>2963</v>
      </c>
      <c r="H27" s="14" t="s">
        <v>2963</v>
      </c>
      <c r="I27" s="14" t="s">
        <v>2963</v>
      </c>
      <c r="J27" s="14" t="s">
        <v>2963</v>
      </c>
    </row>
    <row r="28" spans="1:10" s="1" customFormat="1" x14ac:dyDescent="0.25">
      <c r="A28" s="38" t="s">
        <v>4191</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c r="H28" s="15" t="str">
        <f>VLOOKUP(H29,Master!$AE:$AF,2,FALSE)</f>
        <v>00502</v>
      </c>
      <c r="I28" s="15" t="str">
        <f>VLOOKUP(I29,Master!$AE:$AF,2,FALSE)</f>
        <v>00502</v>
      </c>
      <c r="J28" s="15" t="str">
        <f>VLOOKUP(J29,Master!$AE:$AF,2,FALSE)</f>
        <v>00502</v>
      </c>
    </row>
    <row r="29" spans="1:10" s="1" customFormat="1" ht="165" x14ac:dyDescent="0.25">
      <c r="A29" s="37" t="s">
        <v>4193</v>
      </c>
      <c r="B29" s="14" t="s">
        <v>1995</v>
      </c>
      <c r="C29" s="14" t="s">
        <v>1995</v>
      </c>
      <c r="D29" s="14" t="s">
        <v>1995</v>
      </c>
      <c r="E29" s="14" t="s">
        <v>1995</v>
      </c>
      <c r="F29" s="14" t="s">
        <v>1995</v>
      </c>
      <c r="G29" s="14" t="s">
        <v>1995</v>
      </c>
      <c r="H29" s="14" t="s">
        <v>1995</v>
      </c>
      <c r="I29" s="14" t="s">
        <v>1995</v>
      </c>
      <c r="J29" s="14" t="s">
        <v>1995</v>
      </c>
    </row>
    <row r="30" spans="1:10" s="1" customFormat="1" x14ac:dyDescent="0.25">
      <c r="A30" s="40" t="s">
        <v>4192</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c r="H30" s="15" t="str">
        <f>VLOOKUP(H31,Master!$AH:$AI,2,FALSE)</f>
        <v>00055</v>
      </c>
      <c r="I30" s="15" t="str">
        <f>VLOOKUP(I31,Master!$AH:$AI,2,FALSE)</f>
        <v>00055</v>
      </c>
      <c r="J30" s="15" t="str">
        <f>VLOOKUP(J31,Master!$AH:$AI,2,FALSE)</f>
        <v>00055</v>
      </c>
    </row>
    <row r="31" spans="1:10" s="1" customFormat="1" ht="45" x14ac:dyDescent="0.25">
      <c r="A31" s="39" t="s">
        <v>4194</v>
      </c>
      <c r="B31" s="15" t="s">
        <v>2965</v>
      </c>
      <c r="C31" s="15" t="s">
        <v>2965</v>
      </c>
      <c r="D31" s="15" t="s">
        <v>2965</v>
      </c>
      <c r="E31" s="15" t="s">
        <v>2965</v>
      </c>
      <c r="F31" s="15" t="s">
        <v>2965</v>
      </c>
      <c r="G31" s="15" t="s">
        <v>2965</v>
      </c>
      <c r="H31" s="15" t="s">
        <v>2965</v>
      </c>
      <c r="I31" s="15" t="s">
        <v>2965</v>
      </c>
      <c r="J31" s="15" t="s">
        <v>2965</v>
      </c>
    </row>
    <row r="32" spans="1:10" s="1" customFormat="1" ht="60" x14ac:dyDescent="0.25">
      <c r="A32" s="38" t="s">
        <v>4195</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c r="H32" s="15" t="str">
        <f>VLOOKUP(H33,Master!$AK:$AL,2,FALSE)</f>
        <v>PAYMENT_TYPEX_AUTOPAYMENT</v>
      </c>
      <c r="I32" s="15" t="str">
        <f>VLOOKUP(I33,Master!$AK:$AL,2,FALSE)</f>
        <v>PAYMENT_TYPEX_AUTOPAYMENT</v>
      </c>
      <c r="J32" s="15" t="str">
        <f>VLOOKUP(J33,Master!$AK:$AL,2,FALSE)</f>
        <v>PAYMENT_TYPEX_AUTOPAYMENT</v>
      </c>
    </row>
    <row r="33" spans="1:10" s="1" customFormat="1" ht="45" x14ac:dyDescent="0.25">
      <c r="A33" s="37" t="s">
        <v>4197</v>
      </c>
      <c r="B33" s="15" t="s">
        <v>2975</v>
      </c>
      <c r="C33" s="15" t="s">
        <v>2975</v>
      </c>
      <c r="D33" s="15" t="s">
        <v>2975</v>
      </c>
      <c r="E33" s="15" t="s">
        <v>2975</v>
      </c>
      <c r="F33" s="15" t="s">
        <v>2975</v>
      </c>
      <c r="G33" s="15" t="s">
        <v>2975</v>
      </c>
      <c r="H33" s="15" t="s">
        <v>2975</v>
      </c>
      <c r="I33" s="15" t="s">
        <v>2975</v>
      </c>
      <c r="J33" s="15" t="s">
        <v>2975</v>
      </c>
    </row>
    <row r="34" spans="1:10" s="1" customFormat="1" x14ac:dyDescent="0.25">
      <c r="A34" s="37" t="s">
        <v>4196</v>
      </c>
      <c r="B34" s="14" t="s">
        <v>4062</v>
      </c>
      <c r="C34" s="14" t="s">
        <v>4062</v>
      </c>
      <c r="D34" s="14" t="s">
        <v>4062</v>
      </c>
      <c r="E34" s="14" t="s">
        <v>4062</v>
      </c>
      <c r="F34" s="14" t="s">
        <v>4062</v>
      </c>
      <c r="G34" s="14" t="s">
        <v>4062</v>
      </c>
      <c r="H34" s="14" t="s">
        <v>4062</v>
      </c>
      <c r="I34" s="14" t="s">
        <v>4062</v>
      </c>
      <c r="J34" s="14" t="s">
        <v>4062</v>
      </c>
    </row>
    <row r="35" spans="1:10" s="1" customFormat="1" x14ac:dyDescent="0.25">
      <c r="A35" s="38" t="s">
        <v>4198</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c r="H35" s="15" t="e">
        <f>VLOOKUP(H36,Master!$AN:$AO,2,FALSE)</f>
        <v>#N/A</v>
      </c>
      <c r="I35" s="15" t="e">
        <f>VLOOKUP(I36,Master!$AN:$AO,2,FALSE)</f>
        <v>#N/A</v>
      </c>
      <c r="J35" s="15" t="e">
        <f>VLOOKUP(J36,Master!$AN:$AO,2,FALSE)</f>
        <v>#N/A</v>
      </c>
    </row>
    <row r="36" spans="1:10" s="1" customFormat="1" x14ac:dyDescent="0.25">
      <c r="A36" s="2" t="s">
        <v>1598</v>
      </c>
      <c r="B36" s="15"/>
      <c r="C36" s="15"/>
      <c r="D36" s="15"/>
      <c r="E36" s="15"/>
      <c r="F36" s="15"/>
      <c r="G36" s="15"/>
      <c r="H36" s="15"/>
      <c r="I36" s="15"/>
      <c r="J36" s="15"/>
    </row>
    <row r="37" spans="1:10" s="1" customFormat="1" ht="30" x14ac:dyDescent="0.25">
      <c r="A37" s="37" t="s">
        <v>4199</v>
      </c>
      <c r="B37" s="45" t="s">
        <v>4248</v>
      </c>
      <c r="C37" s="45" t="s">
        <v>4248</v>
      </c>
      <c r="D37" s="45" t="s">
        <v>4248</v>
      </c>
      <c r="E37" s="45" t="s">
        <v>4248</v>
      </c>
      <c r="F37" s="45" t="s">
        <v>4248</v>
      </c>
      <c r="G37" s="45" t="s">
        <v>4248</v>
      </c>
      <c r="H37" s="45" t="s">
        <v>4248</v>
      </c>
      <c r="I37" s="45" t="s">
        <v>4248</v>
      </c>
      <c r="J37" s="45" t="s">
        <v>4248</v>
      </c>
    </row>
    <row r="38" spans="1:10" s="1" customFormat="1" ht="30" x14ac:dyDescent="0.25">
      <c r="A38" s="38" t="s">
        <v>4200</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c r="H38" s="15" t="str">
        <f>VLOOKUP(H39,Master!$AQ$1:$AR$2,2,FALSE)</f>
        <v>BISNIS_SENDIRI</v>
      </c>
      <c r="I38" s="15" t="str">
        <f>VLOOKUP(I39,Master!$AQ$1:$AR$2,2,FALSE)</f>
        <v>BISNIS_SENDIRI</v>
      </c>
      <c r="J38" s="15" t="str">
        <f>VLOOKUP(J39,Master!$AQ$1:$AR$2,2,FALSE)</f>
        <v>BISNIS_SENDIRI</v>
      </c>
    </row>
    <row r="39" spans="1:10" s="1" customFormat="1" ht="30" x14ac:dyDescent="0.25">
      <c r="A39" s="37" t="s">
        <v>4201</v>
      </c>
      <c r="B39" s="46" t="s">
        <v>2985</v>
      </c>
      <c r="C39" s="46" t="s">
        <v>2985</v>
      </c>
      <c r="D39" s="46" t="s">
        <v>2985</v>
      </c>
      <c r="E39" s="46" t="s">
        <v>2985</v>
      </c>
      <c r="F39" s="46" t="s">
        <v>2985</v>
      </c>
      <c r="G39" s="46" t="s">
        <v>2985</v>
      </c>
      <c r="H39" s="46" t="s">
        <v>2985</v>
      </c>
      <c r="I39" s="46" t="s">
        <v>2985</v>
      </c>
      <c r="J39" s="46" t="s">
        <v>2985</v>
      </c>
    </row>
    <row r="40" spans="1:10" s="1" customFormat="1" ht="30" x14ac:dyDescent="0.25">
      <c r="A40" s="37" t="s">
        <v>4202</v>
      </c>
      <c r="B40" s="45" t="s">
        <v>4104</v>
      </c>
      <c r="C40" s="45" t="s">
        <v>4104</v>
      </c>
      <c r="D40" s="45" t="s">
        <v>4104</v>
      </c>
      <c r="E40" s="45" t="s">
        <v>4104</v>
      </c>
      <c r="F40" s="45" t="s">
        <v>4104</v>
      </c>
      <c r="G40" s="45" t="s">
        <v>4104</v>
      </c>
      <c r="H40" s="45" t="s">
        <v>4104</v>
      </c>
      <c r="I40" s="45" t="s">
        <v>4104</v>
      </c>
      <c r="J40" s="45" t="s">
        <v>4104</v>
      </c>
    </row>
    <row r="41" spans="1:10" s="1" customFormat="1" x14ac:dyDescent="0.25">
      <c r="A41" s="38" t="s">
        <v>4203</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c r="H41" s="15" t="str">
        <f>VLOOKUP(H42,Master!$AT:$AU,2,FALSE)</f>
        <v>OWNED</v>
      </c>
      <c r="I41" s="15" t="str">
        <f>VLOOKUP(I42,Master!$AT:$AU,2,FALSE)</f>
        <v>OWNED</v>
      </c>
      <c r="J41" s="15" t="str">
        <f>VLOOKUP(J42,Master!$AT:$AU,2,FALSE)</f>
        <v>OWNED</v>
      </c>
    </row>
    <row r="42" spans="1:10" s="1" customFormat="1" ht="30" x14ac:dyDescent="0.25">
      <c r="A42" s="2" t="s">
        <v>1599</v>
      </c>
      <c r="B42" s="15" t="s">
        <v>26</v>
      </c>
      <c r="C42" s="15" t="s">
        <v>26</v>
      </c>
      <c r="D42" s="15" t="s">
        <v>26</v>
      </c>
      <c r="E42" s="15" t="s">
        <v>26</v>
      </c>
      <c r="F42" s="15" t="s">
        <v>26</v>
      </c>
      <c r="G42" s="15" t="s">
        <v>26</v>
      </c>
      <c r="H42" s="15" t="s">
        <v>26</v>
      </c>
      <c r="I42" s="15" t="s">
        <v>26</v>
      </c>
      <c r="J42" s="15" t="s">
        <v>26</v>
      </c>
    </row>
  </sheetData>
  <mergeCells count="1">
    <mergeCell ref="A11:XFD11"/>
  </mergeCells>
  <dataValidations count="14">
    <dataValidation type="list" errorStyle="information" allowBlank="1" showInputMessage="1" showErrorMessage="1" sqref="B13:J13">
      <formula1>ListDebtGroup</formula1>
    </dataValidation>
    <dataValidation type="list" errorStyle="information" allowBlank="1" showInputMessage="1" showErrorMessage="1" sqref="B15:J15">
      <formula1>ListDebtorBusinessScale</formula1>
    </dataValidation>
    <dataValidation type="list" errorStyle="information" allowBlank="1" showInputMessage="1" showErrorMessage="1" sqref="B17:J17">
      <formula1>ListCounterpart</formula1>
    </dataValidation>
    <dataValidation type="list" errorStyle="information" allowBlank="1" showInputMessage="1" showErrorMessage="1" sqref="B19:J19">
      <formula1>ListSusFinBus</formula1>
    </dataValidation>
    <dataValidation type="list" errorStyle="information" allowBlank="1" showInputMessage="1" showErrorMessage="1" sqref="B23:J23">
      <formula1>ListDebtGroupSLIK</formula1>
    </dataValidation>
    <dataValidation type="list" errorStyle="information" allowBlank="1" showInputMessage="1" showErrorMessage="1" sqref="B27:J27">
      <formula1>ListAfWiMult</formula1>
    </dataValidation>
    <dataValidation type="list" errorStyle="information" allowBlank="1" showInputMessage="1" showErrorMessage="1" sqref="B29:J29">
      <formula1>ListDeptAML</formula1>
    </dataValidation>
    <dataValidation type="list" errorStyle="information" allowBlank="1" showInputMessage="1" showErrorMessage="1" sqref="B31:J31">
      <formula1>ListCSPUSL</formula1>
    </dataValidation>
    <dataValidation type="list" errorStyle="information" allowBlank="1" showInputMessage="1" showErrorMessage="1" sqref="B33:J33">
      <formula1>ListPaymentTypeAML</formula1>
    </dataValidation>
    <dataValidation type="list" errorStyle="information" allowBlank="1" showInputMessage="1" showErrorMessage="1" sqref="B36:J36">
      <formula1>ListAuthorityAML</formula1>
    </dataValidation>
    <dataValidation type="list" errorStyle="information" allowBlank="1" showInputMessage="1" showErrorMessage="1" sqref="B39:J39">
      <formula1>ListBusinessSource</formula1>
    </dataValidation>
    <dataValidation type="list" errorStyle="information" allowBlank="1" showInputMessage="1" showErrorMessage="1" sqref="B42:J42">
      <formula1>ListBuilding</formula1>
    </dataValidation>
    <dataValidation type="list" errorStyle="information" allowBlank="1" showInputMessage="1" showErrorMessage="1" sqref="B24:J25 B34:J34 B21:J21">
      <formula1>"YES, NO"</formula1>
    </dataValidation>
    <dataValidation errorStyle="information" allowBlank="1" showInputMessage="1" showErrorMessage="1" sqref="B40:J40 B37:J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r="10" spans="1:61" ht="30"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r="11" spans="1:61" ht="30"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r="12" spans="1:61" ht="30"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r="77" spans="1:54" ht="30"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r="78" spans="1:54" ht="30"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r="90" spans="1:54" ht="30"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r="91" spans="1:54" ht="30"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r="103" spans="1:106" ht="30"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r="104" spans="1:106" ht="30"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r="109" spans="1:106" ht="30"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r="115" spans="10:54" ht="30"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r="116" spans="10:54" ht="30"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r="138" spans="10:54" ht="30"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r="152" spans="10:54" ht="30"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r="153" spans="10:54" ht="30"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2023-01-16T00:08:36Z</dcterms:modified>
</cp:coreProperties>
</file>