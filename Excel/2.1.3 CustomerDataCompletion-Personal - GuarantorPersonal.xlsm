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firstSheet="2" activeTab="2"/>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3" l="1"/>
  <c r="B4" i="4"/>
  <c r="B4" i="7" l="1"/>
  <c r="B4" i="6"/>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D12" i="1"/>
  <c r="E12" i="1"/>
  <c r="C26" i="1"/>
  <c r="D26" i="1"/>
  <c r="E26" i="1"/>
  <c r="B12" i="1" l="1"/>
  <c r="B47" i="3" l="1"/>
  <c r="B42" i="3"/>
  <c r="B38" i="3"/>
  <c r="B32" i="3"/>
  <c r="B28" i="3"/>
  <c r="B14" i="3" l="1"/>
  <c r="B26" i="1" l="1"/>
  <c r="B21" i="3" l="1"/>
  <c r="B4" i="3" s="1"/>
  <c r="B35" i="7" l="1"/>
  <c r="B41" i="7"/>
  <c r="B22" i="7"/>
  <c r="B26" i="7"/>
  <c r="B28" i="7"/>
  <c r="B30" i="7"/>
  <c r="B32" i="7"/>
  <c r="B38" i="7"/>
  <c r="B18" i="7"/>
  <c r="B16" i="7"/>
  <c r="B14" i="7"/>
  <c r="B12" i="7"/>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<sst xmlns="http://schemas.openxmlformats.org/spreadsheetml/2006/main" count="4678" uniqueCount="4246">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</sst>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81" dataDxfId="79" headerRowBorderDxfId="80" tableBorderDxfId="78" totalsRowBorderDxfId="77">
  <autoFilter ref="J1:K149"/>
  <tableColumns count="2">
    <tableColumn id="1" uniqueName="1" name="BANK NAME" queryTableFieldId="1" dataDxfId="76"/>
    <tableColumn id="2" uniqueName="2" name="BANK CODE" queryTableFieldId="2" dataDxfId="75"/>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74" dataDxfId="73">
  <autoFilter ref="A1:B100"/>
  <tableColumns count="2">
    <tableColumn id="1" uniqueName="1" name="JOB PROFESSION NAME" queryTableFieldId="1" dataDxfId="72"/>
    <tableColumn id="2" uniqueName="2" name="JOB POSITION CODE" queryTableFieldId="2" dataDxfId="71"/>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70">
  <autoFilter ref="E1:E30"/>
  <tableColumns count="1">
    <tableColumn id="2" uniqueName="2" name="JOB POSITION NAME" queryTableFieldId="1" dataDxfId="69"/>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8">
  <autoFilter ref="H1:H14"/>
  <tableColumns count="1">
    <tableColumn id="2" uniqueName="2" name="Customer Relationship" queryTableFieldId="1" dataDxfId="67"/>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6" dataDxfId="65">
  <autoFilter ref="M1:N315"/>
  <tableColumns count="2">
    <tableColumn id="1" uniqueName="1" name="DEBTOR GROUP NAME" queryTableFieldId="1" dataDxfId="64"/>
    <tableColumn id="2" uniqueName="2" name="DEBTOR GROUP CODE" queryTableFieldId="2" dataDxfId="63"/>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62" dataDxfId="61">
  <autoFilter ref="P1:Q6"/>
  <tableColumns count="2">
    <tableColumn id="3" uniqueName="3" name="Debtor Business Scale Description" queryTableFieldId="1" dataDxfId="60"/>
    <tableColumn id="4" uniqueName="4" name="Debtor Group Code" queryTableFieldId="2" dataDxfId="59"/>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8" dataDxfId="57">
  <autoFilter ref="S1:T175"/>
  <tableColumns count="2">
    <tableColumn id="1" uniqueName="1" name="Counterpart Category" queryTableFieldId="1" dataDxfId="56"/>
    <tableColumn id="2" uniqueName="2" name="LBPP CODE" queryTableFieldId="2" dataDxfId="55"/>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54" dataDxfId="53">
  <autoFilter ref="V1:W14"/>
  <tableColumns count="2">
    <tableColumn id="1" uniqueName="1" name="Sustainable Financial Business" queryTableFieldId="1" dataDxfId="52"/>
    <tableColumn id="2" uniqueName="2" name="LBPP Code" queryTableFieldId="2" dataDxfId="51"/>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50" dataDxfId="49">
  <autoFilter ref="Y1:Z193"/>
  <tableColumns count="2">
    <tableColumn id="1" uniqueName="1" name="DEBTOR GROUP SLIK" queryTableFieldId="1" dataDxfId="48"/>
    <tableColumn id="2" uniqueName="2" name="DEBTOR GROUP SLIK CODE" queryTableFieldId="2" dataDxfId="47"/>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6" dataDxfId="45">
  <autoFilter ref="AB1:AC16"/>
  <tableColumns count="2">
    <tableColumn id="1" uniqueName="1" name="AFFILIATE WITH MULTIFINANCE SLIK" queryTableFieldId="1" dataDxfId="44"/>
    <tableColumn id="2" uniqueName="2" name="CODE" queryTableFieldId="2" dataDxfId="43"/>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42" dataDxfId="41">
  <autoFilter ref="AE1:AF492"/>
  <tableColumns count="2">
    <tableColumn id="3" uniqueName="3" name="DEPARTMENT AML" queryTableFieldId="1" dataDxfId="40"/>
    <tableColumn id="4" uniqueName="4" name="DEPARTMENT AML CODE" queryTableFieldId="2" dataDxfId="39"/>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8" dataDxfId="37">
  <autoFilter ref="AH1:AI10"/>
  <tableColumns count="2">
    <tableColumn id="1" uniqueName="1" name="CSP/USL SOURCE AML" queryTableFieldId="1" dataDxfId="36"/>
    <tableColumn id="2" uniqueName="2" name="CSP/USL SOURCE AML CODE" queryTableFieldId="2" dataDxfId="35"/>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34" dataDxfId="33">
  <autoFilter ref="AK1:AL3"/>
  <tableColumns count="2">
    <tableColumn id="3" uniqueName="3" name="PAYMENT TYPE AML" queryTableFieldId="1" dataDxfId="32"/>
    <tableColumn id="4" uniqueName="4" name="CODE" queryTableFieldId="2" dataDxfId="31"/>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30" dataDxfId="29">
  <autoFilter ref="AN1:AO9"/>
  <tableColumns count="2">
    <tableColumn id="3" uniqueName="3" name="AUTHORITY AML" queryTableFieldId="1" dataDxfId="28"/>
    <tableColumn id="4" uniqueName="4" name="AUTHORITY AML2" queryTableFieldId="2" dataDxfId="27"/>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6" dataDxfId="25">
  <autoFilter ref="AQ1:AR2"/>
  <tableColumns count="2">
    <tableColumn id="1" uniqueName="1" name="BUSINESS SOURCE AML" queryTableFieldId="1" dataDxfId="24"/>
    <tableColumn id="2" uniqueName="2" name="CODE" queryTableFieldId="2" dataDxfId="23"/>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22" dataDxfId="21">
  <autoFilter ref="AT1:AU8"/>
  <tableColumns count="2">
    <tableColumn id="1" uniqueName="1" name="BUILDING" queryTableFieldId="1" dataDxfId="20"/>
    <tableColumn id="2" uniqueName="2" name="BUILDING CODE" queryTableFieldId="2" dataDxfId="19"/>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8" dataDxfId="17">
  <autoFilter ref="AW1:AX265"/>
  <tableColumns count="2">
    <tableColumn id="1" uniqueName="1" name="INDUSTRY TYPE NAME" queryTableFieldId="1" dataDxfId="16"/>
    <tableColumn id="2" uniqueName="2" name="INDUSTRY TYPE CODE" queryTableFieldId="2" dataDxfId="15"/>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14">
  <autoFilter ref="BA1:BB242"/>
  <tableColumns count="2">
    <tableColumn id="3" uniqueName="3" name="COUNTRY NAME" queryTableFieldId="1" dataDxfId="13"/>
    <tableColumn id="4" uniqueName="4" name="COUNTRY CODE" queryTableFieldId="2" dataDxfId="1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1">
  <autoFilter ref="BE1:BE10"/>
  <tableColumns count="1">
    <tableColumn id="1" uniqueName="1" name="Copy Address" queryTableFieldId="1" dataDxfId="10"/>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9">
  <autoFilter ref="BG1:BG15"/>
  <tableColumns count="1">
    <tableColumn id="3" uniqueName="3" name="ID TYPE" queryTableFieldId="1" dataDxfId="8"/>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7">
  <autoFilter ref="BI1:BI3"/>
  <tableColumns count="1">
    <tableColumn id="3" uniqueName="3" name="GENDER" queryTableFieldId="1" dataDxfId="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4177</v>
      </c>
    </row>
    <row r="4" spans="1:11" s="1" customFormat="1" x14ac:dyDescent="0.25">
      <c r="A4" s="1" t="s">
        <v>4185</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4186</v>
      </c>
      <c r="B18" s="1" t="s">
        <v>5</v>
      </c>
      <c r="C18" s="1" t="s">
        <v>5</v>
      </c>
      <c r="D18" s="1" t="s">
        <v>5</v>
      </c>
      <c r="E18" s="1" t="s">
        <v>5</v>
      </c>
    </row>
    <row r="19" spans="1:11" s="1" customFormat="1" x14ac:dyDescent="0.25">
      <c r="A19" s="1" t="s">
        <v>4187</v>
      </c>
      <c r="B19" s="1" t="s">
        <v>5</v>
      </c>
      <c r="C19" s="1" t="s">
        <v>5</v>
      </c>
      <c r="D19" s="1" t="s">
        <v>5</v>
      </c>
      <c r="E19" s="1" t="s">
        <v>5</v>
      </c>
    </row>
    <row r="20" spans="1:11" s="1" customFormat="1" x14ac:dyDescent="0.25">
      <c r="A20" s="1" t="s">
        <v>4188</v>
      </c>
      <c r="B20" s="1" t="s">
        <v>5</v>
      </c>
      <c r="C20" s="1" t="s">
        <v>5</v>
      </c>
      <c r="D20" s="1" t="s">
        <v>5</v>
      </c>
      <c r="E20" s="1" t="s">
        <v>5</v>
      </c>
    </row>
    <row r="21" spans="1:11" s="1" customFormat="1" x14ac:dyDescent="0.25">
      <c r="A21" s="1" t="s">
        <v>7</v>
      </c>
    </row>
    <row r="22" spans="1:11" s="1" customFormat="1" x14ac:dyDescent="0.25">
      <c r="A22" s="37" t="s">
        <v>4178</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4179</v>
      </c>
      <c r="B25" s="1" t="s">
        <v>11</v>
      </c>
      <c r="C25" s="1" t="s">
        <v>11</v>
      </c>
      <c r="D25" s="1" t="s">
        <v>11</v>
      </c>
      <c r="E25" s="1" t="s">
        <v>11</v>
      </c>
    </row>
    <row r="26" spans="1:11" s="1" customFormat="1" x14ac:dyDescent="0.25">
      <c r="A26" s="38" t="s">
        <v>4180</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4181</v>
      </c>
      <c r="B27" s="2" t="s">
        <v>3581</v>
      </c>
      <c r="C27" s="2" t="s">
        <v>3581</v>
      </c>
      <c r="D27" s="2" t="s">
        <v>3581</v>
      </c>
      <c r="E27" s="2" t="s">
        <v>3581</v>
      </c>
      <c r="F27" s="2"/>
      <c r="G27" s="2"/>
      <c r="H27" s="2"/>
      <c r="I27" s="2"/>
      <c r="J27" s="2"/>
      <c r="K27" s="2"/>
    </row>
    <row r="28" spans="1:11" s="1" customFormat="1" x14ac:dyDescent="0.25">
      <c r="A28" s="37" t="s">
        <v>4182</v>
      </c>
      <c r="B28" s="1" t="s">
        <v>4115</v>
      </c>
      <c r="C28" s="1" t="s">
        <v>4160</v>
      </c>
      <c r="D28" s="1" t="s">
        <v>4161</v>
      </c>
      <c r="E28" s="1" t="s">
        <v>4162</v>
      </c>
    </row>
    <row r="29" spans="1:11" s="1" customFormat="1" x14ac:dyDescent="0.25">
      <c r="A29" s="37" t="s">
        <v>4183</v>
      </c>
      <c r="B29" s="1" t="s">
        <v>4110</v>
      </c>
      <c r="C29" s="1" t="s">
        <v>4110</v>
      </c>
      <c r="D29" s="1" t="s">
        <v>4110</v>
      </c>
      <c r="E29" s="1" t="s">
        <v>4110</v>
      </c>
    </row>
    <row r="30" spans="1:11" s="1" customFormat="1" x14ac:dyDescent="0.25">
      <c r="A30" s="36" t="s">
        <v>4184</v>
      </c>
      <c r="B30" s="2"/>
      <c r="C30" s="2"/>
      <c r="D30" s="2"/>
      <c r="E30" s="2"/>
      <c r="F30" s="2"/>
      <c r="G30" s="2"/>
      <c r="H30" s="2"/>
      <c r="I30" s="2"/>
      <c r="J30" s="2"/>
      <c r="K30" s="2"/>
    </row>
  </sheetData>
  <conditionalFormatting sqref="A30:XFD30">
    <cfRule type="expression" dxfId="5" priority="2">
      <formula>A$19="No"</formula>
    </cfRule>
  </conditionalFormatting>
  <conditionalFormatting sqref="B26:XFD27">
    <cfRule type="expression" dxfId="4"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A4" sqref="A4:B4"/>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IF(B13="",COUNTIFS($A$12:$A$32, "*$*",B12:B32,""),0)</f>
        <v>2</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row>
    <row r="12" spans="1:11" s="1" customFormat="1" x14ac:dyDescent="0.25">
      <c r="A12" s="37" t="s">
        <v>4189</v>
      </c>
      <c r="B12" s="1" t="s">
        <v>13</v>
      </c>
      <c r="C12" s="1" t="s">
        <v>13</v>
      </c>
      <c r="D12" s="1" t="s">
        <v>13</v>
      </c>
      <c r="E12" s="1" t="s">
        <v>13</v>
      </c>
    </row>
    <row r="13" spans="1:11" s="1" customFormat="1" x14ac:dyDescent="0.25">
      <c r="A13" s="1" t="s">
        <v>14</v>
      </c>
    </row>
    <row r="14" spans="1:11" s="1" customFormat="1" x14ac:dyDescent="0.25">
      <c r="A14" s="37" t="s">
        <v>4190</v>
      </c>
      <c r="B14" s="1" t="s">
        <v>16</v>
      </c>
      <c r="C14" s="1" t="s">
        <v>17</v>
      </c>
      <c r="D14" s="1" t="s">
        <v>18</v>
      </c>
      <c r="E14" s="1" t="s">
        <v>19</v>
      </c>
    </row>
    <row r="15" spans="1:11" s="1" customFormat="1" x14ac:dyDescent="0.25">
      <c r="A15" s="37" t="s">
        <v>4191</v>
      </c>
      <c r="B15" s="2">
        <v>23</v>
      </c>
      <c r="C15" s="2">
        <v>23</v>
      </c>
      <c r="D15" s="2">
        <v>23</v>
      </c>
      <c r="E15" s="2">
        <v>23</v>
      </c>
      <c r="F15" s="2"/>
      <c r="G15" s="2"/>
      <c r="H15" s="2"/>
      <c r="I15" s="2"/>
      <c r="J15" s="2"/>
      <c r="K15" s="2"/>
    </row>
    <row r="16" spans="1:11" s="1" customFormat="1" x14ac:dyDescent="0.25">
      <c r="A16" s="37" t="s">
        <v>4192</v>
      </c>
      <c r="B16" s="2">
        <v>12</v>
      </c>
      <c r="C16" s="2">
        <v>12</v>
      </c>
      <c r="D16" s="2">
        <v>12</v>
      </c>
      <c r="E16" s="2">
        <v>12</v>
      </c>
      <c r="F16" s="2"/>
      <c r="G16" s="2"/>
      <c r="H16" s="2"/>
      <c r="I16" s="2"/>
      <c r="J16" s="2"/>
      <c r="K16" s="2"/>
    </row>
    <row r="17" spans="1:11" s="1" customFormat="1" x14ac:dyDescent="0.25">
      <c r="A17" s="37" t="s">
        <v>4193</v>
      </c>
      <c r="B17" s="2">
        <v>11530</v>
      </c>
      <c r="C17" s="2">
        <v>11530</v>
      </c>
      <c r="D17" s="2">
        <v>11530</v>
      </c>
      <c r="E17" s="2">
        <v>11530</v>
      </c>
      <c r="F17" s="2"/>
      <c r="G17" s="2"/>
      <c r="H17" s="2"/>
      <c r="I17" s="2"/>
      <c r="J17" s="2"/>
      <c r="K17" s="2"/>
    </row>
    <row r="18" spans="1:11" s="1" customFormat="1" x14ac:dyDescent="0.25">
      <c r="A18" s="37" t="s">
        <v>4194</v>
      </c>
      <c r="B18" s="1" t="s">
        <v>24</v>
      </c>
      <c r="C18" s="1" t="s">
        <v>24</v>
      </c>
      <c r="D18" s="1" t="s">
        <v>24</v>
      </c>
      <c r="E18" s="1" t="s">
        <v>24</v>
      </c>
    </row>
    <row r="19" spans="1:11" s="1" customFormat="1" x14ac:dyDescent="0.25">
      <c r="A19" s="37" t="s">
        <v>4195</v>
      </c>
      <c r="B19" s="1" t="s">
        <v>24</v>
      </c>
      <c r="C19" s="1" t="s">
        <v>24</v>
      </c>
      <c r="D19" s="1" t="s">
        <v>24</v>
      </c>
      <c r="E19" s="1" t="s">
        <v>24</v>
      </c>
    </row>
    <row r="20" spans="1:11" s="1" customFormat="1" x14ac:dyDescent="0.25">
      <c r="A20" s="37" t="s">
        <v>4196</v>
      </c>
      <c r="B20" s="1" t="s">
        <v>255</v>
      </c>
      <c r="C20" s="1" t="s">
        <v>255</v>
      </c>
      <c r="D20" s="1" t="s">
        <v>255</v>
      </c>
      <c r="E20" s="1" t="s">
        <v>255</v>
      </c>
    </row>
    <row r="21" spans="1:11" s="1" customFormat="1" x14ac:dyDescent="0.25">
      <c r="A21" s="37" t="s">
        <v>4197</v>
      </c>
      <c r="B21" s="2"/>
      <c r="C21" s="2"/>
      <c r="D21" s="2"/>
      <c r="E21" s="2"/>
      <c r="F21" s="2"/>
      <c r="G21" s="2"/>
      <c r="H21" s="2"/>
      <c r="I21" s="2"/>
      <c r="J21" s="2"/>
      <c r="K21" s="2"/>
    </row>
    <row r="22" spans="1:11" s="1" customFormat="1" x14ac:dyDescent="0.25">
      <c r="A22" s="37" t="s">
        <v>4198</v>
      </c>
      <c r="B22" s="2"/>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4199</v>
      </c>
      <c r="B32" s="1" t="s">
        <v>3005</v>
      </c>
      <c r="C32" s="1" t="s">
        <v>3005</v>
      </c>
      <c r="D32" s="1" t="s">
        <v>3005</v>
      </c>
      <c r="E32" s="1" t="s">
        <v>3005</v>
      </c>
    </row>
  </sheetData>
  <conditionalFormatting sqref="B14:XFD20">
    <cfRule type="expression" dxfId="3" priority="2">
      <formula>AND(B$13&lt;&gt;"",B$13&lt;&gt;"Copy Address From")</formula>
    </cfRule>
  </conditionalFormatting>
  <conditionalFormatting sqref="A14:A20">
    <cfRule type="expression" dxfId="2"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abSelected="1" zoomScaleNormal="100" workbookViewId="0">
      <selection activeCell="A10" sqref="A10"/>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4245</v>
      </c>
      <c r="B11" s="62"/>
      <c r="C11" s="62"/>
      <c r="D11" s="62"/>
      <c r="E11" s="62"/>
      <c r="F11" s="62"/>
      <c r="G11" s="62"/>
      <c r="H11" s="62"/>
      <c r="I11" s="62"/>
      <c r="J11" s="62"/>
      <c r="K11" s="63"/>
    </row>
    <row r="12" spans="1:11" s="1" customFormat="1" x14ac:dyDescent="0.25">
      <c r="A12" s="1" t="s">
        <v>4245</v>
      </c>
      <c r="B12" s="1" t="s">
        <v>4242</v>
      </c>
      <c r="C12" s="1" t="s">
        <v>4243</v>
      </c>
      <c r="D12" s="1" t="s">
        <v>4244</v>
      </c>
    </row>
    <row r="13" spans="1:11" s="64" customFormat="1" x14ac:dyDescent="0.25">
      <c r="A13" s="61" t="s">
        <v>3568</v>
      </c>
      <c r="B13" s="62"/>
      <c r="C13" s="62"/>
      <c r="D13" s="62"/>
      <c r="E13" s="62"/>
      <c r="F13" s="62"/>
      <c r="G13" s="62"/>
      <c r="H13" s="62"/>
      <c r="I13" s="62"/>
      <c r="J13" s="62"/>
      <c r="K13" s="63"/>
    </row>
    <row r="14" spans="1:11" s="1" customFormat="1" x14ac:dyDescent="0.25">
      <c r="A14" s="38" t="s">
        <v>4233</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4234</v>
      </c>
      <c r="B15" s="3" t="s">
        <v>68</v>
      </c>
      <c r="C15" s="3" t="s">
        <v>68</v>
      </c>
      <c r="D15" s="3" t="s">
        <v>68</v>
      </c>
      <c r="E15" s="3" t="s">
        <v>68</v>
      </c>
      <c r="F15" s="3"/>
      <c r="G15" s="3"/>
      <c r="H15" s="3"/>
      <c r="I15" s="3"/>
      <c r="J15" s="3"/>
      <c r="K15" s="3"/>
    </row>
    <row r="16" spans="1:11" s="1" customFormat="1" x14ac:dyDescent="0.25">
      <c r="A16" s="37" t="s">
        <v>4235</v>
      </c>
      <c r="B16" s="3" t="s">
        <v>268</v>
      </c>
      <c r="C16" s="3" t="s">
        <v>268</v>
      </c>
      <c r="D16" s="3" t="s">
        <v>268</v>
      </c>
      <c r="E16" s="3" t="s">
        <v>268</v>
      </c>
      <c r="F16" s="3"/>
      <c r="G16" s="3"/>
      <c r="H16" s="3"/>
      <c r="I16" s="3"/>
      <c r="J16" s="3"/>
      <c r="K16" s="3"/>
    </row>
    <row r="17" spans="1:11" s="1" customFormat="1" x14ac:dyDescent="0.25">
      <c r="A17" s="37" t="s">
        <v>4236</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4237</v>
      </c>
      <c r="B20" s="1" t="s">
        <v>38</v>
      </c>
      <c r="C20" s="1" t="s">
        <v>38</v>
      </c>
      <c r="D20" s="1" t="s">
        <v>38</v>
      </c>
      <c r="E20" s="1" t="s">
        <v>38</v>
      </c>
    </row>
    <row r="21" spans="1:11" s="1" customFormat="1" x14ac:dyDescent="0.25">
      <c r="A21" s="38" t="s">
        <v>4238</v>
      </c>
      <c r="B21" s="1" t="str">
        <f>VLOOKUP(B22,Master!$AW:$AX,2,FALSE)</f>
        <v>1111</v>
      </c>
      <c r="C21" s="1" t="e">
        <f>VLOOKUP(C22,Master!$AW:$AX,2,FALSE)</f>
        <v>#N/A</v>
      </c>
      <c r="D21" s="1" t="e">
        <f>VLOOKUP(D22,Master!$AW:$AX,2,FALSE)</f>
        <v>#N/A</v>
      </c>
      <c r="E21" s="1" t="e">
        <f>VLOOKUP(E22,Master!$AW:$AX,2,FALSE)</f>
        <v>#N/A</v>
      </c>
    </row>
    <row r="22" spans="1:11" s="1" customFormat="1" x14ac:dyDescent="0.25">
      <c r="A22" s="37" t="s">
        <v>4239</v>
      </c>
      <c r="B22" s="1" t="s">
        <v>3329</v>
      </c>
      <c r="C22" s="1" t="s">
        <v>4163</v>
      </c>
      <c r="D22" s="1" t="s">
        <v>4164</v>
      </c>
      <c r="E22" s="1" t="s">
        <v>4165</v>
      </c>
    </row>
    <row r="23" spans="1:11" s="1" customFormat="1" x14ac:dyDescent="0.25">
      <c r="A23" s="1" t="s">
        <v>39</v>
      </c>
    </row>
    <row r="24" spans="1:11" s="1" customFormat="1" x14ac:dyDescent="0.25">
      <c r="A24" s="37" t="s">
        <v>4240</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4233</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4234</v>
      </c>
      <c r="B39" s="3" t="s">
        <v>4080</v>
      </c>
      <c r="C39" s="3" t="s">
        <v>4080</v>
      </c>
      <c r="D39" s="3" t="s">
        <v>4080</v>
      </c>
      <c r="E39" s="3" t="s">
        <v>4080</v>
      </c>
    </row>
    <row r="40" spans="1:5" s="1" customFormat="1" x14ac:dyDescent="0.25">
      <c r="A40" s="1" t="s">
        <v>4241</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4190</v>
      </c>
      <c r="B55" s="1" t="s">
        <v>4116</v>
      </c>
      <c r="C55" s="1" t="s">
        <v>4166</v>
      </c>
      <c r="D55" s="1" t="s">
        <v>4167</v>
      </c>
      <c r="E55" s="1" t="s">
        <v>4168</v>
      </c>
    </row>
    <row r="56" spans="1:11" s="1" customFormat="1" x14ac:dyDescent="0.25">
      <c r="A56" s="37" t="s">
        <v>4191</v>
      </c>
      <c r="B56" s="3" t="s">
        <v>62</v>
      </c>
      <c r="C56" s="3" t="s">
        <v>62</v>
      </c>
      <c r="D56" s="3" t="s">
        <v>62</v>
      </c>
      <c r="E56" s="3" t="s">
        <v>62</v>
      </c>
      <c r="F56" s="2"/>
      <c r="G56" s="2"/>
      <c r="H56" s="2"/>
      <c r="I56" s="2"/>
      <c r="J56" s="2"/>
      <c r="K56" s="2"/>
    </row>
    <row r="57" spans="1:11" s="1" customFormat="1" x14ac:dyDescent="0.25">
      <c r="A57" s="37" t="s">
        <v>4192</v>
      </c>
      <c r="B57" s="3" t="s">
        <v>63</v>
      </c>
      <c r="C57" s="3" t="s">
        <v>63</v>
      </c>
      <c r="D57" s="3" t="s">
        <v>63</v>
      </c>
      <c r="E57" s="3" t="s">
        <v>63</v>
      </c>
      <c r="F57" s="2"/>
      <c r="G57" s="2"/>
      <c r="H57" s="2"/>
      <c r="I57" s="2"/>
      <c r="J57" s="2"/>
      <c r="K57" s="2"/>
    </row>
    <row r="58" spans="1:11" s="1" customFormat="1" x14ac:dyDescent="0.25">
      <c r="A58" s="37" t="s">
        <v>4193</v>
      </c>
      <c r="B58" s="1">
        <v>25584</v>
      </c>
      <c r="C58" s="1">
        <v>25585</v>
      </c>
      <c r="D58" s="1">
        <v>25586</v>
      </c>
      <c r="E58" s="1">
        <v>25587</v>
      </c>
      <c r="F58" s="2"/>
      <c r="G58" s="2"/>
      <c r="H58" s="2"/>
      <c r="I58" s="2"/>
      <c r="J58" s="2"/>
      <c r="K58" s="2"/>
    </row>
    <row r="59" spans="1:11" s="1" customFormat="1" x14ac:dyDescent="0.25">
      <c r="A59" s="37" t="s">
        <v>4195</v>
      </c>
      <c r="B59" s="1" t="s">
        <v>4112</v>
      </c>
      <c r="C59" s="1" t="s">
        <v>4112</v>
      </c>
      <c r="D59" s="1" t="s">
        <v>4112</v>
      </c>
      <c r="E59" s="1" t="s">
        <v>4112</v>
      </c>
    </row>
    <row r="60" spans="1:11" s="1" customFormat="1" x14ac:dyDescent="0.25">
      <c r="A60" s="37" t="s">
        <v>4194</v>
      </c>
      <c r="B60" s="1" t="s">
        <v>4111</v>
      </c>
      <c r="C60" s="1" t="s">
        <v>4169</v>
      </c>
      <c r="D60" s="1" t="s">
        <v>4170</v>
      </c>
      <c r="E60" s="1" t="s">
        <v>4171</v>
      </c>
    </row>
    <row r="61" spans="1:11" s="1" customFormat="1" x14ac:dyDescent="0.25">
      <c r="A61" s="37" t="s">
        <v>4196</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4200</v>
      </c>
      <c r="B13" s="4"/>
      <c r="C13" s="4"/>
      <c r="D13" s="4"/>
    </row>
    <row r="14" spans="1:11" s="1" customFormat="1" x14ac:dyDescent="0.25">
      <c r="A14" s="37" t="s">
        <v>4201</v>
      </c>
      <c r="B14" s="1" t="s">
        <v>4118</v>
      </c>
      <c r="C14" s="1" t="s">
        <v>4118</v>
      </c>
      <c r="D14" s="1" t="s">
        <v>4118</v>
      </c>
      <c r="E14" s="1" t="s">
        <v>44</v>
      </c>
      <c r="F14" s="2"/>
      <c r="G14" s="2"/>
      <c r="H14" s="2"/>
      <c r="I14" s="2"/>
      <c r="J14" s="2"/>
      <c r="K14" s="2"/>
    </row>
    <row r="15" spans="1:11" s="1" customFormat="1" x14ac:dyDescent="0.25">
      <c r="A15" s="37" t="s">
        <v>4202</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1" priority="2">
      <formula>AND(B$13&lt;&gt;"",B$13&lt;&gt;"Copy Address From")</formula>
    </cfRule>
  </conditionalFormatting>
  <conditionalFormatting sqref="B16:E16">
    <cfRule type="expression" dxfId="0"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4185</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4203</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4204</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4" sqref="A4:B4"/>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COUNTIFS($A$12:$A$15,"*$*",B12:B15,"")</f>
        <v>3</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4205</v>
      </c>
    </row>
    <row r="13" spans="1:5" s="1" customFormat="1" x14ac:dyDescent="0.25">
      <c r="A13" s="1" t="s">
        <v>61</v>
      </c>
    </row>
    <row r="14" spans="1:5" s="1" customFormat="1" x14ac:dyDescent="0.25">
      <c r="A14" s="36" t="s">
        <v>4206</v>
      </c>
      <c r="B14" s="43"/>
      <c r="C14" s="43"/>
      <c r="D14" s="43"/>
      <c r="E14" s="43"/>
    </row>
    <row r="15" spans="1:5" s="1" customFormat="1" x14ac:dyDescent="0.25">
      <c r="A15" s="36" t="s">
        <v>4207</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B5" sqref="B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4185</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3577</v>
      </c>
      <c r="B11" s="62"/>
      <c r="C11" s="62"/>
      <c r="D11" s="62"/>
      <c r="E11" s="63"/>
    </row>
    <row r="12" spans="1:5" s="1" customFormat="1" x14ac:dyDescent="0.25">
      <c r="A12" s="38" t="s">
        <v>4208</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4209</v>
      </c>
      <c r="B13" s="13" t="s">
        <v>692</v>
      </c>
      <c r="C13" s="13" t="s">
        <v>692</v>
      </c>
      <c r="D13" s="13" t="s">
        <v>692</v>
      </c>
      <c r="E13" s="13" t="s">
        <v>692</v>
      </c>
    </row>
    <row r="14" spans="1:5" s="1" customFormat="1" x14ac:dyDescent="0.25">
      <c r="A14" s="38" t="s">
        <v>4210</v>
      </c>
      <c r="B14" s="14" t="str">
        <f>VLOOKUP(B15,Master!$P:$Q,2,FALSE)</f>
        <v>4</v>
      </c>
      <c r="C14" s="14" t="str">
        <f>VLOOKUP(C15,Master!$P:$Q,2,FALSE)</f>
        <v>4</v>
      </c>
      <c r="D14" s="14" t="str">
        <f>VLOOKUP(D15,Master!$P:$Q,2,FALSE)</f>
        <v>4</v>
      </c>
      <c r="E14" s="14" t="str">
        <f>VLOOKUP(E15,Master!$P:$Q,2,FALSE)</f>
        <v>4</v>
      </c>
    </row>
    <row r="15" spans="1:5" s="1" customFormat="1" x14ac:dyDescent="0.25">
      <c r="A15" s="37" t="s">
        <v>4211</v>
      </c>
      <c r="B15" s="14" t="s">
        <v>1243</v>
      </c>
      <c r="C15" s="14" t="s">
        <v>1243</v>
      </c>
      <c r="D15" s="14" t="s">
        <v>1243</v>
      </c>
      <c r="E15" s="14" t="s">
        <v>1243</v>
      </c>
    </row>
    <row r="16" spans="1:5" s="1" customFormat="1" x14ac:dyDescent="0.25">
      <c r="A16" s="38" t="s">
        <v>4212</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4214</v>
      </c>
      <c r="B17" s="14" t="s">
        <v>4117</v>
      </c>
      <c r="C17" s="14" t="s">
        <v>4117</v>
      </c>
      <c r="D17" s="14" t="s">
        <v>4117</v>
      </c>
      <c r="E17" s="14" t="s">
        <v>4117</v>
      </c>
    </row>
    <row r="18" spans="1:5" s="1" customFormat="1" x14ac:dyDescent="0.25">
      <c r="A18" s="38" t="s">
        <v>4215</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4213</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4216</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4217</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4218</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4219</v>
      </c>
      <c r="B27" s="14" t="s">
        <v>2972</v>
      </c>
      <c r="C27" s="14" t="s">
        <v>2972</v>
      </c>
      <c r="D27" s="14" t="s">
        <v>2972</v>
      </c>
      <c r="E27" s="14" t="s">
        <v>2972</v>
      </c>
    </row>
    <row r="28" spans="1:5" s="1" customFormat="1" x14ac:dyDescent="0.25">
      <c r="A28" s="38" t="s">
        <v>4220</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4222</v>
      </c>
      <c r="B29" s="14" t="s">
        <v>2004</v>
      </c>
      <c r="C29" s="14" t="s">
        <v>2004</v>
      </c>
      <c r="D29" s="14" t="s">
        <v>2004</v>
      </c>
      <c r="E29" s="14" t="s">
        <v>2004</v>
      </c>
    </row>
    <row r="30" spans="1:5" s="1" customFormat="1" x14ac:dyDescent="0.25">
      <c r="A30" s="40" t="s">
        <v>4221</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4223</v>
      </c>
      <c r="B31" s="15" t="s">
        <v>2974</v>
      </c>
      <c r="C31" s="15" t="s">
        <v>2974</v>
      </c>
      <c r="D31" s="15" t="s">
        <v>2974</v>
      </c>
      <c r="E31" s="15" t="s">
        <v>2974</v>
      </c>
    </row>
    <row r="32" spans="1:5" s="1" customFormat="1" ht="45" x14ac:dyDescent="0.25">
      <c r="A32" s="38" t="s">
        <v>4224</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4226</v>
      </c>
      <c r="B33" s="15" t="s">
        <v>2984</v>
      </c>
      <c r="C33" s="15" t="s">
        <v>2984</v>
      </c>
      <c r="D33" s="15" t="s">
        <v>2984</v>
      </c>
      <c r="E33" s="15" t="s">
        <v>2984</v>
      </c>
    </row>
    <row r="34" spans="1:5" s="1" customFormat="1" x14ac:dyDescent="0.25">
      <c r="A34" s="37" t="s">
        <v>4225</v>
      </c>
      <c r="B34" s="14" t="s">
        <v>4072</v>
      </c>
      <c r="C34" s="14" t="s">
        <v>4072</v>
      </c>
      <c r="D34" s="14" t="s">
        <v>4072</v>
      </c>
      <c r="E34" s="14" t="s">
        <v>4072</v>
      </c>
    </row>
    <row r="35" spans="1:5" s="1" customFormat="1" x14ac:dyDescent="0.25">
      <c r="A35" s="38" t="s">
        <v>4227</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4228</v>
      </c>
      <c r="B37" s="45" t="s">
        <v>4114</v>
      </c>
      <c r="C37" s="45" t="s">
        <v>4174</v>
      </c>
      <c r="D37" s="45" t="s">
        <v>4175</v>
      </c>
      <c r="E37" s="45" t="s">
        <v>4176</v>
      </c>
    </row>
    <row r="38" spans="1:5" s="1" customFormat="1" x14ac:dyDescent="0.25">
      <c r="A38" s="38" t="s">
        <v>4229</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4230</v>
      </c>
      <c r="B39" s="46" t="s">
        <v>2994</v>
      </c>
      <c r="C39" s="46" t="s">
        <v>2994</v>
      </c>
      <c r="D39" s="46" t="s">
        <v>2994</v>
      </c>
      <c r="E39" s="46" t="s">
        <v>2994</v>
      </c>
    </row>
    <row r="40" spans="1:5" s="1" customFormat="1" x14ac:dyDescent="0.25">
      <c r="A40" s="37" t="s">
        <v>4231</v>
      </c>
      <c r="B40" s="45" t="s">
        <v>4114</v>
      </c>
      <c r="C40" s="45" t="s">
        <v>4174</v>
      </c>
      <c r="D40" s="45" t="s">
        <v>4175</v>
      </c>
      <c r="E40" s="45" t="s">
        <v>4176</v>
      </c>
    </row>
    <row r="41" spans="1:5" s="1" customFormat="1" x14ac:dyDescent="0.25">
      <c r="A41" s="38" t="s">
        <v>4232</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2022-09-02T09:17:14Z</dcterms:modified>
</cp:coreProperties>
</file>