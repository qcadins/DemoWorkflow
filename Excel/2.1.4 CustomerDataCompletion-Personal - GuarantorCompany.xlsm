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BNI\Excel\"/>
    </mc:Choice>
  </mc:AlternateContent>
  <bookViews>
    <workbookView xWindow="0" yWindow="0" windowWidth="20490" windowHeight="5850" firstSheet="3" activeTab="7"/>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7" i="7" l="1"/>
  <c r="E37" i="7"/>
  <c r="D37" i="7"/>
  <c r="C37" i="7"/>
  <c r="F35" i="7"/>
  <c r="E35" i="7"/>
  <c r="D35" i="7"/>
  <c r="C35" i="7"/>
  <c r="F33" i="7"/>
  <c r="E33" i="7"/>
  <c r="D33" i="7"/>
  <c r="C33" i="7"/>
  <c r="F30" i="7"/>
  <c r="E30" i="7"/>
  <c r="D30" i="7"/>
  <c r="C30" i="7"/>
  <c r="F27" i="7"/>
  <c r="E27" i="7"/>
  <c r="D27" i="7"/>
  <c r="C27" i="7"/>
  <c r="F22" i="7"/>
  <c r="E22" i="7"/>
  <c r="D22" i="7"/>
  <c r="C22" i="7"/>
  <c r="F18" i="7"/>
  <c r="E18" i="7"/>
  <c r="D18" i="7"/>
  <c r="C18" i="7"/>
  <c r="F16" i="7"/>
  <c r="E16" i="7"/>
  <c r="D16" i="7"/>
  <c r="C16" i="7"/>
  <c r="F14" i="7"/>
  <c r="E14" i="7"/>
  <c r="D14" i="7"/>
  <c r="C14" i="7"/>
  <c r="F12" i="7"/>
  <c r="E12" i="7"/>
  <c r="D12" i="7"/>
  <c r="C12" i="7"/>
  <c r="C4" i="7"/>
  <c r="D4" i="7"/>
  <c r="E4" i="7"/>
  <c r="F4" i="7"/>
  <c r="C10" i="7"/>
  <c r="D10" i="7"/>
  <c r="E10" i="7"/>
  <c r="F10" i="7"/>
  <c r="C4" i="6"/>
  <c r="D4" i="6"/>
  <c r="E4" i="6"/>
  <c r="F4" i="6"/>
  <c r="C10" i="6"/>
  <c r="D10" i="6"/>
  <c r="E10" i="6"/>
  <c r="F10" i="6"/>
  <c r="C4" i="5"/>
  <c r="D4" i="5"/>
  <c r="E4" i="5"/>
  <c r="F4" i="5"/>
  <c r="C10" i="5"/>
  <c r="D10" i="5"/>
  <c r="E10" i="5"/>
  <c r="F10" i="5"/>
  <c r="F66" i="4"/>
  <c r="E66" i="4"/>
  <c r="D66" i="4"/>
  <c r="C66" i="4"/>
  <c r="C4" i="4"/>
  <c r="D4" i="4"/>
  <c r="E4" i="4"/>
  <c r="F4" i="4"/>
  <c r="C9" i="4"/>
  <c r="D9" i="4"/>
  <c r="E9" i="4"/>
  <c r="F9" i="4"/>
  <c r="C10" i="4"/>
  <c r="D10" i="4"/>
  <c r="E10" i="4"/>
  <c r="F10" i="4"/>
  <c r="C10" i="3"/>
  <c r="D10" i="3"/>
  <c r="E10" i="3"/>
  <c r="F10" i="3"/>
  <c r="C4" i="3"/>
  <c r="D4" i="3"/>
  <c r="E4" i="3"/>
  <c r="F4" i="3"/>
  <c r="C4" i="2"/>
  <c r="D4" i="2"/>
  <c r="E4" i="2"/>
  <c r="F4" i="2"/>
  <c r="C9" i="2"/>
  <c r="D9" i="2"/>
  <c r="E9" i="2"/>
  <c r="F9" i="2"/>
  <c r="C10" i="2"/>
  <c r="D10" i="2"/>
  <c r="E10" i="2"/>
  <c r="F10" i="2"/>
  <c r="F20" i="1"/>
  <c r="E20" i="1"/>
  <c r="D20" i="1"/>
  <c r="D4" i="1" s="1"/>
  <c r="C20" i="1"/>
  <c r="C4" i="1" s="1"/>
  <c r="E12" i="1"/>
  <c r="F12" i="1"/>
  <c r="D12" i="1"/>
  <c r="C12" i="1"/>
  <c r="E4" i="1"/>
  <c r="F4" i="1"/>
  <c r="B12" i="1"/>
  <c r="B10" i="2" l="1"/>
  <c r="B9" i="2"/>
  <c r="B10" i="4" l="1"/>
  <c r="B4" i="4" l="1"/>
  <c r="B4" i="5"/>
  <c r="B66" i="4" l="1"/>
  <c r="B4" i="1" l="1"/>
  <c r="B4" i="2"/>
  <c r="B4" i="3"/>
  <c r="B4" i="6"/>
  <c r="B10" i="7" l="1"/>
  <c r="B10" i="6"/>
  <c r="B10" i="5"/>
  <c r="B10" i="3"/>
  <c r="B9" i="4"/>
  <c r="B12" i="7"/>
  <c r="B22" i="7"/>
  <c r="B20" i="1" l="1"/>
  <c r="B18" i="7"/>
  <c r="B27" i="7" l="1"/>
  <c r="B4" i="7" s="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<sst xmlns="http://schemas.openxmlformats.org/spreadsheetml/2006/main" count="3985" uniqueCount="3490">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</sst>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7">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4" borderId="1" xfId="0" applyFill="1" applyBorder="1"/>
    <xf numFmtId="0" fontId="0" fillId="2" borderId="5" xfId="0" applyFill="1" applyBorder="1"/>
    <xf numFmtId="0" fontId="0" fillId="2" borderId="0" xfId="0" applyFill="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xf numFmtId="0" fontId="2" fillId="0" borderId="0" xfId="0" quotePrefix="1" applyFont="1"/>
  </cellXfs>
  <cellStyles count="3">
    <cellStyle name="Comma" xfId="2" builtinId="3"/>
    <cellStyle name="Hyperlink" xfId="1" builtinId="8"/>
    <cellStyle name="Normal" xfId="0" builtinId="0"/>
  </cellStyles>
  <dxfs count="68">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61" dataDxfId="60">
  <autoFilter ref="A1:B315"/>
  <tableColumns count="2">
    <tableColumn id="1" uniqueName="1" name="DEBTOR GROUP NAME" queryTableFieldId="1" dataDxfId="59"/>
    <tableColumn id="2" uniqueName="2" name="DEBTOR GROUP CODE" queryTableFieldId="2" dataDxfId="58"/>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7" dataDxfId="56">
  <autoFilter ref="D1:E6"/>
  <tableColumns count="2">
    <tableColumn id="1" uniqueName="1" name="Debtor Business Scale Description" queryTableFieldId="1" dataDxfId="55"/>
    <tableColumn id="2" uniqueName="2" name="Debtor Group Code" queryTableFieldId="2" dataDxfId="54"/>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53" dataDxfId="52">
  <autoFilter ref="G1:H175"/>
  <tableColumns count="2">
    <tableColumn id="1" uniqueName="1" name="Counterpart Category" queryTableFieldId="1" dataDxfId="51"/>
    <tableColumn id="2" uniqueName="2" name="LBPP CODE" queryTableFieldId="2" dataDxfId="50"/>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9" dataDxfId="48">
  <autoFilter ref="J1:K14"/>
  <tableColumns count="2">
    <tableColumn id="1" uniqueName="1" name="Sustainable Financial Business" queryTableFieldId="1" dataDxfId="47"/>
    <tableColumn id="2" uniqueName="2" name="LBPP Code" queryTableFieldId="2" dataDxfId="46"/>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5" dataDxfId="44">
  <autoFilter ref="M1:N193"/>
  <tableColumns count="2">
    <tableColumn id="1" uniqueName="1" name="DEBTOR GROUP SLIK" queryTableFieldId="1" dataDxfId="43"/>
    <tableColumn id="2" uniqueName="2" name="DEBTOR GROUP SLIK CODE" queryTableFieldId="2" dataDxfId="42"/>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41" dataDxfId="40">
  <autoFilter ref="P1:Q16"/>
  <tableColumns count="2">
    <tableColumn id="1" uniqueName="1" name="AFFILIATE WITH MULTIFINANCE SLIK" queryTableFieldId="1" dataDxfId="39"/>
    <tableColumn id="2" uniqueName="2" name="CODE" queryTableFieldId="2" dataDxfId="38"/>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7">
  <autoFilter ref="S1:T492"/>
  <tableColumns count="2">
    <tableColumn id="1" uniqueName="1" name="DEPARTMENT AML" queryTableFieldId="1" dataDxfId="36"/>
    <tableColumn id="2" uniqueName="2" name="DEPARTMENT AML CODE" queryTableFieldId="2" dataDxfId="35"/>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4" dataDxfId="33">
  <autoFilter ref="V1:W10"/>
  <tableColumns count="2">
    <tableColumn id="1" uniqueName="1" name="CSP/USL SOURCE AML" queryTableFieldId="1" dataDxfId="32"/>
    <tableColumn id="2" uniqueName="2" name="CSP/USL SOURCE AML CODE" queryTableFieldId="2" dataDxfId="31"/>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30" dataDxfId="29">
  <autoFilter ref="Y1:Z3"/>
  <tableColumns count="2">
    <tableColumn id="1" uniqueName="1" name="PAYMENT TYPE AML" queryTableFieldId="1" dataDxfId="28"/>
    <tableColumn id="2" uniqueName="2" name="CODE" queryTableFieldId="2" dataDxfId="27"/>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6" dataDxfId="25">
  <autoFilter ref="AB1:AC9"/>
  <tableColumns count="2">
    <tableColumn id="1" uniqueName="1" name="AUTHORITY AML" queryTableFieldId="1" dataDxfId="24"/>
    <tableColumn id="2" uniqueName="2" name="AUTHORITY AML2" queryTableFieldId="2" dataDxfId="23"/>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22" dataDxfId="21">
  <autoFilter ref="AE1:AF2"/>
  <tableColumns count="2">
    <tableColumn id="1" uniqueName="1" name="BUSINESS SOURCE AML" queryTableFieldId="1" dataDxfId="20"/>
    <tableColumn id="2" uniqueName="2" name="CODE" queryTableFieldId="2" dataDxfId="19"/>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8">
  <autoFilter ref="AH1:AI8"/>
  <tableColumns count="2">
    <tableColumn id="1" uniqueName="1" name="BUILDING" queryTableFieldId="1" dataDxfId="17"/>
    <tableColumn id="2" uniqueName="2" name="BUILDING CODE" queryTableFieldId="2" dataDxfId="16"/>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5">
  <autoFilter ref="AK1:AL261"/>
  <tableColumns count="2">
    <tableColumn id="1" uniqueName="1" name="INDUSTRY TYPE NAME" queryTableFieldId="1" dataDxfId="14"/>
    <tableColumn id="2" uniqueName="2" name="INDUSTRY TYPE CODE" queryTableFieldId="2" dataDxfId="13"/>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12" dataDxfId="11">
  <autoFilter ref="AN1:AO8"/>
  <tableColumns count="2">
    <tableColumn id="5" uniqueName="5" name="RATING INSTITUTE" queryTableFieldId="1" dataDxfId="10"/>
    <tableColumn id="6" uniqueName="6" name="CODE" queryTableFieldId="2" dataDxfId="9"/>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8">
  <autoFilter ref="AQ1:AQ30"/>
  <tableColumns count="1">
    <tableColumn id="1" uniqueName="1" name="JOB POSITION NAME" queryTableFieldId="1" dataDxfId="7"/>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6">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5">
  <autoFilter ref="AV1:AV10"/>
  <tableColumns count="1">
    <tableColumn id="1" uniqueName="1" name="Copy Address" queryTableFieldId="1"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3"/>
  <sheetViews>
    <sheetView workbookViewId="0">
      <selection activeCell="G5" sqref="G5"/>
    </sheetView>
  </sheetViews>
  <sheetFormatPr defaultRowHeight="15" x14ac:dyDescent="0.25"/>
  <cols>
    <col min="1" max="1" width="26.42578125" bestFit="1" customWidth="1" collapsed="1"/>
    <col min="2" max="3" width="36.5703125" bestFit="1" customWidth="1" collapsed="1"/>
    <col min="4" max="4" width="14.7109375" customWidth="1"/>
    <col min="5" max="5" width="14.140625" customWidth="1"/>
    <col min="6" max="6" width="14.85546875" customWidth="1"/>
  </cols>
  <sheetData>
    <row r="1" spans="1:6" s="2" customFormat="1" x14ac:dyDescent="0.25">
      <c r="A1" s="2" t="s">
        <v>4</v>
      </c>
      <c r="B1" t="s">
        <v>2790</v>
      </c>
      <c r="C1" t="s">
        <v>2790</v>
      </c>
      <c r="D1" t="s">
        <v>2790</v>
      </c>
      <c r="E1" t="s">
        <v>2790</v>
      </c>
      <c r="F1" t="s">
        <v>2790</v>
      </c>
    </row>
    <row r="2" spans="1:6" s="2" customFormat="1" x14ac:dyDescent="0.25">
      <c r="A2" s="2" t="s">
        <v>3396</v>
      </c>
      <c r="B2" s="2" t="s">
        <v>3478</v>
      </c>
      <c r="C2" s="2" t="s">
        <v>3478</v>
      </c>
      <c r="D2" s="2" t="s">
        <v>3478</v>
      </c>
      <c r="E2" s="2" t="s">
        <v>3478</v>
      </c>
      <c r="F2" s="2" t="s">
        <v>3478</v>
      </c>
    </row>
    <row r="3" spans="1:6" s="2" customFormat="1" x14ac:dyDescent="0.25">
      <c r="A3" s="2" t="s">
        <v>3397</v>
      </c>
      <c r="B3" t="s">
        <v>3366</v>
      </c>
    </row>
    <row r="4" spans="1:6" s="2" customFormat="1" x14ac:dyDescent="0.25">
      <c r="A4" s="2" t="s">
        <v>3398</v>
      </c>
      <c r="B4" s="2">
        <f>COUNTIFS($A$14:$A$15, "*$*",B14:B15,"")+COUNTIFS($A$20:$A$22, "*$*",B20:B22,"")+IF(B18="Yes",COUNTIFS($A$23, "*$*",B23,""),0)</f>
        <v>0</v>
      </c>
      <c r="C4" s="2">
        <f t="shared" ref="C4:F4" si="0">COUNTIFS($A$14:$A$15, "*$*",C14:C15,"")+COUNTIFS($A$20:$A$22, "*$*",C20:C22,"")+IF(C18="Yes",COUNTIFS($A$23, "*$*",C23,""),0)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row r="11" spans="1:6" s="43" customFormat="1" x14ac:dyDescent="0.25">
      <c r="B11" s="42"/>
      <c r="C11" s="42"/>
    </row>
    <row r="12" spans="1:6" s="2" customFormat="1" x14ac:dyDescent="0.25">
      <c r="A12" s="39" t="s">
        <v>3080</v>
      </c>
      <c r="B12" s="2" t="str">
        <f>'[1]1.TabCustomerMainData'!AF$13</f>
        <v>app1</v>
      </c>
      <c r="C12" s="2" t="str">
        <f>'[1]1.TabCustomerMainData'!AH$13</f>
        <v>app3</v>
      </c>
      <c r="D12" s="2" t="str">
        <f>'[1]1.TabCustomerMainData'!AJ$13</f>
        <v>app5</v>
      </c>
      <c r="E12" s="2" t="str">
        <f>'[1]1.TabCustomerMainData'!AL$13</f>
        <v>app7</v>
      </c>
      <c r="F12" s="2" t="str">
        <f>'[1]1.TabCustomerMainData'!AS$13</f>
        <v>app22</v>
      </c>
    </row>
    <row r="13" spans="1:6" s="2" customFormat="1" x14ac:dyDescent="0.25">
      <c r="A13" s="39" t="s">
        <v>3081</v>
      </c>
      <c r="B13" t="s">
        <v>3479</v>
      </c>
      <c r="C13" s="2" t="s">
        <v>3486</v>
      </c>
      <c r="D13" s="2" t="s">
        <v>3486</v>
      </c>
      <c r="E13" s="2" t="s">
        <v>3487</v>
      </c>
      <c r="F13" s="2" t="s">
        <v>3486</v>
      </c>
    </row>
    <row r="14" spans="1:6" s="2" customFormat="1" x14ac:dyDescent="0.25">
      <c r="A14" s="30" t="s">
        <v>3448</v>
      </c>
      <c r="B14" s="34">
        <v>44535</v>
      </c>
      <c r="C14" s="34">
        <v>44535</v>
      </c>
      <c r="D14" s="34">
        <v>44535</v>
      </c>
      <c r="E14" s="34">
        <v>44535</v>
      </c>
      <c r="F14" s="34">
        <v>44535</v>
      </c>
    </row>
    <row r="15" spans="1:6" s="2" customFormat="1" x14ac:dyDescent="0.25">
      <c r="A15" s="30" t="s">
        <v>3449</v>
      </c>
      <c r="B15" s="1">
        <v>500</v>
      </c>
      <c r="C15" s="1">
        <v>500</v>
      </c>
      <c r="D15" s="1">
        <v>500</v>
      </c>
      <c r="E15" s="1">
        <v>500</v>
      </c>
      <c r="F15" s="1">
        <v>500</v>
      </c>
    </row>
    <row r="16" spans="1:6" s="2" customFormat="1" x14ac:dyDescent="0.25">
      <c r="A16" s="1" t="s">
        <v>5</v>
      </c>
      <c r="B16" s="1"/>
      <c r="C16" s="1"/>
      <c r="D16" s="1"/>
      <c r="E16" s="1"/>
      <c r="F16" s="1"/>
    </row>
    <row r="17" spans="1:6" s="2" customFormat="1" x14ac:dyDescent="0.25">
      <c r="A17" s="1" t="s">
        <v>0</v>
      </c>
      <c r="B17" s="1"/>
      <c r="C17" s="1"/>
      <c r="D17" s="1"/>
      <c r="E17" s="1"/>
      <c r="F17" s="1"/>
    </row>
    <row r="18" spans="1:6" s="2" customFormat="1" x14ac:dyDescent="0.25">
      <c r="A18" s="1" t="s">
        <v>1</v>
      </c>
      <c r="B18" s="1" t="s">
        <v>3395</v>
      </c>
      <c r="C18" s="1" t="s">
        <v>3395</v>
      </c>
      <c r="D18" s="1" t="s">
        <v>3395</v>
      </c>
      <c r="E18" s="1" t="s">
        <v>3395</v>
      </c>
      <c r="F18" s="1" t="s">
        <v>3395</v>
      </c>
    </row>
    <row r="19" spans="1:6" s="2" customFormat="1" x14ac:dyDescent="0.25">
      <c r="A19" s="1" t="s">
        <v>2</v>
      </c>
      <c r="B19" s="1" t="s">
        <v>3476</v>
      </c>
      <c r="C19" s="1" t="s">
        <v>3476</v>
      </c>
      <c r="D19" s="1" t="s">
        <v>3476</v>
      </c>
      <c r="E19" s="1" t="s">
        <v>3476</v>
      </c>
      <c r="F19" s="1" t="s">
        <v>3476</v>
      </c>
    </row>
    <row r="20" spans="1:6" s="2" customFormat="1" x14ac:dyDescent="0.25">
      <c r="A20" s="32" t="s">
        <v>3450</v>
      </c>
      <c r="B20" s="1" t="str">
        <f>VLOOKUP(B21,Master!$AK:$AL,2,FALSE)</f>
        <v>1119</v>
      </c>
      <c r="C20" s="1" t="str">
        <f>VLOOKUP(C21,Master!$AK:$AL,2,FALSE)</f>
        <v>1119</v>
      </c>
      <c r="D20" s="1" t="str">
        <f>VLOOKUP(D21,Master!$AK:$AL,2,FALSE)</f>
        <v>1119</v>
      </c>
      <c r="E20" s="1" t="str">
        <f>VLOOKUP(E21,Master!$AK:$AL,2,FALSE)</f>
        <v>1119</v>
      </c>
      <c r="F20" s="1" t="str">
        <f>VLOOKUP(F21,Master!$AK:$AL,2,FALSE)</f>
        <v>1119</v>
      </c>
    </row>
    <row r="21" spans="1:6" s="2" customFormat="1" x14ac:dyDescent="0.25">
      <c r="A21" s="30" t="s">
        <v>3451</v>
      </c>
      <c r="B21" s="1" t="s">
        <v>2821</v>
      </c>
      <c r="C21" s="1" t="s">
        <v>2821</v>
      </c>
      <c r="D21" s="1" t="s">
        <v>2821</v>
      </c>
      <c r="E21" s="1" t="s">
        <v>2821</v>
      </c>
      <c r="F21" s="1" t="s">
        <v>2821</v>
      </c>
    </row>
    <row r="22" spans="1:6" s="2" customFormat="1" x14ac:dyDescent="0.25">
      <c r="A22" s="1" t="s">
        <v>3452</v>
      </c>
      <c r="B22" s="1" t="s">
        <v>3</v>
      </c>
      <c r="C22" s="1" t="s">
        <v>3</v>
      </c>
      <c r="D22" s="1" t="s">
        <v>3</v>
      </c>
      <c r="E22" s="1" t="s">
        <v>3</v>
      </c>
      <c r="F22" s="1" t="s">
        <v>3</v>
      </c>
    </row>
    <row r="23" spans="1:6" s="2" customFormat="1" x14ac:dyDescent="0.25">
      <c r="A23" s="31" t="s">
        <v>3453</v>
      </c>
      <c r="B23" s="1" t="s">
        <v>3101</v>
      </c>
      <c r="C23" s="1" t="s">
        <v>3101</v>
      </c>
      <c r="D23" s="1" t="s">
        <v>3101</v>
      </c>
      <c r="E23" s="1" t="s">
        <v>3101</v>
      </c>
      <c r="F23" s="1" t="s">
        <v>3101</v>
      </c>
    </row>
  </sheetData>
  <conditionalFormatting sqref="B23 G23:XFD23">
    <cfRule type="expression" dxfId="67" priority="3">
      <formula>B$18="No"</formula>
    </cfRule>
  </conditionalFormatting>
  <conditionalFormatting sqref="A23">
    <cfRule type="expression" dxfId="66" priority="2">
      <formula>A$18="No"</formula>
    </cfRule>
  </conditionalFormatting>
  <conditionalFormatting sqref="C23:F23">
    <cfRule type="expression" dxfId="3" priority="1">
      <formula>C$18="No"</formula>
    </cfRule>
  </conditionalFormatting>
  <dataValidations count="7">
    <dataValidation type="list" allowBlank="1" showInputMessage="1" showErrorMessage="1" sqref="B19:F19">
      <formula1>"Yes, No"</formula1>
    </dataValidation>
    <dataValidation type="whole" errorStyle="information" allowBlank="1" showInputMessage="1" showErrorMessage="1" sqref="B15:F15">
      <formula1>0</formula1>
      <formula2>9.99999999999999E+27</formula2>
    </dataValidation>
    <dataValidation type="list" errorStyle="information" showInputMessage="1" showErrorMessage="1" sqref="B21:F21">
      <formula1>ListIndustryType</formula1>
    </dataValidation>
    <dataValidation errorStyle="information" allowBlank="1" showInputMessage="1" showErrorMessage="1" sqref="B16:F16"/>
    <dataValidation type="list" errorStyle="information" allowBlank="1" showInputMessage="1" showErrorMessage="1" sqref="B18:F18">
      <formula1>"Yes, No"</formula1>
    </dataValidation>
    <dataValidation type="list" errorStyle="information" showInputMessage="1" showErrorMessage="1" sqref="B22:F22">
      <formula1>"Corporate, Non Corporate"</formula1>
    </dataValidation>
    <dataValidation type="custom" errorStyle="information" allowBlank="1" showInputMessage="1" showErrorMessage="1" sqref="B23:F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F32"/>
  <sheetViews>
    <sheetView topLeftCell="A10" workbookViewId="0">
      <selection activeCell="D14" sqref="D14"/>
    </sheetView>
  </sheetViews>
  <sheetFormatPr defaultRowHeight="15" x14ac:dyDescent="0.25"/>
  <cols>
    <col min="1" max="1" width="18.28515625" bestFit="1" customWidth="1" collapsed="1"/>
    <col min="2" max="2" width="24.28515625" customWidth="1" collapsed="1"/>
    <col min="3" max="3" width="24.140625" bestFit="1" customWidth="1" collapsed="1"/>
    <col min="4" max="4" width="19.85546875" bestFit="1" customWidth="1" collapsed="1"/>
    <col min="5" max="5" width="18.85546875" customWidth="1"/>
  </cols>
  <sheetData>
    <row r="1" spans="1:6" s="2" customFormat="1" x14ac:dyDescent="0.25">
      <c r="A1" s="2" t="s">
        <v>4</v>
      </c>
      <c r="B1" t="s">
        <v>2790</v>
      </c>
      <c r="C1" t="s">
        <v>2790</v>
      </c>
      <c r="D1" t="s">
        <v>2790</v>
      </c>
      <c r="E1" s="2" t="s">
        <v>2790</v>
      </c>
      <c r="F1" s="2" t="s">
        <v>2790</v>
      </c>
    </row>
    <row r="2" spans="1:6" s="2" customFormat="1" x14ac:dyDescent="0.25">
      <c r="A2" s="2" t="s">
        <v>3396</v>
      </c>
      <c r="B2" s="2" t="s">
        <v>3478</v>
      </c>
      <c r="C2" t="s">
        <v>3478</v>
      </c>
      <c r="D2" t="s">
        <v>3478</v>
      </c>
      <c r="E2" s="2" t="s">
        <v>3478</v>
      </c>
      <c r="F2" s="2" t="s">
        <v>3478</v>
      </c>
    </row>
    <row r="3" spans="1:6" s="2" customFormat="1" x14ac:dyDescent="0.25">
      <c r="A3" s="2" t="s">
        <v>3397</v>
      </c>
    </row>
    <row r="4" spans="1:6" s="2" customFormat="1" x14ac:dyDescent="0.25">
      <c r="A4" s="2" t="s">
        <v>3398</v>
      </c>
      <c r="B4" s="2">
        <f>IF(B13="",COUNTIFS($A$12:$A$32, "*$*",B12:B32,""),0)</f>
        <v>0</v>
      </c>
      <c r="C4" s="2">
        <f t="shared" ref="C4:F4" si="0">IF(C13="",COUNTIFS($A$12:$A$32, "*$*",C12:C32,""),0)</f>
        <v>0</v>
      </c>
      <c r="D4" s="2">
        <f t="shared" si="0"/>
        <v>0</v>
      </c>
      <c r="E4" s="2">
        <f t="shared" si="0"/>
        <v>0</v>
      </c>
      <c r="F4" s="2">
        <f t="shared" si="0"/>
        <v>0</v>
      </c>
    </row>
    <row r="5" spans="1:6" s="2" customFormat="1" x14ac:dyDescent="0.25"/>
    <row r="6" spans="1:6" s="2" customFormat="1" x14ac:dyDescent="0.25"/>
    <row r="7" spans="1:6" s="2" customFormat="1" x14ac:dyDescent="0.25">
      <c r="B7"/>
      <c r="C7"/>
      <c r="D7"/>
    </row>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43" customFormat="1" x14ac:dyDescent="0.25">
      <c r="B11" s="42"/>
      <c r="C11" s="42"/>
    </row>
    <row r="12" spans="1:6" s="2" customFormat="1" x14ac:dyDescent="0.25">
      <c r="A12" s="30" t="s">
        <v>3437</v>
      </c>
      <c r="B12" s="2" t="s">
        <v>6</v>
      </c>
      <c r="C12" s="2" t="s">
        <v>6</v>
      </c>
      <c r="D12" s="2" t="s">
        <v>6</v>
      </c>
      <c r="E12" s="2" t="s">
        <v>6</v>
      </c>
      <c r="F12" s="2" t="s">
        <v>6</v>
      </c>
    </row>
    <row r="13" spans="1:6" s="2" customFormat="1" x14ac:dyDescent="0.25">
      <c r="A13" s="2" t="s">
        <v>7</v>
      </c>
    </row>
    <row r="14" spans="1:6" s="2" customFormat="1" x14ac:dyDescent="0.25">
      <c r="A14" s="30" t="s">
        <v>3438</v>
      </c>
      <c r="B14" s="41" t="s">
        <v>3480</v>
      </c>
      <c r="C14" s="41" t="s">
        <v>3480</v>
      </c>
      <c r="D14" s="41" t="s">
        <v>3480</v>
      </c>
      <c r="E14" s="41" t="s">
        <v>3480</v>
      </c>
      <c r="F14" s="41" t="s">
        <v>3480</v>
      </c>
    </row>
    <row r="15" spans="1:6" s="2" customFormat="1" x14ac:dyDescent="0.25">
      <c r="A15" s="30" t="s">
        <v>3439</v>
      </c>
      <c r="B15" s="33">
        <v>12</v>
      </c>
      <c r="C15" s="33">
        <v>12</v>
      </c>
      <c r="D15" s="33">
        <v>12</v>
      </c>
      <c r="E15" s="33">
        <v>12</v>
      </c>
      <c r="F15" s="33">
        <v>12</v>
      </c>
    </row>
    <row r="16" spans="1:6" s="2" customFormat="1" x14ac:dyDescent="0.25">
      <c r="A16" s="30" t="s">
        <v>3440</v>
      </c>
      <c r="B16" s="33">
        <v>12</v>
      </c>
      <c r="C16" s="33">
        <v>12</v>
      </c>
      <c r="D16" s="33">
        <v>12</v>
      </c>
      <c r="E16" s="33">
        <v>12</v>
      </c>
      <c r="F16" s="33">
        <v>12</v>
      </c>
    </row>
    <row r="17" spans="1:6" s="2" customFormat="1" x14ac:dyDescent="0.25">
      <c r="A17" s="30" t="s">
        <v>3441</v>
      </c>
      <c r="B17" s="1">
        <v>40242</v>
      </c>
      <c r="C17" s="1">
        <v>40242</v>
      </c>
      <c r="D17" s="1">
        <v>40242</v>
      </c>
      <c r="E17" s="1">
        <v>40242</v>
      </c>
      <c r="F17" s="1">
        <v>40242</v>
      </c>
    </row>
    <row r="18" spans="1:6" s="2" customFormat="1" x14ac:dyDescent="0.25">
      <c r="A18" s="30" t="s">
        <v>3442</v>
      </c>
      <c r="B18" s="2" t="s">
        <v>3375</v>
      </c>
      <c r="C18" s="2" t="s">
        <v>3375</v>
      </c>
      <c r="D18" s="2" t="s">
        <v>3375</v>
      </c>
      <c r="E18" s="2" t="s">
        <v>3375</v>
      </c>
      <c r="F18" s="2" t="s">
        <v>3375</v>
      </c>
    </row>
    <row r="19" spans="1:6" s="2" customFormat="1" x14ac:dyDescent="0.25">
      <c r="A19" s="30" t="s">
        <v>3443</v>
      </c>
      <c r="B19" s="2" t="s">
        <v>3376</v>
      </c>
      <c r="C19" s="2" t="s">
        <v>3376</v>
      </c>
      <c r="D19" s="2" t="s">
        <v>3376</v>
      </c>
      <c r="E19" s="2" t="s">
        <v>3376</v>
      </c>
      <c r="F19" s="2" t="s">
        <v>3376</v>
      </c>
    </row>
    <row r="20" spans="1:6" s="2" customFormat="1" x14ac:dyDescent="0.25">
      <c r="A20" s="30" t="s">
        <v>3444</v>
      </c>
      <c r="B20" s="2" t="s">
        <v>3377</v>
      </c>
      <c r="C20" s="2" t="s">
        <v>3377</v>
      </c>
      <c r="D20" s="2" t="s">
        <v>3377</v>
      </c>
      <c r="E20" s="2" t="s">
        <v>3377</v>
      </c>
      <c r="F20" s="2" t="s">
        <v>3377</v>
      </c>
    </row>
    <row r="21" spans="1:6" s="2" customFormat="1" x14ac:dyDescent="0.25">
      <c r="A21" s="30" t="s">
        <v>3445</v>
      </c>
      <c r="B21" s="33" t="s">
        <v>3481</v>
      </c>
      <c r="C21" s="33" t="s">
        <v>3481</v>
      </c>
      <c r="D21" s="33" t="s">
        <v>3481</v>
      </c>
      <c r="E21" s="33" t="s">
        <v>3481</v>
      </c>
      <c r="F21" s="33" t="s">
        <v>3481</v>
      </c>
    </row>
    <row r="22" spans="1:6" s="2" customFormat="1" x14ac:dyDescent="0.25">
      <c r="A22" s="30" t="s">
        <v>3446</v>
      </c>
      <c r="B22" s="56" t="s">
        <v>3482</v>
      </c>
      <c r="C22" s="56" t="s">
        <v>3482</v>
      </c>
      <c r="D22" s="56" t="s">
        <v>3482</v>
      </c>
      <c r="E22" s="56" t="s">
        <v>3482</v>
      </c>
      <c r="F22" s="56" t="s">
        <v>3482</v>
      </c>
    </row>
    <row r="23" spans="1:6" s="2" customFormat="1" x14ac:dyDescent="0.25">
      <c r="A23" s="1" t="s">
        <v>3086</v>
      </c>
      <c r="B23" s="33" t="s">
        <v>3366</v>
      </c>
      <c r="C23" s="33" t="s">
        <v>3366</v>
      </c>
      <c r="D23" s="33" t="s">
        <v>3366</v>
      </c>
      <c r="E23" s="33" t="s">
        <v>3366</v>
      </c>
      <c r="F23" s="33" t="s">
        <v>3366</v>
      </c>
    </row>
    <row r="24" spans="1:6" s="2" customFormat="1" x14ac:dyDescent="0.25">
      <c r="A24" s="2" t="s">
        <v>3087</v>
      </c>
      <c r="B24" s="33"/>
      <c r="C24" s="33"/>
      <c r="D24" s="33"/>
      <c r="E24" s="33"/>
      <c r="F24" s="33"/>
    </row>
    <row r="25" spans="1:6" s="2" customFormat="1" x14ac:dyDescent="0.25">
      <c r="A25" s="2" t="s">
        <v>3088</v>
      </c>
      <c r="B25" s="1"/>
      <c r="C25" s="1"/>
      <c r="D25" s="1"/>
      <c r="E25" s="1"/>
      <c r="F25" s="1"/>
    </row>
    <row r="26" spans="1:6" s="2" customFormat="1" x14ac:dyDescent="0.25">
      <c r="A26" s="2" t="s">
        <v>3089</v>
      </c>
      <c r="B26" s="1"/>
      <c r="C26" s="1"/>
      <c r="D26" s="1"/>
      <c r="E26" s="1"/>
      <c r="F26" s="1"/>
    </row>
    <row r="27" spans="1:6" s="2" customFormat="1" x14ac:dyDescent="0.25">
      <c r="A27" s="2" t="s">
        <v>3090</v>
      </c>
      <c r="B27" s="33"/>
      <c r="C27" s="33"/>
      <c r="D27" s="33"/>
      <c r="E27" s="33"/>
      <c r="F27" s="33"/>
    </row>
    <row r="28" spans="1:6" s="2" customFormat="1" x14ac:dyDescent="0.25">
      <c r="A28" s="2" t="s">
        <v>3091</v>
      </c>
      <c r="B28" s="1"/>
      <c r="C28" s="1"/>
      <c r="D28" s="1"/>
      <c r="E28" s="1"/>
      <c r="F28" s="1"/>
    </row>
    <row r="29" spans="1:6" s="2" customFormat="1" x14ac:dyDescent="0.25">
      <c r="A29" s="2" t="s">
        <v>3092</v>
      </c>
      <c r="B29" s="1"/>
      <c r="C29" s="1"/>
      <c r="D29" s="1"/>
      <c r="E29" s="1"/>
      <c r="F29" s="1"/>
    </row>
    <row r="30" spans="1:6" s="2" customFormat="1" x14ac:dyDescent="0.25">
      <c r="A30" s="2" t="s">
        <v>3093</v>
      </c>
      <c r="B30" s="33" t="s">
        <v>3366</v>
      </c>
      <c r="C30" s="33" t="s">
        <v>3366</v>
      </c>
      <c r="D30" s="33" t="s">
        <v>3366</v>
      </c>
      <c r="E30" s="33" t="s">
        <v>3366</v>
      </c>
      <c r="F30" s="33" t="s">
        <v>3366</v>
      </c>
    </row>
    <row r="31" spans="1:6" s="2" customFormat="1" x14ac:dyDescent="0.25">
      <c r="A31" s="2" t="s">
        <v>3094</v>
      </c>
      <c r="B31" s="1"/>
      <c r="C31" s="1"/>
      <c r="D31" s="1"/>
      <c r="E31" s="1"/>
      <c r="F31" s="1"/>
    </row>
    <row r="32" spans="1:6" s="2" customFormat="1" x14ac:dyDescent="0.25">
      <c r="A32" s="30" t="s">
        <v>3447</v>
      </c>
      <c r="B32" s="1" t="s">
        <v>15</v>
      </c>
      <c r="C32" s="1" t="s">
        <v>15</v>
      </c>
      <c r="D32" s="1" t="s">
        <v>15</v>
      </c>
      <c r="E32" s="1" t="s">
        <v>15</v>
      </c>
      <c r="F32" s="1" t="s">
        <v>15</v>
      </c>
    </row>
  </sheetData>
  <conditionalFormatting sqref="B15:B17 G14:XFD20">
    <cfRule type="expression" dxfId="65" priority="3">
      <formula>AND(B$13&lt;&gt;"",B$13&lt;&gt;"Copy Address From")</formula>
    </cfRule>
  </conditionalFormatting>
  <conditionalFormatting sqref="A14:A20">
    <cfRule type="expression" dxfId="64" priority="2">
      <formula>AND(A$13&lt;&gt;"",A$13&lt;&gt;"Copy Address From")</formula>
    </cfRule>
  </conditionalFormatting>
  <conditionalFormatting sqref="C15:F17">
    <cfRule type="expression" dxfId="2" priority="1">
      <formula>AND(C$13&lt;&gt;"",C$13&lt;&gt;"Copy Address From")</formula>
    </cfRule>
  </conditionalFormatting>
  <dataValidations count="4">
    <dataValidation type="custom" errorStyle="information" allowBlank="1" showInputMessage="1" showErrorMessage="1" sqref="B15:F17">
      <formula1>ISBLANK(B$13)</formula1>
    </dataValidation>
    <dataValidation type="list" errorStyle="information" allowBlank="1" showInputMessage="1" showErrorMessage="1" sqref="B12:F12">
      <formula1>"Business, Company, Legal, Mailing"</formula1>
    </dataValidation>
    <dataValidation errorStyle="information" allowBlank="1" showInputMessage="1" showErrorMessage="1" sqref="B18:F31 B14:F14"/>
    <dataValidation type="list" errorStyle="information" allowBlank="1" showInputMessage="1" showErrorMessage="1" sqref="B32:F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G13:H13</xm:sqref>
        </x14:dataValidation>
        <x14:dataValidation type="list" errorStyle="information" allowBlank="1" showInputMessage="1" showErrorMessage="1">
          <x14:formula1>
            <xm:f>Master!$AV$2:$AV20</xm:f>
          </x14:formula1>
          <xm:sqref>B13:F13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41"/>
  <sheetViews>
    <sheetView workbookViewId="0">
      <selection activeCell="H7" sqref="H7"/>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6" s="2" customFormat="1" x14ac:dyDescent="0.25">
      <c r="A1" s="2" t="s">
        <v>4</v>
      </c>
      <c r="B1" s="2"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COUNTIFS($A$12:$A$17, "*$*",B12:B17,"")+COUNTIFS($A$19:$A$20, "*$*",B19:B20,"")</f>
        <v>0</v>
      </c>
      <c r="C4" s="2">
        <f t="shared" ref="C4:F4" si="0">COUNTIFS($A$12:$A$17, "*$*",C12:C17,"")+COUNTIFS($A$19:$A$20, "*$*",C19:C20,"")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7" customFormat="1" x14ac:dyDescent="0.25">
      <c r="A11" s="44" t="s">
        <v>3082</v>
      </c>
      <c r="B11" s="45"/>
      <c r="C11" s="46"/>
    </row>
    <row r="12" spans="1:6" s="2" customFormat="1" x14ac:dyDescent="0.25">
      <c r="A12" s="30" t="s">
        <v>3429</v>
      </c>
      <c r="B12" s="2" t="s">
        <v>3388</v>
      </c>
      <c r="C12" s="2" t="s">
        <v>3388</v>
      </c>
      <c r="D12" s="2" t="s">
        <v>3388</v>
      </c>
      <c r="E12" s="2" t="s">
        <v>3388</v>
      </c>
      <c r="F12" s="2" t="s">
        <v>3388</v>
      </c>
    </row>
    <row r="13" spans="1:6" s="2" customFormat="1" x14ac:dyDescent="0.25">
      <c r="A13" s="30" t="s">
        <v>3430</v>
      </c>
      <c r="B13" s="2" t="s">
        <v>3378</v>
      </c>
      <c r="C13" s="2" t="s">
        <v>3378</v>
      </c>
      <c r="D13" s="2" t="s">
        <v>3378</v>
      </c>
      <c r="E13" s="2" t="s">
        <v>3378</v>
      </c>
      <c r="F13" s="2" t="s">
        <v>3378</v>
      </c>
    </row>
    <row r="14" spans="1:6" s="2" customFormat="1" x14ac:dyDescent="0.25">
      <c r="A14" s="2" t="s">
        <v>3431</v>
      </c>
      <c r="B14" s="2" t="s">
        <v>3389</v>
      </c>
      <c r="C14" s="2" t="s">
        <v>3389</v>
      </c>
      <c r="D14" s="2" t="s">
        <v>3389</v>
      </c>
      <c r="E14" s="2" t="s">
        <v>3389</v>
      </c>
      <c r="F14" s="2" t="s">
        <v>3389</v>
      </c>
    </row>
    <row r="15" spans="1:6" s="2" customFormat="1" x14ac:dyDescent="0.25">
      <c r="A15" s="2" t="s">
        <v>3432</v>
      </c>
      <c r="B15" s="33" t="s">
        <v>3390</v>
      </c>
      <c r="C15" s="33" t="s">
        <v>3390</v>
      </c>
      <c r="D15" s="33" t="s">
        <v>3390</v>
      </c>
      <c r="E15" s="33" t="s">
        <v>3390</v>
      </c>
      <c r="F15" s="33" t="s">
        <v>3390</v>
      </c>
    </row>
    <row r="16" spans="1:6" s="2" customFormat="1" x14ac:dyDescent="0.25">
      <c r="A16" s="2" t="s">
        <v>3433</v>
      </c>
      <c r="B16" s="34" t="s">
        <v>3488</v>
      </c>
      <c r="C16" s="34" t="s">
        <v>3488</v>
      </c>
      <c r="D16" s="34" t="s">
        <v>3488</v>
      </c>
      <c r="E16" s="34" t="s">
        <v>3488</v>
      </c>
      <c r="F16" s="34" t="s">
        <v>3488</v>
      </c>
    </row>
    <row r="17" spans="1:6" s="2" customFormat="1" x14ac:dyDescent="0.25">
      <c r="A17" s="30" t="s">
        <v>3434</v>
      </c>
      <c r="B17" s="33" t="s">
        <v>3477</v>
      </c>
      <c r="C17" s="33" t="s">
        <v>3477</v>
      </c>
      <c r="D17" s="33" t="s">
        <v>3477</v>
      </c>
      <c r="E17" s="33" t="s">
        <v>3477</v>
      </c>
      <c r="F17" s="33" t="s">
        <v>3477</v>
      </c>
    </row>
    <row r="18" spans="1:6" s="2" customFormat="1" x14ac:dyDescent="0.25">
      <c r="A18" s="2" t="s">
        <v>18</v>
      </c>
      <c r="B18" s="3"/>
      <c r="C18" s="3"/>
      <c r="D18" s="3"/>
      <c r="E18" s="3"/>
      <c r="F18" s="3"/>
    </row>
    <row r="19" spans="1:6" s="2" customFormat="1" x14ac:dyDescent="0.25">
      <c r="A19" s="30" t="s">
        <v>3435</v>
      </c>
      <c r="B19" s="2" t="s">
        <v>3391</v>
      </c>
      <c r="C19" s="2" t="s">
        <v>3391</v>
      </c>
      <c r="D19" s="2" t="s">
        <v>3391</v>
      </c>
      <c r="E19" s="2" t="s">
        <v>3391</v>
      </c>
      <c r="F19" s="2" t="s">
        <v>3391</v>
      </c>
    </row>
    <row r="20" spans="1:6" s="2" customFormat="1" x14ac:dyDescent="0.25">
      <c r="A20" s="30" t="s">
        <v>3436</v>
      </c>
      <c r="B20" s="2" t="s">
        <v>3059</v>
      </c>
      <c r="C20" s="2" t="s">
        <v>3059</v>
      </c>
      <c r="D20" s="2" t="s">
        <v>3059</v>
      </c>
      <c r="E20" s="2" t="s">
        <v>3059</v>
      </c>
      <c r="F20" s="2" t="s">
        <v>3059</v>
      </c>
    </row>
    <row r="21" spans="1:6" s="2" customFormat="1" x14ac:dyDescent="0.25">
      <c r="A21" s="2" t="s">
        <v>21</v>
      </c>
    </row>
    <row r="22" spans="1:6" s="2" customFormat="1" x14ac:dyDescent="0.25">
      <c r="A22" s="2" t="s">
        <v>22</v>
      </c>
      <c r="B22" s="4"/>
      <c r="C22" s="4"/>
      <c r="D22" s="4"/>
      <c r="E22" s="4"/>
      <c r="F22" s="4"/>
    </row>
    <row r="23" spans="1:6" s="2" customFormat="1" x14ac:dyDescent="0.25">
      <c r="A23" s="5" t="s">
        <v>23</v>
      </c>
    </row>
    <row r="24" spans="1:6" s="2" customFormat="1" x14ac:dyDescent="0.25">
      <c r="A24" s="2" t="s">
        <v>24</v>
      </c>
      <c r="B24" s="1"/>
      <c r="C24" s="1"/>
      <c r="D24" s="1"/>
      <c r="E24" s="1"/>
      <c r="F24" s="1"/>
    </row>
    <row r="25" spans="1:6" s="2" customFormat="1" x14ac:dyDescent="0.25">
      <c r="A25" s="2" t="s">
        <v>25</v>
      </c>
    </row>
    <row r="26" spans="1:6" s="47" customFormat="1" x14ac:dyDescent="0.25">
      <c r="A26" s="44" t="s">
        <v>3083</v>
      </c>
      <c r="B26" s="45"/>
      <c r="C26" s="45"/>
      <c r="D26" s="45"/>
      <c r="E26" s="45"/>
      <c r="F26" s="45"/>
    </row>
    <row r="27" spans="1:6" s="2" customFormat="1" x14ac:dyDescent="0.25">
      <c r="A27" s="2" t="s">
        <v>8</v>
      </c>
      <c r="B27" s="2" t="s">
        <v>3380</v>
      </c>
      <c r="C27" s="2" t="s">
        <v>3380</v>
      </c>
      <c r="D27" s="2" t="s">
        <v>3380</v>
      </c>
      <c r="E27" s="2" t="s">
        <v>3380</v>
      </c>
      <c r="F27" s="2" t="s">
        <v>3380</v>
      </c>
    </row>
    <row r="28" spans="1:6" s="2" customFormat="1" x14ac:dyDescent="0.25">
      <c r="A28" s="2" t="s">
        <v>9</v>
      </c>
      <c r="B28" s="33" t="s">
        <v>79</v>
      </c>
      <c r="C28" s="33" t="s">
        <v>79</v>
      </c>
      <c r="D28" s="33" t="s">
        <v>79</v>
      </c>
      <c r="E28" s="33" t="s">
        <v>79</v>
      </c>
      <c r="F28" s="33" t="s">
        <v>79</v>
      </c>
    </row>
    <row r="29" spans="1:6" s="2" customFormat="1" x14ac:dyDescent="0.25">
      <c r="A29" s="2" t="s">
        <v>10</v>
      </c>
      <c r="B29" s="33" t="s">
        <v>79</v>
      </c>
      <c r="C29" s="33" t="s">
        <v>79</v>
      </c>
      <c r="D29" s="33" t="s">
        <v>79</v>
      </c>
      <c r="E29" s="33" t="s">
        <v>79</v>
      </c>
      <c r="F29" s="33" t="s">
        <v>79</v>
      </c>
    </row>
    <row r="30" spans="1:6" s="2" customFormat="1" x14ac:dyDescent="0.25">
      <c r="A30" s="2" t="s">
        <v>26</v>
      </c>
      <c r="B30" s="1">
        <v>40266</v>
      </c>
      <c r="C30" s="1">
        <v>40266</v>
      </c>
      <c r="D30" s="1">
        <v>40266</v>
      </c>
      <c r="E30" s="1">
        <v>40266</v>
      </c>
      <c r="F30" s="1">
        <v>40266</v>
      </c>
    </row>
    <row r="31" spans="1:6" s="2" customFormat="1" x14ac:dyDescent="0.25">
      <c r="A31" s="2" t="s">
        <v>12</v>
      </c>
      <c r="B31" s="2" t="s">
        <v>3381</v>
      </c>
      <c r="C31" s="2" t="s">
        <v>3381</v>
      </c>
      <c r="D31" s="2" t="s">
        <v>3381</v>
      </c>
      <c r="E31" s="2" t="s">
        <v>3381</v>
      </c>
      <c r="F31" s="2" t="s">
        <v>3381</v>
      </c>
    </row>
    <row r="32" spans="1:6" s="2" customFormat="1" x14ac:dyDescent="0.25">
      <c r="A32" s="2" t="s">
        <v>11</v>
      </c>
      <c r="B32" s="2" t="s">
        <v>3382</v>
      </c>
      <c r="C32" s="2" t="s">
        <v>3382</v>
      </c>
      <c r="D32" s="2" t="s">
        <v>3382</v>
      </c>
      <c r="E32" s="2" t="s">
        <v>3382</v>
      </c>
      <c r="F32" s="2" t="s">
        <v>3382</v>
      </c>
    </row>
    <row r="33" spans="1:6" s="2" customFormat="1" x14ac:dyDescent="0.25">
      <c r="A33" s="2" t="s">
        <v>13</v>
      </c>
      <c r="B33" s="2" t="s">
        <v>3379</v>
      </c>
      <c r="C33" s="2" t="s">
        <v>3379</v>
      </c>
      <c r="D33" s="2" t="s">
        <v>3379</v>
      </c>
      <c r="E33" s="2" t="s">
        <v>3379</v>
      </c>
      <c r="F33" s="2" t="s">
        <v>3379</v>
      </c>
    </row>
    <row r="34" spans="1:6" s="2" customFormat="1" x14ac:dyDescent="0.25">
      <c r="A34" s="1" t="s">
        <v>3084</v>
      </c>
      <c r="B34" s="1"/>
      <c r="C34" s="1"/>
      <c r="D34" s="1"/>
      <c r="E34" s="1"/>
      <c r="F34" s="1"/>
    </row>
    <row r="35" spans="1:6" s="2" customFormat="1" x14ac:dyDescent="0.25">
      <c r="A35" s="1" t="s">
        <v>3085</v>
      </c>
      <c r="B35" s="1"/>
      <c r="C35" s="1"/>
      <c r="D35" s="1"/>
      <c r="E35" s="1"/>
      <c r="F35" s="1"/>
    </row>
    <row r="36" spans="1:6" s="2" customFormat="1" x14ac:dyDescent="0.25">
      <c r="A36" s="1" t="s">
        <v>3086</v>
      </c>
      <c r="B36" s="1"/>
      <c r="C36" s="1"/>
      <c r="D36" s="1"/>
      <c r="E36" s="1"/>
      <c r="F36" s="1"/>
    </row>
    <row r="37" spans="1:6" s="2" customFormat="1" x14ac:dyDescent="0.25">
      <c r="A37" s="1" t="s">
        <v>3087</v>
      </c>
      <c r="B37" s="1"/>
      <c r="C37" s="1"/>
      <c r="D37" s="1"/>
      <c r="E37" s="1"/>
      <c r="F37" s="1"/>
    </row>
    <row r="38" spans="1:6" s="2" customFormat="1" x14ac:dyDescent="0.25">
      <c r="A38" s="1" t="s">
        <v>3088</v>
      </c>
      <c r="B38" s="1"/>
      <c r="C38" s="1"/>
      <c r="D38" s="1"/>
      <c r="E38" s="1"/>
      <c r="F38" s="1"/>
    </row>
    <row r="39" spans="1:6" s="2" customFormat="1" x14ac:dyDescent="0.25">
      <c r="A39" s="1" t="s">
        <v>3089</v>
      </c>
      <c r="B39" s="1"/>
      <c r="C39" s="1"/>
      <c r="D39" s="1"/>
      <c r="E39" s="1"/>
      <c r="F39" s="1"/>
    </row>
    <row r="40" spans="1:6" s="2" customFormat="1" x14ac:dyDescent="0.25">
      <c r="A40" s="2" t="s">
        <v>3093</v>
      </c>
      <c r="B40" s="1"/>
      <c r="C40" s="1"/>
      <c r="D40" s="1"/>
      <c r="E40" s="1"/>
      <c r="F40" s="1"/>
    </row>
    <row r="41" spans="1:6" s="2" customFormat="1" x14ac:dyDescent="0.25">
      <c r="A41" s="2" t="s">
        <v>3094</v>
      </c>
      <c r="B41" s="1"/>
      <c r="C41" s="1"/>
      <c r="D41" s="1"/>
      <c r="E41" s="1"/>
      <c r="F41" s="1"/>
    </row>
  </sheetData>
  <conditionalFormatting sqref="B16 G16:XFD16">
    <cfRule type="expression" dxfId="63" priority="4">
      <formula>OR(B$14="AKTA",B$14="E-KTP",B$14="NPWP")</formula>
    </cfRule>
  </conditionalFormatting>
  <conditionalFormatting sqref="A16">
    <cfRule type="expression" dxfId="62" priority="3">
      <formula>OR(A$14="AKTA",A$14="E-KTP",A$14="NPWP")</formula>
    </cfRule>
  </conditionalFormatting>
  <conditionalFormatting sqref="C16:F16">
    <cfRule type="expression" dxfId="0" priority="1">
      <formula>OR(C$14="AKTA",C$14="E-KTP",C$14="NPWP")</formula>
    </cfRule>
  </conditionalFormatting>
  <dataValidations count="6">
    <dataValidation type="list" allowBlank="1" showInputMessage="1" showErrorMessage="1" sqref="B23:F23">
      <formula1>"Brother, Father, Mother, Other, Sister, Spouse"</formula1>
    </dataValidation>
    <dataValidation type="list" errorStyle="information" showInputMessage="1" showErrorMessage="1" sqref="B20:F20">
      <formula1>ListJobPosition</formula1>
    </dataValidation>
    <dataValidation type="list" errorStyle="information" allowBlank="1" showInputMessage="1" showErrorMessage="1" sqref="B14:F14">
      <formula1>"AKTA, CAT CAT, CAT IS A CAT, DESCRIPTION FOR AAA, DESCRIPTION FOR ASA, DESCRIPTION FOR KTP, E-KTP, KITAS, NPWP, SIM, KARTU TANDA MAHASISWA"</formula1>
    </dataValidation>
    <dataValidation errorStyle="information" allowBlank="1" showInputMessage="1" showErrorMessage="1" sqref="B15:F15"/>
    <dataValidation type="custom" errorStyle="information" allowBlank="1" showInputMessage="1" showErrorMessage="1" sqref="B16:F16">
      <formula1>AND(B$14&lt;&gt;"E-KTP",B$14&lt;&gt;"AKTA",B$14&lt;&gt;"NPWP")</formula1>
    </dataValidation>
    <dataValidation type="list" errorStyle="information" showInputMessage="1" showErrorMessage="1" sqref="B19:F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79"/>
  <sheetViews>
    <sheetView workbookViewId="0">
      <selection activeCell="G15" sqref="G15"/>
    </sheetView>
  </sheetViews>
  <sheetFormatPr defaultRowHeight="15" x14ac:dyDescent="0.25"/>
  <cols>
    <col min="1" max="1" width="49.85546875" bestFit="1" customWidth="1" collapsed="1"/>
    <col min="2" max="2" width="28.5703125" bestFit="1" customWidth="1" collapsed="1"/>
    <col min="3" max="3" width="19.855468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COUNTIFS($A$12,"*$*",B12,"")+COUNTIFS($A$35,"*$*",B35,"")+IF(B10&lt;&gt;A10,COUNTIFS($A$53:$A$54,"*$*",B53:B54,"")+COUNTIFS($A$61:$A$62,"*$*",B61:B62,""),0)</f>
        <v>0</v>
      </c>
      <c r="C4" s="2">
        <f t="shared" ref="C4:F4" si="0">COUNTIFS($A$12,"*$*",C12,"")+COUNTIFS($A$35,"*$*",C35,"")+IF(C10&lt;&gt;B10,COUNTIFS($A$53:$A$54,"*$*",C53:C54,"")+COUNTIFS($A$61:$A$62,"*$*",C61:C62,""),0)</f>
        <v>0</v>
      </c>
      <c r="D4" s="2">
        <f t="shared" si="0"/>
        <v>0</v>
      </c>
      <c r="E4" s="2">
        <f t="shared" si="0"/>
        <v>0</v>
      </c>
      <c r="F4" s="2">
        <f t="shared" si="0"/>
        <v>0</v>
      </c>
    </row>
    <row r="5" spans="1:6" s="2" customFormat="1" x14ac:dyDescent="0.25"/>
    <row r="6" spans="1:6" s="2" customFormat="1" x14ac:dyDescent="0.25"/>
    <row r="7" spans="1:6" s="2" customFormat="1" x14ac:dyDescent="0.25"/>
    <row r="8" spans="1:6" s="49" customFormat="1" x14ac:dyDescent="0.25"/>
    <row r="9" spans="1:6" s="2" customFormat="1" x14ac:dyDescent="0.25">
      <c r="A9" s="2" t="s">
        <v>3080</v>
      </c>
      <c r="B9" s="2" t="str">
        <f>'1.CustomerDetail'!B12</f>
        <v>app1</v>
      </c>
      <c r="C9" s="2" t="str">
        <f>'1.CustomerDetail'!C12</f>
        <v>app3</v>
      </c>
      <c r="D9" s="2" t="str">
        <f>'1.CustomerDetail'!D12</f>
        <v>app5</v>
      </c>
      <c r="E9" s="2" t="str">
        <f>'1.CustomerDetail'!E12</f>
        <v>app7</v>
      </c>
      <c r="F9" s="2" t="str">
        <f>'1.CustomerDetail'!F12</f>
        <v>app22</v>
      </c>
    </row>
    <row r="10" spans="1:6" s="2" customFormat="1"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r="11" spans="1:6" s="55" customFormat="1" x14ac:dyDescent="0.25">
      <c r="A11" s="52" t="s">
        <v>3096</v>
      </c>
      <c r="B11" s="53"/>
      <c r="C11" s="54"/>
    </row>
    <row r="12" spans="1:6" s="2" customFormat="1" x14ac:dyDescent="0.25">
      <c r="A12" s="31" t="s">
        <v>3423</v>
      </c>
      <c r="B12" s="35">
        <v>0</v>
      </c>
      <c r="C12" s="35">
        <v>0</v>
      </c>
      <c r="D12" s="35">
        <v>0</v>
      </c>
      <c r="E12" s="35">
        <v>0</v>
      </c>
      <c r="F12" s="35">
        <v>0</v>
      </c>
    </row>
    <row r="13" spans="1:6" s="2" customFormat="1" x14ac:dyDescent="0.25">
      <c r="A13" s="1" t="s">
        <v>3095</v>
      </c>
      <c r="B13" s="36">
        <v>0</v>
      </c>
      <c r="C13" s="36">
        <v>0</v>
      </c>
      <c r="D13" s="36">
        <v>0</v>
      </c>
      <c r="E13" s="36">
        <v>0</v>
      </c>
      <c r="F13" s="36">
        <v>0</v>
      </c>
    </row>
    <row r="14" spans="1:6" s="2" customFormat="1" x14ac:dyDescent="0.25">
      <c r="A14" s="1" t="s">
        <v>27</v>
      </c>
      <c r="B14" s="37">
        <v>1</v>
      </c>
      <c r="C14" s="37">
        <v>1</v>
      </c>
      <c r="D14" s="37">
        <v>1</v>
      </c>
      <c r="E14" s="37">
        <v>1</v>
      </c>
      <c r="F14" s="37">
        <v>1</v>
      </c>
    </row>
    <row r="15" spans="1:6" s="2" customFormat="1" x14ac:dyDescent="0.25">
      <c r="A15" s="1" t="s">
        <v>28</v>
      </c>
      <c r="B15" s="37">
        <v>1</v>
      </c>
      <c r="C15" s="37">
        <v>1</v>
      </c>
      <c r="D15" s="37">
        <v>1</v>
      </c>
      <c r="E15" s="37">
        <v>1</v>
      </c>
      <c r="F15" s="37">
        <v>1</v>
      </c>
    </row>
    <row r="16" spans="1:6" s="2" customFormat="1" x14ac:dyDescent="0.25">
      <c r="A16" s="1" t="s">
        <v>29</v>
      </c>
      <c r="B16" s="37">
        <v>1</v>
      </c>
      <c r="C16" s="37">
        <v>1</v>
      </c>
      <c r="D16" s="37">
        <v>1</v>
      </c>
      <c r="E16" s="37">
        <v>1</v>
      </c>
      <c r="F16" s="37">
        <v>1</v>
      </c>
    </row>
    <row r="17" spans="1:6" s="2" customFormat="1" x14ac:dyDescent="0.25">
      <c r="A17" s="1" t="s">
        <v>30</v>
      </c>
      <c r="B17" s="37">
        <v>1</v>
      </c>
      <c r="C17" s="37">
        <v>1</v>
      </c>
      <c r="D17" s="37">
        <v>1</v>
      </c>
      <c r="E17" s="37">
        <v>1</v>
      </c>
      <c r="F17" s="37">
        <v>1</v>
      </c>
    </row>
    <row r="18" spans="1:6" s="2" customFormat="1" x14ac:dyDescent="0.25">
      <c r="A18" s="1" t="s">
        <v>31</v>
      </c>
      <c r="B18" s="37">
        <v>1</v>
      </c>
      <c r="C18" s="37">
        <v>1</v>
      </c>
      <c r="D18" s="37">
        <v>1</v>
      </c>
      <c r="E18" s="37">
        <v>1</v>
      </c>
      <c r="F18" s="37">
        <v>1</v>
      </c>
    </row>
    <row r="19" spans="1:6" s="2" customFormat="1" x14ac:dyDescent="0.25">
      <c r="A19" s="1" t="s">
        <v>32</v>
      </c>
      <c r="B19" s="37">
        <v>1</v>
      </c>
      <c r="C19" s="37">
        <v>1</v>
      </c>
      <c r="D19" s="37">
        <v>1</v>
      </c>
      <c r="E19" s="37">
        <v>1</v>
      </c>
      <c r="F19" s="37">
        <v>1</v>
      </c>
    </row>
    <row r="20" spans="1:6" s="2" customFormat="1" x14ac:dyDescent="0.25">
      <c r="A20" s="1" t="s">
        <v>33</v>
      </c>
      <c r="B20" s="37">
        <v>1</v>
      </c>
      <c r="C20" s="37">
        <v>1</v>
      </c>
      <c r="D20" s="37">
        <v>1</v>
      </c>
      <c r="E20" s="37">
        <v>1</v>
      </c>
      <c r="F20" s="37">
        <v>1</v>
      </c>
    </row>
    <row r="21" spans="1:6" s="2" customFormat="1" x14ac:dyDescent="0.25">
      <c r="A21" s="1" t="s">
        <v>34</v>
      </c>
      <c r="B21" s="37">
        <v>1</v>
      </c>
      <c r="C21" s="37">
        <v>1</v>
      </c>
      <c r="D21" s="37">
        <v>1</v>
      </c>
      <c r="E21" s="37">
        <v>1</v>
      </c>
      <c r="F21" s="37">
        <v>1</v>
      </c>
    </row>
    <row r="22" spans="1:6" s="2" customFormat="1" x14ac:dyDescent="0.25">
      <c r="A22" s="1" t="s">
        <v>35</v>
      </c>
      <c r="B22" s="37">
        <v>1</v>
      </c>
      <c r="C22" s="37">
        <v>1</v>
      </c>
      <c r="D22" s="37">
        <v>1</v>
      </c>
      <c r="E22" s="37">
        <v>1</v>
      </c>
      <c r="F22" s="37">
        <v>1</v>
      </c>
    </row>
    <row r="23" spans="1:6" s="2" customFormat="1" x14ac:dyDescent="0.25">
      <c r="A23" s="1" t="s">
        <v>36</v>
      </c>
      <c r="B23" s="36">
        <v>0</v>
      </c>
      <c r="C23" s="36">
        <v>0</v>
      </c>
      <c r="D23" s="36">
        <v>0</v>
      </c>
      <c r="E23" s="36">
        <v>0</v>
      </c>
      <c r="F23" s="36">
        <v>0</v>
      </c>
    </row>
    <row r="24" spans="1:6" s="2" customFormat="1" x14ac:dyDescent="0.25">
      <c r="A24" s="1" t="s">
        <v>37</v>
      </c>
      <c r="B24" s="36">
        <v>0</v>
      </c>
      <c r="C24" s="36">
        <v>0</v>
      </c>
      <c r="D24" s="36">
        <v>0</v>
      </c>
      <c r="E24" s="36">
        <v>0</v>
      </c>
      <c r="F24" s="36">
        <v>0</v>
      </c>
    </row>
    <row r="25" spans="1:6" s="2" customFormat="1" x14ac:dyDescent="0.25">
      <c r="A25" s="1" t="s">
        <v>38</v>
      </c>
      <c r="B25" s="36">
        <v>0</v>
      </c>
      <c r="C25" s="36">
        <v>0</v>
      </c>
      <c r="D25" s="36">
        <v>0</v>
      </c>
      <c r="E25" s="36">
        <v>0</v>
      </c>
      <c r="F25" s="36">
        <v>0</v>
      </c>
    </row>
    <row r="26" spans="1:6" s="2" customFormat="1" x14ac:dyDescent="0.25">
      <c r="A26" s="1" t="s">
        <v>39</v>
      </c>
      <c r="B26" s="36">
        <v>0</v>
      </c>
      <c r="C26" s="36">
        <v>0</v>
      </c>
      <c r="D26" s="36">
        <v>0</v>
      </c>
      <c r="E26" s="36">
        <v>0</v>
      </c>
      <c r="F26" s="36">
        <v>0</v>
      </c>
    </row>
    <row r="27" spans="1:6" s="2" customFormat="1" x14ac:dyDescent="0.25">
      <c r="A27" s="1" t="s">
        <v>40</v>
      </c>
      <c r="B27" s="36">
        <v>0</v>
      </c>
      <c r="C27" s="36">
        <v>0</v>
      </c>
      <c r="D27" s="36">
        <v>0</v>
      </c>
      <c r="E27" s="36">
        <v>0</v>
      </c>
      <c r="F27" s="36">
        <v>0</v>
      </c>
    </row>
    <row r="28" spans="1:6" s="2" customFormat="1" x14ac:dyDescent="0.25">
      <c r="A28" s="1" t="s">
        <v>41</v>
      </c>
      <c r="B28" s="36">
        <v>0</v>
      </c>
      <c r="C28" s="36">
        <v>0</v>
      </c>
      <c r="D28" s="36">
        <v>0</v>
      </c>
      <c r="E28" s="36">
        <v>0</v>
      </c>
      <c r="F28" s="36">
        <v>0</v>
      </c>
    </row>
    <row r="29" spans="1:6" s="2" customFormat="1" x14ac:dyDescent="0.25">
      <c r="A29" s="1" t="s">
        <v>42</v>
      </c>
      <c r="B29" s="36">
        <v>0</v>
      </c>
      <c r="C29" s="36">
        <v>0</v>
      </c>
      <c r="D29" s="36">
        <v>0</v>
      </c>
      <c r="E29" s="36">
        <v>0</v>
      </c>
      <c r="F29" s="36">
        <v>0</v>
      </c>
    </row>
    <row r="30" spans="1:6" s="2" customFormat="1" x14ac:dyDescent="0.25">
      <c r="A30" s="1" t="s">
        <v>43</v>
      </c>
      <c r="B30" s="36">
        <v>0</v>
      </c>
      <c r="C30" s="36">
        <v>0</v>
      </c>
      <c r="D30" s="36">
        <v>0</v>
      </c>
      <c r="E30" s="36">
        <v>0</v>
      </c>
      <c r="F30" s="36">
        <v>0</v>
      </c>
    </row>
    <row r="31" spans="1:6" s="2" customFormat="1" x14ac:dyDescent="0.25">
      <c r="A31" s="1" t="s">
        <v>44</v>
      </c>
      <c r="B31" s="36">
        <v>0</v>
      </c>
      <c r="C31" s="36">
        <v>0</v>
      </c>
      <c r="D31" s="36">
        <v>0</v>
      </c>
      <c r="E31" s="36">
        <v>0</v>
      </c>
      <c r="F31" s="36">
        <v>0</v>
      </c>
    </row>
    <row r="32" spans="1:6" s="2" customFormat="1" x14ac:dyDescent="0.25">
      <c r="A32" s="1" t="s">
        <v>45</v>
      </c>
      <c r="B32" s="36">
        <v>0</v>
      </c>
      <c r="C32" s="36">
        <v>0</v>
      </c>
      <c r="D32" s="36">
        <v>0</v>
      </c>
      <c r="E32" s="36">
        <v>0</v>
      </c>
      <c r="F32" s="36">
        <v>0</v>
      </c>
    </row>
    <row r="33" spans="1:6" s="2" customFormat="1" x14ac:dyDescent="0.25">
      <c r="A33" s="1" t="s">
        <v>46</v>
      </c>
      <c r="B33" s="36">
        <v>0</v>
      </c>
      <c r="C33" s="36">
        <v>0</v>
      </c>
      <c r="D33" s="36">
        <v>0</v>
      </c>
      <c r="E33" s="36">
        <v>0</v>
      </c>
      <c r="F33" s="36">
        <v>0</v>
      </c>
    </row>
    <row r="34" spans="1:6" s="2" customFormat="1" x14ac:dyDescent="0.25">
      <c r="A34" s="1" t="s">
        <v>47</v>
      </c>
      <c r="B34" s="36">
        <v>0</v>
      </c>
      <c r="C34" s="36">
        <v>0</v>
      </c>
      <c r="D34" s="36">
        <v>0</v>
      </c>
      <c r="E34" s="36">
        <v>0</v>
      </c>
      <c r="F34" s="36">
        <v>0</v>
      </c>
    </row>
    <row r="35" spans="1:6" s="2" customFormat="1" x14ac:dyDescent="0.25">
      <c r="A35" s="31" t="s">
        <v>3424</v>
      </c>
      <c r="B35" s="34" t="s">
        <v>3392</v>
      </c>
      <c r="C35" s="34" t="s">
        <v>3392</v>
      </c>
      <c r="D35" s="34" t="s">
        <v>3392</v>
      </c>
      <c r="E35" s="34" t="s">
        <v>3392</v>
      </c>
      <c r="F35" s="34" t="s">
        <v>3392</v>
      </c>
    </row>
    <row r="36" spans="1:6" s="47" customFormat="1" x14ac:dyDescent="0.25">
      <c r="A36" s="44" t="s">
        <v>3097</v>
      </c>
      <c r="B36" s="45"/>
      <c r="C36" s="45"/>
      <c r="D36" s="45"/>
      <c r="E36" s="45"/>
      <c r="F36" s="45"/>
    </row>
    <row r="37" spans="1:6" s="2" customFormat="1" x14ac:dyDescent="0.25">
      <c r="A37" s="2" t="s">
        <v>48</v>
      </c>
      <c r="B37" s="35">
        <v>0</v>
      </c>
      <c r="C37" s="35">
        <v>0</v>
      </c>
      <c r="D37" s="35">
        <v>0</v>
      </c>
      <c r="E37" s="35">
        <v>0</v>
      </c>
      <c r="F37" s="35">
        <v>0</v>
      </c>
    </row>
    <row r="38" spans="1:6" s="2" customFormat="1" x14ac:dyDescent="0.25">
      <c r="A38" s="2" t="s">
        <v>49</v>
      </c>
      <c r="B38" s="35">
        <v>0</v>
      </c>
      <c r="C38" s="35">
        <v>0</v>
      </c>
      <c r="D38" s="35">
        <v>0</v>
      </c>
      <c r="E38" s="35">
        <v>0</v>
      </c>
      <c r="F38" s="35">
        <v>0</v>
      </c>
    </row>
    <row r="39" spans="1:6" s="2" customFormat="1" x14ac:dyDescent="0.25">
      <c r="A39" s="2" t="s">
        <v>50</v>
      </c>
      <c r="B39" s="35">
        <v>0</v>
      </c>
      <c r="C39" s="35">
        <v>0</v>
      </c>
      <c r="D39" s="35">
        <v>0</v>
      </c>
      <c r="E39" s="35">
        <v>0</v>
      </c>
      <c r="F39" s="35">
        <v>0</v>
      </c>
    </row>
    <row r="40" spans="1:6" s="2" customFormat="1" x14ac:dyDescent="0.25">
      <c r="A40" s="2" t="s">
        <v>51</v>
      </c>
      <c r="B40" s="35">
        <v>0</v>
      </c>
      <c r="C40" s="35">
        <v>0</v>
      </c>
      <c r="D40" s="35">
        <v>0</v>
      </c>
      <c r="E40" s="35">
        <v>0</v>
      </c>
      <c r="F40" s="35">
        <v>0</v>
      </c>
    </row>
    <row r="41" spans="1:6" s="2" customFormat="1" x14ac:dyDescent="0.25">
      <c r="A41" s="2" t="s">
        <v>52</v>
      </c>
      <c r="B41" s="35">
        <v>0</v>
      </c>
      <c r="C41" s="35">
        <v>0</v>
      </c>
      <c r="D41" s="35">
        <v>0</v>
      </c>
      <c r="E41" s="35">
        <v>0</v>
      </c>
      <c r="F41" s="35">
        <v>0</v>
      </c>
    </row>
    <row r="42" spans="1:6" s="2" customFormat="1" x14ac:dyDescent="0.25">
      <c r="A42" s="2" t="s">
        <v>53</v>
      </c>
      <c r="B42" s="35">
        <v>0</v>
      </c>
      <c r="C42" s="35">
        <v>0</v>
      </c>
      <c r="D42" s="35">
        <v>0</v>
      </c>
      <c r="E42" s="35">
        <v>0</v>
      </c>
      <c r="F42" s="35">
        <v>0</v>
      </c>
    </row>
    <row r="43" spans="1:6" s="2" customFormat="1" x14ac:dyDescent="0.25">
      <c r="A43" s="2" t="s">
        <v>54</v>
      </c>
      <c r="B43" s="35">
        <v>0</v>
      </c>
      <c r="C43" s="35">
        <v>0</v>
      </c>
      <c r="D43" s="35">
        <v>0</v>
      </c>
      <c r="E43" s="35">
        <v>0</v>
      </c>
      <c r="F43" s="35">
        <v>0</v>
      </c>
    </row>
    <row r="44" spans="1:6" s="2" customFormat="1" x14ac:dyDescent="0.25">
      <c r="A44" s="2" t="s">
        <v>55</v>
      </c>
      <c r="B44" s="35">
        <v>0</v>
      </c>
      <c r="C44" s="35">
        <v>0</v>
      </c>
      <c r="D44" s="35">
        <v>0</v>
      </c>
      <c r="E44" s="35">
        <v>0</v>
      </c>
      <c r="F44" s="35">
        <v>0</v>
      </c>
    </row>
    <row r="45" spans="1:6" s="2" customFormat="1" x14ac:dyDescent="0.25">
      <c r="A45" s="2" t="s">
        <v>56</v>
      </c>
      <c r="B45" s="35">
        <v>0</v>
      </c>
      <c r="C45" s="35">
        <v>0</v>
      </c>
      <c r="D45" s="35">
        <v>0</v>
      </c>
      <c r="E45" s="35">
        <v>0</v>
      </c>
      <c r="F45" s="35">
        <v>0</v>
      </c>
    </row>
    <row r="46" spans="1:6" s="2" customFormat="1" x14ac:dyDescent="0.25">
      <c r="A46" s="2" t="s">
        <v>57</v>
      </c>
      <c r="B46" s="35">
        <v>0</v>
      </c>
      <c r="C46" s="35">
        <v>0</v>
      </c>
      <c r="D46" s="35">
        <v>0</v>
      </c>
      <c r="E46" s="35">
        <v>0</v>
      </c>
      <c r="F46" s="35">
        <v>0</v>
      </c>
    </row>
    <row r="47" spans="1:6" s="2" customFormat="1" x14ac:dyDescent="0.25">
      <c r="A47" s="2" t="s">
        <v>58</v>
      </c>
      <c r="B47" s="35">
        <v>0</v>
      </c>
      <c r="C47" s="35">
        <v>0</v>
      </c>
      <c r="D47" s="35">
        <v>0</v>
      </c>
      <c r="E47" s="35">
        <v>0</v>
      </c>
      <c r="F47" s="35">
        <v>0</v>
      </c>
    </row>
    <row r="48" spans="1:6" s="2" customFormat="1" x14ac:dyDescent="0.25">
      <c r="A48" s="2" t="s">
        <v>59</v>
      </c>
      <c r="B48" s="35">
        <v>0</v>
      </c>
      <c r="C48" s="35">
        <v>0</v>
      </c>
      <c r="D48" s="35">
        <v>0</v>
      </c>
      <c r="E48" s="35">
        <v>0</v>
      </c>
      <c r="F48" s="35">
        <v>0</v>
      </c>
    </row>
    <row r="49" spans="1:6" s="2" customFormat="1" x14ac:dyDescent="0.25">
      <c r="A49" s="2" t="s">
        <v>60</v>
      </c>
      <c r="B49" s="35">
        <v>0</v>
      </c>
      <c r="C49" s="35">
        <v>0</v>
      </c>
      <c r="D49" s="35">
        <v>0</v>
      </c>
      <c r="E49" s="35">
        <v>0</v>
      </c>
      <c r="F49" s="35">
        <v>0</v>
      </c>
    </row>
    <row r="50" spans="1:6" s="2" customFormat="1" x14ac:dyDescent="0.25">
      <c r="A50" s="2" t="s">
        <v>61</v>
      </c>
      <c r="B50" s="35">
        <v>0</v>
      </c>
      <c r="C50" s="35">
        <v>0</v>
      </c>
      <c r="D50" s="35">
        <v>0</v>
      </c>
      <c r="E50" s="35">
        <v>0</v>
      </c>
      <c r="F50" s="35">
        <v>0</v>
      </c>
    </row>
    <row r="51" spans="1:6" s="2" customFormat="1" x14ac:dyDescent="0.25">
      <c r="A51" s="2" t="s">
        <v>62</v>
      </c>
      <c r="B51" s="35">
        <v>0</v>
      </c>
      <c r="C51" s="35">
        <v>0</v>
      </c>
      <c r="D51" s="35">
        <v>0</v>
      </c>
      <c r="E51" s="35">
        <v>0</v>
      </c>
      <c r="F51" s="35">
        <v>0</v>
      </c>
    </row>
    <row r="52" spans="1:6" s="2" customFormat="1" x14ac:dyDescent="0.25">
      <c r="A52" s="2" t="s">
        <v>63</v>
      </c>
      <c r="B52" s="35">
        <v>0</v>
      </c>
      <c r="C52" s="35">
        <v>0</v>
      </c>
      <c r="D52" s="35">
        <v>0</v>
      </c>
      <c r="E52" s="35">
        <v>0</v>
      </c>
      <c r="F52" s="35">
        <v>0</v>
      </c>
    </row>
    <row r="53" spans="1:6" s="2" customFormat="1" x14ac:dyDescent="0.25">
      <c r="A53" s="30" t="s">
        <v>3425</v>
      </c>
      <c r="B53" s="35">
        <v>10</v>
      </c>
      <c r="C53" s="35">
        <v>10</v>
      </c>
      <c r="D53" s="35">
        <v>10</v>
      </c>
      <c r="E53" s="35">
        <v>10</v>
      </c>
      <c r="F53" s="35">
        <v>10</v>
      </c>
    </row>
    <row r="54" spans="1:6" s="2" customFormat="1" x14ac:dyDescent="0.25">
      <c r="A54" s="30" t="s">
        <v>3426</v>
      </c>
      <c r="B54" s="35">
        <v>10</v>
      </c>
      <c r="C54" s="35">
        <v>10</v>
      </c>
      <c r="D54" s="35">
        <v>10</v>
      </c>
      <c r="E54" s="35">
        <v>10</v>
      </c>
      <c r="F54" s="35">
        <v>10</v>
      </c>
    </row>
    <row r="55" spans="1:6" s="2" customFormat="1" x14ac:dyDescent="0.25">
      <c r="A55" s="2" t="s">
        <v>64</v>
      </c>
      <c r="B55" s="35">
        <v>0</v>
      </c>
      <c r="C55" s="35">
        <v>0</v>
      </c>
      <c r="D55" s="35">
        <v>0</v>
      </c>
      <c r="E55" s="35">
        <v>0</v>
      </c>
      <c r="F55" s="35">
        <v>0</v>
      </c>
    </row>
    <row r="56" spans="1:6" s="2" customFormat="1" x14ac:dyDescent="0.25">
      <c r="A56" s="2" t="s">
        <v>65</v>
      </c>
      <c r="B56" s="35">
        <v>0</v>
      </c>
      <c r="C56" s="35">
        <v>0</v>
      </c>
      <c r="D56" s="35">
        <v>0</v>
      </c>
      <c r="E56" s="35">
        <v>0</v>
      </c>
      <c r="F56" s="35">
        <v>0</v>
      </c>
    </row>
    <row r="57" spans="1:6" s="2" customFormat="1" x14ac:dyDescent="0.25">
      <c r="A57" s="2" t="s">
        <v>66</v>
      </c>
      <c r="B57" s="35">
        <v>0</v>
      </c>
      <c r="C57" s="35">
        <v>0</v>
      </c>
      <c r="D57" s="35">
        <v>0</v>
      </c>
      <c r="E57" s="35">
        <v>0</v>
      </c>
      <c r="F57" s="35">
        <v>0</v>
      </c>
    </row>
    <row r="58" spans="1:6" s="2" customFormat="1" x14ac:dyDescent="0.25">
      <c r="A58" s="2" t="s">
        <v>67</v>
      </c>
      <c r="B58" s="35">
        <v>0</v>
      </c>
      <c r="C58" s="35">
        <v>0</v>
      </c>
      <c r="D58" s="35">
        <v>0</v>
      </c>
      <c r="E58" s="35">
        <v>0</v>
      </c>
      <c r="F58" s="35">
        <v>0</v>
      </c>
    </row>
    <row r="59" spans="1:6" s="2" customFormat="1" x14ac:dyDescent="0.25">
      <c r="A59" s="2" t="s">
        <v>68</v>
      </c>
      <c r="B59" s="35">
        <v>0</v>
      </c>
      <c r="C59" s="35">
        <v>0</v>
      </c>
      <c r="D59" s="35">
        <v>0</v>
      </c>
      <c r="E59" s="35">
        <v>0</v>
      </c>
      <c r="F59" s="35">
        <v>0</v>
      </c>
    </row>
    <row r="60" spans="1:6" s="2" customFormat="1" x14ac:dyDescent="0.25">
      <c r="A60" s="2" t="s">
        <v>69</v>
      </c>
      <c r="B60" s="35">
        <v>0</v>
      </c>
      <c r="C60" s="35">
        <v>0</v>
      </c>
      <c r="D60" s="35">
        <v>0</v>
      </c>
      <c r="E60" s="35">
        <v>0</v>
      </c>
      <c r="F60" s="35">
        <v>0</v>
      </c>
    </row>
    <row r="61" spans="1:6" s="2" customFormat="1" x14ac:dyDescent="0.25">
      <c r="A61" s="30" t="s">
        <v>3427</v>
      </c>
      <c r="B61" s="35">
        <v>10</v>
      </c>
      <c r="C61" s="35">
        <v>10</v>
      </c>
      <c r="D61" s="35">
        <v>10</v>
      </c>
      <c r="E61" s="35">
        <v>10</v>
      </c>
      <c r="F61" s="35">
        <v>10</v>
      </c>
    </row>
    <row r="62" spans="1:6" s="2" customFormat="1" x14ac:dyDescent="0.25">
      <c r="A62" s="30" t="s">
        <v>3428</v>
      </c>
      <c r="B62" s="35">
        <v>10</v>
      </c>
      <c r="C62" s="35">
        <v>10</v>
      </c>
      <c r="D62" s="35">
        <v>10</v>
      </c>
      <c r="E62" s="35">
        <v>10</v>
      </c>
      <c r="F62" s="35">
        <v>10</v>
      </c>
    </row>
    <row r="63" spans="1:6" s="2" customFormat="1" x14ac:dyDescent="0.25">
      <c r="A63" s="2" t="s">
        <v>70</v>
      </c>
      <c r="B63" s="35">
        <v>0</v>
      </c>
      <c r="C63" s="35">
        <v>0</v>
      </c>
      <c r="D63" s="35">
        <v>0</v>
      </c>
      <c r="E63" s="35">
        <v>0</v>
      </c>
      <c r="F63" s="35">
        <v>0</v>
      </c>
    </row>
    <row r="64" spans="1:6" s="2" customFormat="1" x14ac:dyDescent="0.25">
      <c r="A64" s="2" t="s">
        <v>71</v>
      </c>
      <c r="B64" s="35">
        <v>0</v>
      </c>
      <c r="C64" s="35">
        <v>0</v>
      </c>
      <c r="D64" s="35">
        <v>0</v>
      </c>
      <c r="E64" s="35">
        <v>0</v>
      </c>
      <c r="F64" s="35">
        <v>0</v>
      </c>
    </row>
    <row r="65" spans="1:6" s="47" customFormat="1" x14ac:dyDescent="0.25">
      <c r="A65" s="44" t="s">
        <v>3098</v>
      </c>
      <c r="B65" s="45"/>
      <c r="C65" s="45"/>
      <c r="D65" s="45"/>
      <c r="E65" s="45"/>
      <c r="F65" s="45"/>
    </row>
    <row r="66" spans="1:6" s="2" customFormat="1" x14ac:dyDescent="0.25">
      <c r="A66" s="32" t="s">
        <v>72</v>
      </c>
      <c r="B66" s="1" t="str">
        <f>VLOOKUP(B$67,Master!$AS:$AT,2,FALSE)</f>
        <v>032</v>
      </c>
      <c r="C66" s="1" t="str">
        <f>VLOOKUP(C$67,Master!$AS:$AT,2,FALSE)</f>
        <v>032</v>
      </c>
      <c r="D66" s="1" t="str">
        <f>VLOOKUP(D$67,Master!$AS:$AT,2,FALSE)</f>
        <v>032</v>
      </c>
      <c r="E66" s="1" t="str">
        <f>VLOOKUP(E$67,Master!$AS:$AT,2,FALSE)</f>
        <v>032</v>
      </c>
      <c r="F66" s="1" t="str">
        <f>VLOOKUP(F$67,Master!$AS:$AT,2,FALSE)</f>
        <v>032</v>
      </c>
    </row>
    <row r="67" spans="1:6" s="2" customFormat="1" x14ac:dyDescent="0.25">
      <c r="A67" s="31" t="s">
        <v>3461</v>
      </c>
      <c r="B67" s="1" t="s">
        <v>3140</v>
      </c>
      <c r="C67" s="1" t="s">
        <v>3140</v>
      </c>
      <c r="D67" s="1" t="s">
        <v>3140</v>
      </c>
      <c r="E67" s="1" t="s">
        <v>3140</v>
      </c>
      <c r="F67" s="1" t="s">
        <v>3140</v>
      </c>
    </row>
    <row r="68" spans="1:6" s="2" customFormat="1" x14ac:dyDescent="0.25">
      <c r="A68" s="31" t="s">
        <v>3462</v>
      </c>
      <c r="B68" s="1" t="s">
        <v>3047</v>
      </c>
      <c r="C68" s="1" t="s">
        <v>3047</v>
      </c>
      <c r="D68" s="1" t="s">
        <v>3047</v>
      </c>
      <c r="E68" s="1" t="s">
        <v>3047</v>
      </c>
      <c r="F68" s="1" t="s">
        <v>3047</v>
      </c>
    </row>
    <row r="69" spans="1:6" s="2" customFormat="1" x14ac:dyDescent="0.25">
      <c r="A69" s="31" t="s">
        <v>3463</v>
      </c>
      <c r="B69" s="1" t="s">
        <v>3393</v>
      </c>
      <c r="C69" s="1" t="s">
        <v>3393</v>
      </c>
      <c r="D69" s="1" t="s">
        <v>3393</v>
      </c>
      <c r="E69" s="1" t="s">
        <v>3393</v>
      </c>
      <c r="F69" s="1" t="s">
        <v>3393</v>
      </c>
    </row>
    <row r="70" spans="1:6" s="2" customFormat="1" x14ac:dyDescent="0.25">
      <c r="A70" s="31" t="s">
        <v>3464</v>
      </c>
      <c r="B70" s="33" t="s">
        <v>3394</v>
      </c>
      <c r="C70" s="33" t="s">
        <v>3394</v>
      </c>
      <c r="D70" s="33" t="s">
        <v>3394</v>
      </c>
      <c r="E70" s="33" t="s">
        <v>3394</v>
      </c>
      <c r="F70" s="33" t="s">
        <v>3394</v>
      </c>
    </row>
    <row r="71" spans="1:6" s="2" customFormat="1" x14ac:dyDescent="0.25">
      <c r="A71" s="2" t="s">
        <v>73</v>
      </c>
      <c r="B71" s="2" t="s">
        <v>3395</v>
      </c>
      <c r="C71" s="2" t="s">
        <v>3395</v>
      </c>
      <c r="D71" s="2" t="s">
        <v>3395</v>
      </c>
      <c r="E71" s="2" t="s">
        <v>3395</v>
      </c>
      <c r="F71" s="2" t="s">
        <v>3395</v>
      </c>
    </row>
    <row r="72" spans="1:6" s="2" customFormat="1" x14ac:dyDescent="0.25">
      <c r="A72" s="2" t="s">
        <v>74</v>
      </c>
      <c r="B72" s="2" t="s">
        <v>3395</v>
      </c>
      <c r="C72" s="2" t="s">
        <v>3395</v>
      </c>
      <c r="D72" s="2" t="s">
        <v>3395</v>
      </c>
      <c r="E72" s="2" t="s">
        <v>3395</v>
      </c>
      <c r="F72" s="2" t="s">
        <v>3395</v>
      </c>
    </row>
    <row r="73" spans="1:6" s="2" customFormat="1" x14ac:dyDescent="0.25">
      <c r="A73" s="31" t="s">
        <v>3465</v>
      </c>
      <c r="B73" s="40">
        <v>2000000</v>
      </c>
      <c r="C73" s="40">
        <v>2000000</v>
      </c>
      <c r="D73" s="40">
        <v>2000000</v>
      </c>
      <c r="E73" s="40">
        <v>2000000</v>
      </c>
      <c r="F73" s="40">
        <v>2000000</v>
      </c>
    </row>
    <row r="74" spans="1:6" s="2" customFormat="1" x14ac:dyDescent="0.25">
      <c r="A74" s="31" t="s">
        <v>3466</v>
      </c>
      <c r="B74" s="2" t="s">
        <v>3467</v>
      </c>
      <c r="C74" s="2" t="s">
        <v>3467</v>
      </c>
      <c r="D74" s="2" t="s">
        <v>3467</v>
      </c>
      <c r="E74" s="2" t="s">
        <v>3467</v>
      </c>
      <c r="F74" s="2" t="s">
        <v>3467</v>
      </c>
    </row>
    <row r="75" spans="1:6" s="2" customFormat="1" x14ac:dyDescent="0.25">
      <c r="A75" s="31" t="s">
        <v>3468</v>
      </c>
      <c r="B75" s="2" t="s">
        <v>3469</v>
      </c>
      <c r="C75" s="2" t="s">
        <v>3469</v>
      </c>
      <c r="D75" s="2" t="s">
        <v>3469</v>
      </c>
      <c r="E75" s="2" t="s">
        <v>3469</v>
      </c>
      <c r="F75" s="2" t="s">
        <v>3469</v>
      </c>
    </row>
    <row r="76" spans="1:6" s="2" customFormat="1" x14ac:dyDescent="0.25">
      <c r="A76" s="31" t="s">
        <v>3470</v>
      </c>
      <c r="B76" s="2" t="s">
        <v>3483</v>
      </c>
      <c r="C76" s="2" t="s">
        <v>3483</v>
      </c>
      <c r="D76" s="2" t="s">
        <v>3483</v>
      </c>
      <c r="E76" s="2" t="s">
        <v>3483</v>
      </c>
      <c r="F76" s="2" t="s">
        <v>3483</v>
      </c>
    </row>
    <row r="77" spans="1:6" s="2" customFormat="1" x14ac:dyDescent="0.25">
      <c r="A77" s="31" t="s">
        <v>3471</v>
      </c>
      <c r="B77" s="2" t="s">
        <v>3459</v>
      </c>
      <c r="C77" s="2" t="s">
        <v>3459</v>
      </c>
      <c r="D77" s="2" t="s">
        <v>3459</v>
      </c>
      <c r="E77" s="2" t="s">
        <v>3459</v>
      </c>
      <c r="F77" s="2" t="s">
        <v>3459</v>
      </c>
    </row>
    <row r="78" spans="1:6" s="2" customFormat="1" x14ac:dyDescent="0.25">
      <c r="A78" s="31" t="s">
        <v>3472</v>
      </c>
      <c r="B78" s="2" t="s">
        <v>3460</v>
      </c>
      <c r="C78" s="2" t="s">
        <v>3460</v>
      </c>
      <c r="D78" s="2" t="s">
        <v>3460</v>
      </c>
      <c r="E78" s="2" t="s">
        <v>3460</v>
      </c>
      <c r="F78" s="2" t="s">
        <v>3460</v>
      </c>
    </row>
    <row r="79" spans="1:6" s="2" customFormat="1" x14ac:dyDescent="0.25">
      <c r="A79" s="31" t="s">
        <v>3473</v>
      </c>
      <c r="B79" s="2" t="s">
        <v>3474</v>
      </c>
      <c r="C79" s="2" t="s">
        <v>3474</v>
      </c>
      <c r="D79" s="2" t="s">
        <v>3474</v>
      </c>
      <c r="E79" s="2" t="s">
        <v>3474</v>
      </c>
      <c r="F79" s="2" t="s">
        <v>3474</v>
      </c>
    </row>
  </sheetData>
  <mergeCells count="1">
    <mergeCell ref="A11:XFD11"/>
  </mergeCells>
  <dataValidations count="6">
    <dataValidation type="whole" errorStyle="information" allowBlank="1" showInputMessage="1" showErrorMessage="1" sqref="B12:F12">
      <formula1>0</formula1>
      <formula2>9.99999999999999E+33</formula2>
    </dataValidation>
    <dataValidation type="whole" errorStyle="information" allowBlank="1" showInputMessage="1" showErrorMessage="1" sqref="B73:F73">
      <formula1>0</formula1>
      <formula2>9.99999999999999E+30</formula2>
    </dataValidation>
    <dataValidation type="list" errorStyle="information" allowBlank="1" showInputMessage="1" showErrorMessage="1" sqref="B67:F67">
      <formula1>ListBank</formula1>
    </dataValidation>
    <dataValidation errorStyle="information" allowBlank="1" showInputMessage="1" showErrorMessage="1" sqref="B68:F69 B13:F35"/>
    <dataValidation type="whole" errorStyle="information" allowBlank="1" showInputMessage="1" showErrorMessage="1" sqref="B37:F64">
      <formula1>0</formula1>
      <formula2>9.99999999999999E+25</formula2>
    </dataValidation>
    <dataValidation type="list" errorStyle="information" allowBlank="1" showInputMessage="1" showErrorMessage="1" sqref="B71:F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6"/>
  <sheetViews>
    <sheetView workbookViewId="0">
      <selection activeCell="H5" sqref="H5"/>
    </sheetView>
  </sheetViews>
  <sheetFormatPr defaultRowHeight="15" x14ac:dyDescent="0.25"/>
  <cols>
    <col min="1" max="1" width="16.140625" bestFit="1" customWidth="1" collapsed="1"/>
    <col min="2" max="3" width="18.140625" bestFit="1" customWidth="1" collapsed="1"/>
  </cols>
  <sheetData>
    <row r="1" spans="1:6" s="2" customFormat="1" x14ac:dyDescent="0.25">
      <c r="A1" s="2"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IF(B12="Yes",COUNTIFS($A$13:$A$16,"*$*",B13:B16,""),0)</f>
        <v>0</v>
      </c>
      <c r="C4" s="2">
        <f t="shared" ref="C4:F4" si="0">IF(C12="Yes",COUNTIFS($A$13:$A$16,"*$*",C13:C16,""),0)</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50" customFormat="1" x14ac:dyDescent="0.25">
      <c r="A12" s="50" t="s">
        <v>3458</v>
      </c>
      <c r="B12" s="51" t="s">
        <v>3395</v>
      </c>
      <c r="C12" s="51" t="s">
        <v>3395</v>
      </c>
      <c r="D12" s="51" t="s">
        <v>3395</v>
      </c>
      <c r="E12" s="51" t="s">
        <v>3395</v>
      </c>
      <c r="F12" s="51" t="s">
        <v>3395</v>
      </c>
    </row>
    <row r="13" spans="1:6" s="2" customFormat="1" x14ac:dyDescent="0.25">
      <c r="A13" s="31" t="s">
        <v>3454</v>
      </c>
      <c r="B13" s="2" t="s">
        <v>3475</v>
      </c>
      <c r="C13" s="2" t="s">
        <v>3475</v>
      </c>
      <c r="D13" s="2" t="s">
        <v>3475</v>
      </c>
      <c r="E13" s="2" t="s">
        <v>3475</v>
      </c>
      <c r="F13" s="2" t="s">
        <v>3475</v>
      </c>
    </row>
    <row r="14" spans="1:6" s="2" customFormat="1" x14ac:dyDescent="0.25">
      <c r="A14" s="2" t="s">
        <v>75</v>
      </c>
      <c r="B14" s="2" t="s">
        <v>3484</v>
      </c>
      <c r="C14" s="2" t="s">
        <v>3484</v>
      </c>
      <c r="D14" s="2" t="s">
        <v>3484</v>
      </c>
      <c r="E14" s="2" t="s">
        <v>3484</v>
      </c>
      <c r="F14" s="2" t="s">
        <v>3484</v>
      </c>
    </row>
    <row r="15" spans="1:6" s="2" customFormat="1" x14ac:dyDescent="0.25">
      <c r="A15" s="31" t="s">
        <v>3455</v>
      </c>
      <c r="B15" s="13" t="s">
        <v>3485</v>
      </c>
      <c r="C15" s="13" t="s">
        <v>3485</v>
      </c>
      <c r="D15" s="13" t="s">
        <v>3485</v>
      </c>
      <c r="E15" s="13" t="s">
        <v>3485</v>
      </c>
      <c r="F15" s="13" t="s">
        <v>3485</v>
      </c>
    </row>
    <row r="16" spans="1:6" s="2" customFormat="1" x14ac:dyDescent="0.25">
      <c r="A16" s="31" t="s">
        <v>3456</v>
      </c>
      <c r="B16" s="2" t="s">
        <v>3460</v>
      </c>
      <c r="C16" s="2" t="s">
        <v>3460</v>
      </c>
      <c r="D16" s="2" t="s">
        <v>3460</v>
      </c>
      <c r="E16" s="2" t="s">
        <v>3460</v>
      </c>
      <c r="F16" s="2" t="s">
        <v>3460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F20"/>
  <sheetViews>
    <sheetView workbookViewId="0">
      <selection activeCell="O8" sqref="O8"/>
    </sheetView>
  </sheetViews>
  <sheetFormatPr defaultRowHeight="15" x14ac:dyDescent="0.25"/>
  <cols>
    <col min="1" max="1" width="15" bestFit="1" customWidth="1" collapsed="1"/>
    <col min="2" max="2" width="30" customWidth="1" collapsed="1"/>
    <col min="3" max="3" width="11.7109375" bestFit="1" customWidth="1" collapsed="1"/>
  </cols>
  <sheetData>
    <row r="1" spans="1:6" s="48" customFormat="1" x14ac:dyDescent="0.25">
      <c r="A1" s="48" t="s">
        <v>4</v>
      </c>
      <c r="B1" t="s">
        <v>2790</v>
      </c>
      <c r="C1" s="48" t="s">
        <v>2790</v>
      </c>
      <c r="D1" s="48" t="s">
        <v>2790</v>
      </c>
      <c r="E1" s="48" t="s">
        <v>2790</v>
      </c>
      <c r="F1" s="48"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COUNTIFS($A$12:$A$18,"*$*",B12:B18,"")</f>
        <v>0</v>
      </c>
      <c r="C4" s="2">
        <f t="shared" ref="C4:F4" si="0">COUNTIFS($A$12:$A$18,"*$*",C12:C18,"")</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43" customFormat="1" x14ac:dyDescent="0.25">
      <c r="B11" s="42"/>
    </row>
    <row r="12" spans="1:6" s="2" customFormat="1" x14ac:dyDescent="0.25">
      <c r="A12" s="30" t="s">
        <v>3420</v>
      </c>
      <c r="B12" s="2" t="s">
        <v>3387</v>
      </c>
      <c r="C12" s="2" t="s">
        <v>3387</v>
      </c>
      <c r="D12" s="2" t="s">
        <v>3387</v>
      </c>
      <c r="E12" s="2" t="s">
        <v>3387</v>
      </c>
      <c r="F12" s="2" t="s">
        <v>3387</v>
      </c>
    </row>
    <row r="13" spans="1:6" s="2" customFormat="1" x14ac:dyDescent="0.25">
      <c r="A13" s="30" t="s">
        <v>3421</v>
      </c>
      <c r="B13" s="41" t="s">
        <v>3383</v>
      </c>
      <c r="C13" s="41" t="s">
        <v>3383</v>
      </c>
      <c r="D13" s="41" t="s">
        <v>3383</v>
      </c>
      <c r="E13" s="41" t="s">
        <v>3383</v>
      </c>
      <c r="F13" s="41" t="s">
        <v>3383</v>
      </c>
    </row>
    <row r="14" spans="1:6" s="2" customFormat="1" x14ac:dyDescent="0.25">
      <c r="A14" s="30" t="s">
        <v>3422</v>
      </c>
      <c r="B14" s="4" t="s">
        <v>3384</v>
      </c>
      <c r="C14" s="4" t="s">
        <v>3384</v>
      </c>
      <c r="D14" s="4" t="s">
        <v>3384</v>
      </c>
      <c r="E14" s="4" t="s">
        <v>3384</v>
      </c>
      <c r="F14" s="4" t="s">
        <v>3384</v>
      </c>
    </row>
    <row r="15" spans="1:6" s="2" customFormat="1" x14ac:dyDescent="0.25">
      <c r="A15" s="2" t="s">
        <v>76</v>
      </c>
      <c r="B15" s="4" t="s">
        <v>3385</v>
      </c>
      <c r="C15" s="4" t="s">
        <v>3385</v>
      </c>
      <c r="D15" s="4" t="s">
        <v>3385</v>
      </c>
      <c r="E15" s="4" t="s">
        <v>3385</v>
      </c>
      <c r="F15" s="4" t="s">
        <v>3385</v>
      </c>
    </row>
    <row r="16" spans="1:6" s="2" customFormat="1" x14ac:dyDescent="0.25">
      <c r="A16" s="2" t="s">
        <v>77</v>
      </c>
    </row>
    <row r="17" spans="1:2" s="2" customFormat="1" x14ac:dyDescent="0.25">
      <c r="A17" s="2" t="s">
        <v>78</v>
      </c>
    </row>
    <row r="18" spans="1:2" s="2" customFormat="1" x14ac:dyDescent="0.25">
      <c r="A18" s="2" t="s">
        <v>14</v>
      </c>
    </row>
    <row r="20" spans="1:2" ht="90" x14ac:dyDescent="0.25">
      <c r="A20" s="12" t="s">
        <v>2791</v>
      </c>
      <c r="B20" s="8" t="s">
        <v>2792</v>
      </c>
    </row>
  </sheetData>
  <dataValidations count="1">
    <dataValidation errorStyle="information" allowBlank="1" showInputMessage="1" showErrorMessage="1" sqref="B12:F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39"/>
  <sheetViews>
    <sheetView topLeftCell="A27" workbookViewId="0">
      <selection activeCell="I29" sqref="I29"/>
    </sheetView>
  </sheetViews>
  <sheetFormatPr defaultRowHeight="15" x14ac:dyDescent="0.25"/>
  <cols>
    <col min="1" max="1" width="34.5703125" style="11" bestFit="1" customWidth="1" collapsed="1"/>
    <col min="2" max="3" width="25" style="9" customWidth="1" collapsed="1"/>
  </cols>
  <sheetData>
    <row r="1" spans="1:6" s="2" customFormat="1" x14ac:dyDescent="0.25">
      <c r="A1" s="1" t="s">
        <v>4</v>
      </c>
      <c r="B1" t="s">
        <v>2790</v>
      </c>
      <c r="C1" s="2" t="s">
        <v>2790</v>
      </c>
      <c r="D1" s="2" t="s">
        <v>2790</v>
      </c>
      <c r="E1" s="2" t="s">
        <v>2790</v>
      </c>
      <c r="F1" s="2" t="s">
        <v>2790</v>
      </c>
    </row>
    <row r="2" spans="1:6" s="2" customFormat="1" x14ac:dyDescent="0.25">
      <c r="A2" s="2" t="s">
        <v>3396</v>
      </c>
      <c r="B2" s="2" t="s">
        <v>3478</v>
      </c>
      <c r="C2" s="2" t="s">
        <v>3478</v>
      </c>
      <c r="D2" s="2" t="s">
        <v>3478</v>
      </c>
      <c r="E2" s="2" t="s">
        <v>3478</v>
      </c>
      <c r="F2" s="2" t="s">
        <v>3478</v>
      </c>
    </row>
    <row r="3" spans="1:6" s="2" customFormat="1" x14ac:dyDescent="0.25">
      <c r="A3" s="2" t="s">
        <v>3397</v>
      </c>
    </row>
    <row r="4" spans="1:6" s="2" customFormat="1" x14ac:dyDescent="0.25">
      <c r="A4" s="2" t="s">
        <v>3398</v>
      </c>
      <c r="B4" s="2">
        <f>COUNTIFS($A$12:$A$39,"*$*",B12:B39,"")</f>
        <v>0</v>
      </c>
      <c r="C4" s="2">
        <f t="shared" ref="C4:F4" si="0">COUNTIFS($A$12:$A$39,"*$*",C12:C39,"")</f>
        <v>0</v>
      </c>
      <c r="D4" s="2">
        <f t="shared" si="0"/>
        <v>0</v>
      </c>
      <c r="E4" s="2">
        <f t="shared" si="0"/>
        <v>0</v>
      </c>
      <c r="F4" s="2">
        <f t="shared" si="0"/>
        <v>0</v>
      </c>
    </row>
    <row r="5" spans="1:6" s="2" customFormat="1" x14ac:dyDescent="0.25"/>
    <row r="6" spans="1:6" s="2" customFormat="1" x14ac:dyDescent="0.25"/>
    <row r="7" spans="1:6" s="2" customFormat="1" x14ac:dyDescent="0.25"/>
    <row r="8" spans="1:6" s="2" customFormat="1" x14ac:dyDescent="0.25"/>
    <row r="9" spans="1:6" s="2" customFormat="1" x14ac:dyDescent="0.25"/>
    <row r="10" spans="1:6" s="2" customFormat="1" x14ac:dyDescent="0.25">
      <c r="A10" s="2" t="s">
        <v>3080</v>
      </c>
      <c r="B10" s="2" t="str">
        <f>'1.CustomerDetail'!B$12</f>
        <v>app1</v>
      </c>
      <c r="C10" s="2" t="str">
        <f>'1.CustomerDetail'!C$12</f>
        <v>app3</v>
      </c>
      <c r="D10" s="2" t="str">
        <f>'1.CustomerDetail'!D$12</f>
        <v>app5</v>
      </c>
      <c r="E10" s="2" t="str">
        <f>'1.CustomerDetail'!E$12</f>
        <v>app7</v>
      </c>
      <c r="F10" s="2" t="str">
        <f>'1.CustomerDetail'!F$12</f>
        <v>app22</v>
      </c>
    </row>
    <row r="11" spans="1:6" s="55" customFormat="1" x14ac:dyDescent="0.25">
      <c r="A11" s="52" t="s">
        <v>3099</v>
      </c>
      <c r="B11" s="53"/>
      <c r="C11" s="54"/>
    </row>
    <row r="12" spans="1:6" s="2" customFormat="1" x14ac:dyDescent="0.25">
      <c r="A12" s="32" t="s">
        <v>3399</v>
      </c>
      <c r="B12" s="10" t="str">
        <f>VLOOKUP(B13,Master!$A:$B,2,FALSE)</f>
        <v>01</v>
      </c>
      <c r="C12" s="10" t="str">
        <f>VLOOKUP(C13,Master!$A:$B,2,FALSE)</f>
        <v>01</v>
      </c>
      <c r="D12" s="10" t="str">
        <f>VLOOKUP(D13,Master!$A:$B,2,FALSE)</f>
        <v>01</v>
      </c>
      <c r="E12" s="10" t="str">
        <f>VLOOKUP(E13,Master!$A:$B,2,FALSE)</f>
        <v>01</v>
      </c>
      <c r="F12" s="10" t="str">
        <f>VLOOKUP(F13,Master!$A:$B,2,FALSE)</f>
        <v>01</v>
      </c>
    </row>
    <row r="13" spans="1:6" s="2" customFormat="1" ht="30" x14ac:dyDescent="0.25">
      <c r="A13" s="30" t="s">
        <v>3400</v>
      </c>
      <c r="B13" s="10" t="s">
        <v>93</v>
      </c>
      <c r="C13" s="10" t="s">
        <v>93</v>
      </c>
      <c r="D13" s="10" t="s">
        <v>93</v>
      </c>
      <c r="E13" s="10" t="s">
        <v>93</v>
      </c>
      <c r="F13" s="10" t="s">
        <v>93</v>
      </c>
    </row>
    <row r="14" spans="1:6" s="2" customFormat="1" x14ac:dyDescent="0.25">
      <c r="A14" s="32" t="s">
        <v>3401</v>
      </c>
      <c r="B14" s="10" t="str">
        <f>VLOOKUP(B15,Master!$D:$E,2,FALSE)</f>
        <v>4</v>
      </c>
      <c r="C14" s="10" t="str">
        <f>VLOOKUP(C15,Master!$D:$E,2,FALSE)</f>
        <v>4</v>
      </c>
      <c r="D14" s="10" t="str">
        <f>VLOOKUP(D15,Master!$D:$E,2,FALSE)</f>
        <v>4</v>
      </c>
      <c r="E14" s="10" t="str">
        <f>VLOOKUP(E15,Master!$D:$E,2,FALSE)</f>
        <v>4</v>
      </c>
      <c r="F14" s="10" t="str">
        <f>VLOOKUP(F15,Master!$D:$E,2,FALSE)</f>
        <v>4</v>
      </c>
    </row>
    <row r="15" spans="1:6" s="2" customFormat="1" ht="30" x14ac:dyDescent="0.25">
      <c r="A15" s="30" t="s">
        <v>3402</v>
      </c>
      <c r="B15" s="6" t="s">
        <v>157</v>
      </c>
      <c r="C15" s="6" t="s">
        <v>157</v>
      </c>
      <c r="D15" s="6" t="s">
        <v>157</v>
      </c>
      <c r="E15" s="6" t="s">
        <v>157</v>
      </c>
      <c r="F15" s="6" t="s">
        <v>157</v>
      </c>
    </row>
    <row r="16" spans="1:6" s="2" customFormat="1" x14ac:dyDescent="0.25">
      <c r="A16" s="32" t="s">
        <v>3403</v>
      </c>
      <c r="B16" s="10" t="str">
        <f>VLOOKUP(B17,Master!$G:$H,2,FALSE)</f>
        <v>e2955</v>
      </c>
      <c r="C16" s="10" t="str">
        <f>VLOOKUP(C17,Master!$G:$H,2,FALSE)</f>
        <v>e2955</v>
      </c>
      <c r="D16" s="10" t="str">
        <f>VLOOKUP(D17,Master!$G:$H,2,FALSE)</f>
        <v>e2955</v>
      </c>
      <c r="E16" s="10" t="str">
        <f>VLOOKUP(E17,Master!$G:$H,2,FALSE)</f>
        <v>e2955</v>
      </c>
      <c r="F16" s="10" t="str">
        <f>VLOOKUP(F17,Master!$G:$H,2,FALSE)</f>
        <v>e2955</v>
      </c>
    </row>
    <row r="17" spans="1:6" s="2" customFormat="1" ht="180" x14ac:dyDescent="0.25">
      <c r="A17" s="30" t="s">
        <v>3404</v>
      </c>
      <c r="B17" s="6" t="s">
        <v>3386</v>
      </c>
      <c r="C17" s="6" t="s">
        <v>3386</v>
      </c>
      <c r="D17" s="6" t="s">
        <v>3386</v>
      </c>
      <c r="E17" s="6" t="s">
        <v>3386</v>
      </c>
      <c r="F17" s="6" t="s">
        <v>3386</v>
      </c>
    </row>
    <row r="18" spans="1:6" s="2" customFormat="1" x14ac:dyDescent="0.25">
      <c r="A18" s="32" t="s">
        <v>3405</v>
      </c>
      <c r="B18" s="10" t="str">
        <f>VLOOKUP(B19,Master!$J:$K,2,FALSE)</f>
        <v>e3820</v>
      </c>
      <c r="C18" s="10" t="str">
        <f>VLOOKUP(C19,Master!$J:$K,2,FALSE)</f>
        <v>e3820</v>
      </c>
      <c r="D18" s="10" t="str">
        <f>VLOOKUP(D19,Master!$J:$K,2,FALSE)</f>
        <v>e3820</v>
      </c>
      <c r="E18" s="10" t="str">
        <f>VLOOKUP(E19,Master!$J:$K,2,FALSE)</f>
        <v>e3820</v>
      </c>
      <c r="F18" s="10" t="str">
        <f>VLOOKUP(F19,Master!$J:$K,2,FALSE)</f>
        <v>e3820</v>
      </c>
    </row>
    <row r="19" spans="1:6" s="2" customFormat="1" ht="30" x14ac:dyDescent="0.25">
      <c r="A19" s="30" t="s">
        <v>3406</v>
      </c>
      <c r="B19" s="6" t="s">
        <v>119</v>
      </c>
      <c r="C19" s="6" t="s">
        <v>119</v>
      </c>
      <c r="D19" s="6" t="s">
        <v>119</v>
      </c>
      <c r="E19" s="6" t="s">
        <v>119</v>
      </c>
      <c r="F19" s="6" t="s">
        <v>119</v>
      </c>
    </row>
    <row r="20" spans="1:6" s="47" customFormat="1" x14ac:dyDescent="0.25">
      <c r="A20" s="44" t="s">
        <v>3100</v>
      </c>
      <c r="B20" s="45"/>
      <c r="C20" s="45"/>
      <c r="D20" s="45"/>
      <c r="E20" s="45"/>
      <c r="F20" s="45"/>
    </row>
    <row r="21" spans="1:6" s="2" customFormat="1" x14ac:dyDescent="0.25">
      <c r="A21" s="1" t="s">
        <v>82</v>
      </c>
      <c r="B21" s="6" t="s">
        <v>2782</v>
      </c>
      <c r="C21" s="6" t="s">
        <v>2782</v>
      </c>
      <c r="D21" s="6" t="s">
        <v>2782</v>
      </c>
      <c r="E21" s="6" t="s">
        <v>2782</v>
      </c>
      <c r="F21" s="6" t="s">
        <v>2782</v>
      </c>
    </row>
    <row r="22" spans="1:6" s="2" customFormat="1" x14ac:dyDescent="0.25">
      <c r="A22" s="32" t="s">
        <v>3407</v>
      </c>
      <c r="B22" s="10" t="str">
        <f>VLOOKUP(B23,Master!$M:$N,2,FALSE)</f>
        <v>0010</v>
      </c>
      <c r="C22" s="10" t="str">
        <f>VLOOKUP(C23,Master!$M:$N,2,FALSE)</f>
        <v>0010</v>
      </c>
      <c r="D22" s="10" t="str">
        <f>VLOOKUP(D23,Master!$M:$N,2,FALSE)</f>
        <v>0010</v>
      </c>
      <c r="E22" s="10" t="str">
        <f>VLOOKUP(E23,Master!$M:$N,2,FALSE)</f>
        <v>0010</v>
      </c>
      <c r="F22" s="10" t="str">
        <f>VLOOKUP(F23,Master!$M:$N,2,FALSE)</f>
        <v>0010</v>
      </c>
    </row>
    <row r="23" spans="1:6" s="2" customFormat="1" ht="90" x14ac:dyDescent="0.25">
      <c r="A23" s="30" t="s">
        <v>3408</v>
      </c>
      <c r="B23" s="6" t="s">
        <v>99</v>
      </c>
      <c r="C23" s="6" t="s">
        <v>99</v>
      </c>
      <c r="D23" s="6" t="s">
        <v>99</v>
      </c>
      <c r="E23" s="6" t="s">
        <v>99</v>
      </c>
      <c r="F23" s="6" t="s">
        <v>99</v>
      </c>
    </row>
    <row r="24" spans="1:6" s="2" customFormat="1" x14ac:dyDescent="0.25">
      <c r="A24" s="1" t="s">
        <v>83</v>
      </c>
      <c r="B24" s="6" t="s">
        <v>2782</v>
      </c>
      <c r="C24" s="6" t="s">
        <v>2782</v>
      </c>
      <c r="D24" s="6" t="s">
        <v>2782</v>
      </c>
      <c r="E24" s="6" t="s">
        <v>2782</v>
      </c>
      <c r="F24" s="6" t="s">
        <v>2782</v>
      </c>
    </row>
    <row r="25" spans="1:6" s="2" customFormat="1" x14ac:dyDescent="0.25">
      <c r="A25" s="1" t="s">
        <v>84</v>
      </c>
      <c r="B25" s="6" t="s">
        <v>2782</v>
      </c>
      <c r="C25" s="6" t="s">
        <v>2782</v>
      </c>
      <c r="D25" s="6" t="s">
        <v>2782</v>
      </c>
      <c r="E25" s="6" t="s">
        <v>2782</v>
      </c>
      <c r="F25" s="6" t="s">
        <v>2782</v>
      </c>
    </row>
    <row r="26" spans="1:6" s="2" customFormat="1" x14ac:dyDescent="0.25">
      <c r="A26" s="1" t="s">
        <v>85</v>
      </c>
      <c r="B26" s="6"/>
      <c r="C26" s="6"/>
      <c r="D26" s="6"/>
      <c r="E26" s="6"/>
      <c r="F26" s="6"/>
    </row>
    <row r="27" spans="1:6" s="2" customFormat="1" x14ac:dyDescent="0.25">
      <c r="A27" s="32" t="s">
        <v>3409</v>
      </c>
      <c r="B27" s="10" t="str">
        <f>VLOOKUP(B28,Master!$AN:$AO,2,FALSE)</f>
        <v>10</v>
      </c>
      <c r="C27" s="10" t="str">
        <f>VLOOKUP(C28,Master!$AN:$AO,2,FALSE)</f>
        <v>11</v>
      </c>
      <c r="D27" s="10" t="str">
        <f>VLOOKUP(D28,Master!$AN:$AO,2,FALSE)</f>
        <v>12</v>
      </c>
      <c r="E27" s="10" t="str">
        <f>VLOOKUP(E28,Master!$AN:$AO,2,FALSE)</f>
        <v>13</v>
      </c>
      <c r="F27" s="10" t="str">
        <f>VLOOKUP(F28,Master!$AN:$AO,2,FALSE)</f>
        <v>14</v>
      </c>
    </row>
    <row r="28" spans="1:6" s="2" customFormat="1" ht="45" x14ac:dyDescent="0.25">
      <c r="A28" s="1" t="s">
        <v>86</v>
      </c>
      <c r="B28" s="6" t="s">
        <v>2783</v>
      </c>
      <c r="C28" s="6" t="s">
        <v>2784</v>
      </c>
      <c r="D28" s="6" t="s">
        <v>2785</v>
      </c>
      <c r="E28" s="6" t="s">
        <v>2786</v>
      </c>
      <c r="F28" s="6" t="s">
        <v>2787</v>
      </c>
    </row>
    <row r="29" spans="1:6" s="2" customFormat="1" ht="30" x14ac:dyDescent="0.25">
      <c r="A29" s="1" t="s">
        <v>87</v>
      </c>
      <c r="B29" s="38" t="s">
        <v>3489</v>
      </c>
      <c r="C29" s="38" t="s">
        <v>3489</v>
      </c>
      <c r="D29" s="38" t="s">
        <v>3489</v>
      </c>
      <c r="E29" s="38" t="s">
        <v>3489</v>
      </c>
      <c r="F29" s="38" t="s">
        <v>3489</v>
      </c>
    </row>
    <row r="30" spans="1:6" s="2" customFormat="1" x14ac:dyDescent="0.25">
      <c r="A30" s="32" t="s">
        <v>3410</v>
      </c>
      <c r="B30" s="10" t="str">
        <f>VLOOKUP(B31,Master!$P:$Q,2,FALSE)</f>
        <v>0110</v>
      </c>
      <c r="C30" s="10" t="str">
        <f>VLOOKUP(C31,Master!$P:$Q,2,FALSE)</f>
        <v>0110</v>
      </c>
      <c r="D30" s="10" t="str">
        <f>VLOOKUP(D31,Master!$P:$Q,2,FALSE)</f>
        <v>0110</v>
      </c>
      <c r="E30" s="10" t="str">
        <f>VLOOKUP(E31,Master!$P:$Q,2,FALSE)</f>
        <v>0110</v>
      </c>
      <c r="F30" s="10" t="str">
        <f>VLOOKUP(F31,Master!$P:$Q,2,FALSE)</f>
        <v>0110</v>
      </c>
    </row>
    <row r="31" spans="1:6" s="2" customFormat="1" ht="105" x14ac:dyDescent="0.25">
      <c r="A31" s="30" t="s">
        <v>3411</v>
      </c>
      <c r="B31" s="6" t="s">
        <v>101</v>
      </c>
      <c r="C31" s="6" t="s">
        <v>101</v>
      </c>
      <c r="D31" s="6" t="s">
        <v>101</v>
      </c>
      <c r="E31" s="6" t="s">
        <v>101</v>
      </c>
      <c r="F31" s="6" t="s">
        <v>101</v>
      </c>
    </row>
    <row r="32" spans="1:6" s="2" customFormat="1" x14ac:dyDescent="0.25">
      <c r="A32" s="30" t="s">
        <v>3412</v>
      </c>
      <c r="B32" s="6" t="s">
        <v>2782</v>
      </c>
      <c r="C32" s="6" t="s">
        <v>2782</v>
      </c>
      <c r="D32" s="6" t="s">
        <v>2782</v>
      </c>
      <c r="E32" s="6" t="s">
        <v>2782</v>
      </c>
      <c r="F32" s="6" t="s">
        <v>2782</v>
      </c>
    </row>
    <row r="33" spans="1:6" s="2" customFormat="1" x14ac:dyDescent="0.25">
      <c r="A33" s="32" t="s">
        <v>3413</v>
      </c>
      <c r="B33" s="10" t="str">
        <f>VLOOKUP(B34,Master!$V:$W,2,FALSE)</f>
        <v>00055</v>
      </c>
      <c r="C33" s="10" t="str">
        <f>VLOOKUP(C34,Master!$V:$W,2,FALSE)</f>
        <v>00055</v>
      </c>
      <c r="D33" s="10" t="str">
        <f>VLOOKUP(D34,Master!$V:$W,2,FALSE)</f>
        <v>00055</v>
      </c>
      <c r="E33" s="10" t="str">
        <f>VLOOKUP(E34,Master!$V:$W,2,FALSE)</f>
        <v>00055</v>
      </c>
      <c r="F33" s="10" t="str">
        <f>VLOOKUP(F34,Master!$V:$W,2,FALSE)</f>
        <v>00055</v>
      </c>
    </row>
    <row r="34" spans="1:6" s="2" customFormat="1" ht="45" x14ac:dyDescent="0.25">
      <c r="A34" s="30" t="s">
        <v>3414</v>
      </c>
      <c r="B34" s="6" t="s">
        <v>105</v>
      </c>
      <c r="C34" s="6" t="s">
        <v>105</v>
      </c>
      <c r="D34" s="6" t="s">
        <v>105</v>
      </c>
      <c r="E34" s="6" t="s">
        <v>105</v>
      </c>
      <c r="F34" s="6" t="s">
        <v>105</v>
      </c>
    </row>
    <row r="35" spans="1:6" s="2" customFormat="1" ht="60" x14ac:dyDescent="0.25">
      <c r="A35" s="32" t="s">
        <v>3415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r="36" spans="1:6" s="2" customFormat="1" ht="45" x14ac:dyDescent="0.25">
      <c r="A36" s="30" t="s">
        <v>3416</v>
      </c>
      <c r="B36" s="6" t="s">
        <v>107</v>
      </c>
      <c r="C36" s="6" t="s">
        <v>107</v>
      </c>
      <c r="D36" s="6" t="s">
        <v>107</v>
      </c>
      <c r="E36" s="6" t="s">
        <v>107</v>
      </c>
      <c r="F36" s="6" t="s">
        <v>107</v>
      </c>
    </row>
    <row r="37" spans="1:6" s="2" customFormat="1" ht="30" x14ac:dyDescent="0.25">
      <c r="A37" s="32" t="s">
        <v>3417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r="38" spans="1:6" s="2" customFormat="1" ht="30" x14ac:dyDescent="0.25">
      <c r="A38" s="30" t="s">
        <v>3418</v>
      </c>
      <c r="B38" s="6" t="s">
        <v>111</v>
      </c>
      <c r="C38" s="6" t="s">
        <v>111</v>
      </c>
      <c r="D38" s="6" t="s">
        <v>111</v>
      </c>
      <c r="E38" s="6" t="s">
        <v>111</v>
      </c>
      <c r="F38" s="6" t="s">
        <v>111</v>
      </c>
    </row>
    <row r="39" spans="1:6" s="2" customFormat="1" ht="30" x14ac:dyDescent="0.25">
      <c r="A39" s="30" t="s">
        <v>3419</v>
      </c>
      <c r="B39" s="38" t="s">
        <v>3392</v>
      </c>
      <c r="C39" s="38" t="s">
        <v>3392</v>
      </c>
      <c r="D39" s="38" t="s">
        <v>3392</v>
      </c>
      <c r="E39" s="38" t="s">
        <v>3392</v>
      </c>
      <c r="F39" s="38" t="s">
        <v>3392</v>
      </c>
    </row>
  </sheetData>
  <mergeCells count="1">
    <mergeCell ref="A11:XFD11"/>
  </mergeCells>
  <dataValidations count="12">
    <dataValidation type="list" errorStyle="information" allowBlank="1" showInputMessage="1" showErrorMessage="1" sqref="B13:F13">
      <formula1>ListDebtGroup</formula1>
    </dataValidation>
    <dataValidation type="list" errorStyle="information" allowBlank="1" showInputMessage="1" showErrorMessage="1" sqref="B15:F15">
      <formula1>ListDebtorBusinessScale</formula1>
    </dataValidation>
    <dataValidation type="list" errorStyle="information" allowBlank="1" showInputMessage="1" showErrorMessage="1" sqref="B17:F17">
      <formula1>ListCounterpart</formula1>
    </dataValidation>
    <dataValidation type="list" errorStyle="information" allowBlank="1" showInputMessage="1" showErrorMessage="1" sqref="B19:F19">
      <formula1>ListSusFinBus</formula1>
    </dataValidation>
    <dataValidation type="list" errorStyle="information" allowBlank="1" showInputMessage="1" showErrorMessage="1" sqref="B23:F23">
      <formula1>ListDebtGroupSLIK</formula1>
    </dataValidation>
    <dataValidation type="list" errorStyle="information" allowBlank="1" showInputMessage="1" showErrorMessage="1" sqref="B31:F31">
      <formula1>ListAfWiMult</formula1>
    </dataValidation>
    <dataValidation type="list" errorStyle="information" allowBlank="1" showInputMessage="1" showErrorMessage="1" sqref="B34:F34">
      <formula1>ListCSPUSL</formula1>
    </dataValidation>
    <dataValidation type="list" errorStyle="information" allowBlank="1" showInputMessage="1" showErrorMessage="1" sqref="B36:F36">
      <formula1>ListPaymentTypeAML</formula1>
    </dataValidation>
    <dataValidation type="list" errorStyle="information" allowBlank="1" showInputMessage="1" showErrorMessage="1" sqref="B38:F38">
      <formula1>ListBusinessSource</formula1>
    </dataValidation>
    <dataValidation type="list" errorStyle="information" allowBlank="1" showInputMessage="1" showErrorMessage="1" sqref="B28:F28">
      <formula1>ListRating</formula1>
    </dataValidation>
    <dataValidation type="list" errorStyle="information" allowBlank="1" showInputMessage="1" showErrorMessage="1" sqref="B24:F25 B32:F32 B21:F21">
      <formula1>"YES, NO"</formula1>
    </dataValidation>
    <dataValidation errorStyle="information" allowBlank="1" showInputMessage="1" showErrorMessage="1" sqref="B39:F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abSelected="1"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cp:lastPrinted>2022-05-18T07:35:58Z</cp:lastPrinted>
  <dcterms:created xsi:type="dcterms:W3CDTF">2022-05-18T03:15:26Z</dcterms:created>
  <dcterms:modified xsi:type="dcterms:W3CDTF">2023-01-16T00:27:59Z</dcterms:modified>
</cp:coreProperties>
</file>