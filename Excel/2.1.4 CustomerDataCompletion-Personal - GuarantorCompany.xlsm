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firstSheet="1"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4" r="C4"/>
  <c i="4" r="B4"/>
  <c i="5" l="1" r="B4"/>
  <c i="2" l="1" r="C10"/>
  <c i="2" r="B10"/>
  <c i="2" r="C4"/>
  <c i="4" l="1" r="B66"/>
  <c i="1" l="1" r="B4"/>
  <c i="2" r="B4"/>
  <c i="3" r="B4"/>
  <c i="6" r="B4"/>
  <c i="7" r="B4"/>
  <c i="7" l="1" r="C12"/>
  <c i="7" r="C14"/>
  <c i="7" r="C16"/>
  <c i="7" r="C18"/>
  <c i="7" r="C22"/>
  <c i="7" r="C27"/>
  <c i="7" r="C30"/>
  <c i="7" r="C33"/>
  <c i="7" r="C35"/>
  <c i="7" r="C37"/>
  <c i="4" r="C66"/>
  <c i="4" r="D66"/>
  <c i="4" r="E66"/>
  <c i="1" r="C20"/>
  <c i="1" r="B12"/>
  <c i="4" l="1" r="C9"/>
  <c i="4" r="B9"/>
  <c i="2" r="C9"/>
  <c i="2" r="B9"/>
  <c i="7"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<sst xmlns="http://schemas.openxmlformats.org/spreadsheetml/2006/main" count="3731" uniqueCount="3489">
  <si>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</si>
  <si>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</si>
  <si>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</si>
  <si>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</si>
  <si>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</si>
  <si>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</si>
  <si>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</si>
  <si>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</si>
  <si>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</si>
  <si>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</si>
  <si>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</si>
  <si>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</si>
  <si>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</si>
  <si>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</si>
  <si>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</si>
  <si>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</si>
  <si>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</si>
  <si>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</si>
  <si>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</si>
  <si>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</si>
  <si>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</si>
  <si>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</si>
  <si>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</si>
  <si>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</si>
  <si>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</si>
  <si>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</si>
  <si>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</si>
  <si>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</si>
  <si>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</si>
  <si>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</si>
  <si>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</si>
  <si>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</si>
  <si>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</si>
  <si>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</si>
  <si>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</si>
  <si>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</si>
  <si>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</si>
  <si>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</si>
  <si>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</si>
  <si>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</si>
  <si>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</si>
  <si>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</si>
  <si>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</si>
  <si>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</si>
  <si>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</si>
  <si>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</si>
  <si>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</si>
  <si>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</si>
  <si>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</si>
  <si>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</si>
  <si>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</si>
  <si>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</si>
  <si>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</si>
  <si>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</si>
  <si>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</si>
  <si>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</si>
  <si>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</si>
  <si>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</si>
  <si>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</si>
  <si>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</si>
  <si>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</si>
  <si>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</si>
  <si>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</si>
  <si>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</si>
  <si>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</si>
  <si>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</si>
  <si>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</si>
  <si>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</si>
  <si>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</si>
  <si>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</si>
  <si>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</si>
  <si>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</si>
  <si>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</si>
  <si>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</si>
  <si>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</si>
  <si>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</si>
  <si>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</si>
  <si>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</si>
  <si>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</si>
  <si>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</si>
  <si>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</si>
  <si>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</si>
  <si>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</si>
  <si>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</si>
  <si>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</si>
  <si>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</si>
  <si>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</si>
  <si>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</si>
  <si>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</si>
  <si>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</si>
  <si>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</si>
  <si>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</si>
  <si>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</si>
  <si>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</si>
  <si>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</si>
  <si>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</si>
  <si>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</si>
  <si>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</si>
  <si>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</si>
  <si>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</si>
  <si>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</si>
  <si>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</si>
  <si>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</si>
  <si>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</si>
  <si>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</si>
  <si>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</si>
  <si>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</si>
  <si>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</si>
  <si>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</si>
  <si>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</si>
  <si>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</si>
  <si>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</si>
  <si>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</si>
  <si>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</si>
  <si>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</si>
  <si>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</si>
  <si>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</si>
  <si>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</si>
  <si>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</si>
  <si>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</si>
  <si>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</si>
  <si>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</si>
  <si>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</si>
  <si>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</si>
  <si>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</si>
  <si>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</si>
  <si>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</si>
  <si>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</si>
  <si>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</si>
  <si>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</si>
  <si>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</si>
  <si>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</si>
  <si>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</si>
  <si>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</si>
  <si>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</si>
  <si>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</si>
  <si>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</si>
  <si>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</si>
  <si>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</si>
  <si>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</si>
  <si>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</si>
  <si>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</si>
  <si>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</si>
  <si>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</si>
  <si>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</si>
  <si>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</si>
  <si>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</si>
  <si>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</si>
  <si>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</si>
  <si>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</si>
  <si>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</si>
  <si>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</si>
  <si>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</si>
  <si>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</si>
  <si>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</si>
  <si>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</si>
  <si>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</si>
  <si>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</si>
  <si>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</si>
  <si>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</si>
  <si>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</si>
  <si>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</si>
  <si>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</si>
  <si>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</si>
  <si>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</si>
  <si>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</si>
  <si>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</si>
  <si>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</si>
  <si>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</si>
  <si>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</si>
  <si>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</si>
  <si>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</si>
  <si>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</si>
  <si>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</si>
  <si>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</si>
  <si>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</si>
  <si>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</si>
  <si>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</si>
  <si>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</si>
  <si>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</si>
  <si>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</si>
  <si>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</si>
  <si>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</si>
  <si>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</si>
  <si>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</si>
  <si>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</si>
  <si>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</si>
  <si>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</si>
  <si>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</si>
  <si>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</si>
  <si>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</si>
  <si>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</si>
  <si>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</si>
  <si>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</si>
  <si>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</si>
  <si>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</si>
  <si>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</si>
  <si>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</si>
  <si>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</si>
  <si>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</si>
  <si>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</si>
  <si>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</si>
  <si>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</si>
  <si>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</si>
  <si>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</si>
  <si>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</si>
  <si>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</si>
  <si>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</si>
  <si>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</si>
  <si>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</si>
  <si>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</si>
  <si>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</si>
  <si>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</si>
  <si>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</si>
  <si>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</si>
  <si>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</si>
  <si>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</si>
  <si>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</si>
  <si>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</si>
  <si>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</si>
  <si>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</si>
  <si>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</si>
  <si>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</si>
  <si>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</si>
  <si>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</si>
  <si>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</si>
  <si>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</si>
  <si>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</si>
  <si>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</si>
  <si>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</si>
  <si>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</si>
  <si>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</si>
  <si>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</si>
  <si>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</si>
  <si>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</si>
  <si>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</si>
  <si>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</si>
  <si>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</si>
  <si>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</si>
  <si>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</si>
  <si>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</si>
  <si>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</si>
  <si>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</si>
  <si>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</si>
  <si>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</si>
  <si>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</si>
  <si>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</si>
  <si>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</si>
  <si>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</si>
  <si>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</si>
  <si>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</si>
  <si>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</si>
  <si>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</si>
  <si>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</si>
  <si>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</si>
  <si>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</si>
  <si>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</si>
  <si>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</si>
  <si>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</si>
  <si>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</si>
  <si>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</si>
  <si>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</si>
  <si>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</si>
  <si>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</si>
  <si>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</si>
  <si>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</si>
  <si>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</si>
  <si>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</si>
  <si>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</si>
  <si>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</si>
  <si>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</si>
  <si>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</si>
  <si>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</si>
  <si>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</si>
  <si>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</si>
  <si>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</si>
  <si>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</si>
  <si>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</si>
  <si>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</si>
  <si>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</si>
  <si>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</si>
  <si>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</si>
  <si>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</si>
  <si>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</si>
  <si>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</si>
  <si>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</si>
  <si>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</si>
  <si>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</si>
  <si>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</si>
  <si>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</si>
  <si>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</si>
  <si>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</si>
  <si>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</si>
  <si>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</si>
  <si>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</si>
  <si>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</si>
  <si>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</si>
  <si>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</si>
  <si>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</si>
  <si>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</si>
  <si>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</si>
  <si>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</si>
  <si>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</si>
  <si>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</si>
  <si>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</si>
  <si>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</si>
  <si>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</si>
  <si>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</si>
  <si>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</si>
  <si>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</si>
  <si>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</si>
  <si>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</si>
  <si>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</si>
  <si>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</si>
  <si>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</si>
  <si>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</si>
  <si>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</si>
  <si>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</si>
  <si>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</si>
  <si>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</si>
  <si>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</si>
  <si>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</si>
  <si>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</si>
  <si>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</si>
  <si>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</si>
  <si>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</si>
  <si>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</si>
  <si>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</si>
  <si>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</si>
  <si>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</si>
  <si>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</si>
  <si>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</si>
  <si>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</si>
  <si>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</si>
  <si>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</si>
  <si>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</si>
  <si>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</si>
  <si>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</si>
  <si>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</si>
  <si>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</si>
  <si>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</si>
  <si>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</si>
  <si>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</si>
  <si>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</si>
  <si>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</si>
  <si>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</si>
  <si>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</si>
  <si>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</si>
  <si>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</si>
  <si>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</si>
  <si>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</si>
  <si>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</si>
  <si>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</si>
  <si>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</si>
  <si>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</si>
  <si>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</si>
  <si>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</si>
  <si>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</si>
  <si>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</si>
  <si>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</si>
  <si>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</si>
  <si>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</si>
  <si>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</si>
  <si>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</si>
  <si>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</si>
  <si>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</si>
  <si>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</si>
  <si>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</si>
  <si>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</si>
  <si>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</si>
  <si>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</si>
  <si>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</si>
  <si>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</si>
  <si>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</si>
  <si>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</si>
  <si>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</si>
  <si>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</si>
  <si>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</si>
  <si>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</si>
  <si>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</si>
  <si>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</si>
  <si>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</si>
  <si>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</si>
  <si>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</si>
  <si>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</si>
  <si>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</si>
  <si>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</si>
  <si>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</si>
  <si>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</si>
  <si>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</si>
  <si>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</si>
  <si>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</si>
  <si>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</si>
  <si>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</si>
  <si>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</si>
  <si>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</si>
  <si>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</si>
  <si>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</si>
  <si>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</si>
  <si>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</si>
  <si>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</si>
  <si>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</si>
  <si>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</si>
  <si>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</si>
  <si>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</si>
  <si>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</si>
  <si>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</si>
  <si>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</si>
  <si>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</si>
  <si>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</si>
  <si>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</si>
  <si>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</si>
  <si>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</si>
  <si>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</si>
  <si>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</si>
  <si>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</si>
  <si>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</si>
  <si>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</si>
  <si>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</si>
  <si>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</si>
  <si>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</si>
  <si>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</si>
  <si>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</si>
  <si>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</si>
  <si>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</si>
  <si>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</si>
  <si>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</si>
  <si>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</si>
  <si>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</si>
  <si>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</si>
  <si>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</si>
  <si>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</si>
  <si>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</si>
  <si>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</si>
  <si>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</si>
  <si>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</si>
  <si>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</si>
  <si>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</si>
  <si>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</si>
  <si>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</si>
  <si>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</si>
  <si>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</si>
  <si>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</si>
  <si>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</si>
  <si>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</si>
  <si>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</si>
  <si>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</si>
  <si>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</si>
  <si>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</si>
  <si>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</si>
  <si>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</si>
  <si>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</si>
  <si>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</si>
  <si>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</si>
  <si>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</si>
  <si>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</si>
  <si>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</si>
  <si>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</si>
  <si>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</si>
  <si>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</si>
  <si>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</si>
  <si>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</si>
  <si>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</si>
  <si>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</si>
  <si>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</si>
  <si>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</si>
  <si>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</si>
  <si>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</si>
  <si>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</si>
  <si>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</si>
  <si>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</si>
  <si>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</si>
  <si>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</si>
  <si>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</si>
  <si>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</si>
  <si>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</si>
  <si>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</si>
  <si>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</si>
  <si>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</si>
  <si>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</si>
  <si>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</si>
  <si>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</si>
  <si>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</si>
  <si>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</si>
  <si>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</si>
  <si>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</si>
  <si>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</si>
  <si>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</si>
  <si>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</si>
  <si>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</si>
  <si>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</si>
  <si>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</si>
  <si>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</si>
  <si>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</si>
  <si>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</si>
  <si>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</si>
  <si>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</si>
  <si>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</si>
  <si>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</si>
  <si>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</si>
  <si>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</si>
  <si>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</si>
  <si>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</si>
  <si>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</si>
  <si>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</si>
  <si>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</si>
  <si>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</si>
  <si>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</si>
  <si>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</si>
  <si>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</si>
  <si>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</si>
  <si>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</si>
  <si>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</si>
  <si>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</si>
  <si>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</si>
  <si>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</si>
  <si>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</si>
  <si>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</si>
  <si>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</si>
  <si>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</si>
  <si>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</si>
  <si>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</si>
  <si>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</si>
  <si>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</si>
  <si>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</si>
  <si>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</si>
  <si>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</si>
  <si>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</si>
  <si>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</si>
  <si>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</si>
  <si>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</si>
  <si>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</si>
  <si>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</si>
  <si>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</si>
  <si>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</si>
  <si>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</si>
  <si>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</si>
  <si>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</si>
  <si>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</si>
  <si>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</si>
  <si>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</si>
  <si>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</si>
  <si>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</si>
  <si>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</si>
  <si>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</si>
  <si>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</si>
  <si>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</si>
  <si>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</si>
  <si>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</si>
  <si>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</si>
  <si>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</si>
  <si>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</si>
  <si>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</si>
  <si>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</si>
  <si>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</si>
  <si>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</si>
  <si>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</si>
  <si>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</si>
  <si>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</si>
  <si>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</si>
  <si>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</si>
  <si>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</si>
  <si>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</si>
  <si>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</si>
  <si>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</si>
  <si>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</si>
  <si>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</si>
  <si>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</si>
  <si>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</si>
  <si>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</si>
  <si>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</si>
  <si>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</si>
  <si>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</si>
  <si>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</si>
  <si>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</si>
  <si>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</si>
  <si>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</si>
  <si>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</si>
  <si>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</si>
  <si>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</si>
  <si>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</si>
  <si>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</si>
  <si>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</si>
  <si>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</si>
  <si>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</si>
  <si>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</si>
  <si>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</si>
  <si>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</si>
  <si>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</si>
  <si>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</si>
  <si>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</si>
  <si>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</si>
  <si>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</si>
  <si>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</si>
  <si>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</si>
  <si>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</si>
  <si>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</si>
  <si>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</si>
  <si>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</si>
  <si>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</si>
  <si>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</si>
  <si>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</si>
  <si>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</si>
  <si>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</si>
  <si>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</si>
  <si>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</si>
  <si>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</si>
  <si>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</si>
  <si>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</si>
  <si>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</si>
  <si>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</si>
  <si>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</si>
  <si>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</si>
  <si>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</si>
  <si>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</si>
  <si>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</si>
  <si>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</si>
  <si>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</si>
  <si>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</si>
  <si>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</si>
  <si>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</si>
  <si>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</si>
  <si>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</si>
  <si>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</si>
  <si>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</si>
  <si>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</si>
  <si>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</si>
  <si>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</si>
  <si>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</si>
  <si>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</si>
  <si>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</si>
  <si>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</si>
  <si>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</si>
  <si>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</si>
  <si>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</si>
  <si>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</si>
  <si>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</si>
  <si>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</si>
  <si>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</si>
  <si>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</si>
  <si>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</si>
  <si>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</si>
  <si>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</si>
  <si>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</si>
  <si>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</si>
  <si>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</si>
  <si>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</si>
  <si>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</si>
  <si>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</si>
  <si>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</si>
  <si>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</si>
  <si>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</si>
  <si>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</si>
  <si>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</si>
  <si>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</si>
  <si>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</si>
  <si>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</si>
  <si>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</si>
  <si>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</si>
  <si>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</si>
  <si>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</si>
  <si>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</si>
  <si>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</si>
  <si>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</si>
  <si>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</si>
  <si>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</si>
  <si>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</si>
  <si>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</si>
  <si>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</si>
  <si>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</si>
  <si>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</si>
  <si>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</si>
  <si>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</si>
  <si>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</si>
  <si>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</si>
  <si>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</si>
  <si>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</si>
  <si>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</si>
  <si>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</si>
  <si>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</si>
  <si>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</si>
  <si>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</si>
  <si>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</si>
  <si>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</si>
  <si>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</si>
  <si>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</si>
  <si>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</si>
  <si>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</si>
  <si>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</si>
  <si>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</si>
  <si>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</si>
  <si>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</si>
  <si>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</si>
  <si>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</si>
  <si>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</si>
  <si>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</si>
  <si>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</si>
  <si>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</si>
  <si>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</si>
  <si>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</si>
  <si>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</si>
  <si>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</si>
  <si>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</si>
  <si>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</si>
  <si>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</si>
  <si>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</si>
  <si>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</si>
  <si>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</si>
  <si>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</si>
  <si>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</si>
  <si>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</si>
  <si>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</si>
  <si>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</si>
  <si>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</si>
  <si>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</si>
  <si>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</si>
  <si>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</si>
  <si>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</si>
  <si>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</si>
  <si>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</si>
  <si>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</si>
  <si>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</si>
  <si>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</si>
  <si>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</si>
  <si>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</si>
  <si>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</si>
  <si>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</si>
  <si>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</si>
  <si>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</si>
  <si>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</si>
  <si>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</si>
  <si>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</si>
  <si>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</si>
  <si>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</si>
  <si>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</si>
  <si>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</si>
  <si>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</si>
  <si>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</si>
  <si>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</si>
  <si>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</si>
  <si>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</si>
  <si>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</si>
  <si>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</si>
  <si>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</si>
  <si>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</si>
  <si>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</si>
  <si>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</si>
  <si>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</si>
  <si>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</si>
  <si>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</si>
  <si>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</si>
  <si>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</si>
  <si>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</si>
  <si>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</si>
  <si>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</si>
  <si>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</si>
  <si>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</si>
  <si>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</si>
  <si>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</si>
  <si>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</si>
  <si>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</si>
  <si>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</si>
  <si>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</si>
  <si>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</si>
  <si>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</si>
  <si>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</si>
  <si>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</si>
  <si>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</si>
  <si>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</si>
  <si>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</si>
  <si>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</si>
  <si>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</si>
  <si>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</si>
  <si>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</si>
  <si>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</si>
  <si>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</si>
  <si>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</si>
  <si>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</si>
  <si>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</si>
  <si>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</si>
  <si>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</si>
  <si>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</si>
  <si>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</si>
  <si>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</si>
  <si>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</si>
  <si>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</si>
  <si>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</si>
  <si>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</si>
  <si>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</si>
  <si>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</si>
  <si>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</si>
  <si>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</si>
  <si>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</si>
  <si>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</si>
  <si>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</si>
  <si>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</si>
  <si>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</si>
  <si>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</si>
  <si>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</si>
  <si>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</si>
  <si>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</si>
  <si>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</si>
  <si>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</si>
  <si>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</si>
  <si>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</si>
  <si>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</si>
  <si>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</si>
  <si>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</si>
  <si>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</si>
  <si>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</si>
  <si>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</si>
  <si>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</si>
  <si>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</si>
  <si>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</si>
  <si>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</si>
  <si>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</si>
  <si>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</si>
  <si>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</si>
  <si>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</si>
  <si>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</si>
  <si>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</si>
  <si>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</si>
  <si>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</si>
  <si>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</si>
  <si>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</si>
  <si>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</si>
  <si>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</si>
  <si>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</si>
  <si>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</si>
  <si>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</si>
  <si>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</si>
  <si>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</si>
  <si>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</si>
  <si>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</si>
  <si>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</si>
  <si>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</si>
  <si>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</si>
  <si>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</si>
  <si>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</si>
  <si>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</si>
  <si>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</si>
  <si>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</si>
  <si>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</si>
  <si>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</si>
  <si>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</si>
  <si>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</si>
  <si>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</si>
  <si>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</si>
  <si>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</si>
  <si>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</si>
  <si>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</si>
  <si>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</si>
  <si>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</si>
  <si>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</si>
  <si>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</si>
  <si>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</si>
  <si>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</si>
  <si>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</si>
  <si>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</si>
  <si>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</si>
  <si>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</si>
  <si>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</si>
  <si>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</si>
  <si>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</si>
  <si>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</si>
  <si>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</si>
  <si>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</si>
  <si>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</si>
  <si>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</si>
  <si>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</si>
  <si>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</si>
  <si>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</si>
  <si>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</si>
  <si>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</si>
  <si>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</si>
  <si>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</si>
  <si>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</si>
  <si>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</si>
  <si>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</si>
  <si>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</si>
  <si>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</si>
  <si>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</si>
  <si>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</si>
  <si>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</si>
  <si>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</si>
  <si>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</si>
  <si>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</si>
  <si>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</si>
  <si>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</si>
  <si>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</si>
  <si>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</si>
  <si>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</si>
  <si>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</si>
  <si>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</si>
  <si>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</si>
  <si>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</si>
  <si>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</si>
  <si>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</si>
  <si>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</si>
  <si>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</si>
  <si>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</si>
  <si>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</si>
  <si>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</si>
  <si>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</si>
  <si>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</si>
  <si>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</si>
  <si>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</si>
  <si>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</si>
  <si>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</si>
  <si>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</si>
  <si>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</si>
  <si>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</si>
  <si>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</si>
  <si>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</si>
  <si>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</si>
  <si>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</si>
  <si>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</si>
  <si>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</si>
  <si>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</si>
  <si>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</si>
  <si>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</si>
  <si>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</si>
  <si>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</si>
  <si>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</si>
  <si>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</si>
  <si>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</si>
  <si>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</si>
  <si>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</si>
  <si>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</si>
  <si>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</si>
  <si>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</si>
  <si>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</si>
  <si>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</si>
  <si>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</si>
  <si>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</si>
  <si>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</si>
  <si>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</si>
  <si>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</si>
  <si>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</si>
  <si>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</si>
  <si>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</si>
  <si>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</si>
  <si>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</si>
  <si>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</si>
  <si>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</si>
  <si>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</si>
  <si>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</si>
  <si>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</si>
  <si>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</si>
  <si>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</si>
  <si>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</si>
  <si>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</si>
  <si>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</si>
  <si>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</si>
  <si>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</si>
  <si>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</si>
  <si>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</si>
  <si>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</si>
  <si>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</si>
  <si>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</si>
  <si>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</si>
  <si>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</si>
  <si>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</si>
  <si>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</si>
  <si>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</si>
  <si>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</si>
  <si>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</si>
  <si>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</si>
  <si>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</si>
  <si>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</si>
  <si>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</si>
  <si>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</si>
  <si>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</si>
  <si>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</si>
  <si>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</si>
  <si>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</si>
  <si>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</si>
  <si>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</si>
  <si>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</si>
  <si>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</si>
  <si>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</si>
  <si>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</si>
  <si>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</si>
  <si>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</si>
  <si>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</si>
  <si>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</si>
  <si>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</si>
  <si>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</si>
  <si>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</si>
  <si>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</si>
  <si>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</si>
  <si>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</si>
  <si>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</si>
  <si>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</si>
  <si>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</si>
  <si>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</si>
  <si>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</si>
  <si>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</si>
  <si>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</si>
  <si>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</si>
  <si>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</si>
  <si>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</si>
  <si>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</si>
  <si>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</si>
  <si>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</si>
  <si>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</si>
  <si>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</si>
  <si>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</si>
  <si>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</si>
  <si>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</si>
  <si>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</si>
  <si>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</si>
  <si>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</si>
  <si>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</si>
  <si>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</si>
  <si>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</si>
  <si>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</si>
  <si>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</si>
  <si>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</si>
  <si>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</si>
  <si>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</si>
  <si>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</si>
  <si>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</si>
  <si>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</si>
  <si>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</si>
  <si>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</si>
  <si>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</si>
  <si>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</si>
  <si>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</si>
  <si>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</si>
  <si>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</si>
  <si>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</si>
  <si>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</si>
  <si>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</si>
  <si>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</si>
  <si>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</si>
  <si>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</si>
  <si>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</si>
  <si>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</si>
  <si>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</si>
  <si>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</si>
  <si>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</si>
  <si>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</si>
  <si>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</si>
  <si>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</si>
  <si>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</si>
  <si>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</si>
  <si>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</si>
  <si>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</si>
  <si>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</si>
  <si>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</si>
  <si>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</si>
  <si>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</si>
  <si>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</si>
  <si>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</si>
  <si>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</si>
  <si>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</si>
  <si>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</si>
  <si>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</si>
  <si>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</si>
  <si>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</si>
  <si>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</si>
  <si>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</si>
  <si>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</si>
  <si>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</si>
  <si>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</si>
  <si>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</si>
  <si>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</si>
  <si>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</si>
  <si>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</si>
  <si>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</si>
  <si>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</si>
  <si>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</si>
  <si>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</si>
  <si>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</si>
  <si>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</si>
  <si>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</si>
  <si>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</si>
  <si>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</si>
  <si>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</si>
  <si>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</si>
  <si>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</si>
  <si>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</si>
  <si>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</si>
  <si>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</si>
  <si>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</si>
  <si>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</si>
  <si>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</si>
  <si>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</si>
  <si>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</si>
  <si>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</si>
  <si>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</si>
  <si>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</si>
  <si>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</si>
  <si>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</si>
  <si>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</si>
  <si>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</si>
  <si>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</si>
  <si>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</si>
  <si>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</si>
  <si>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</si>
  <si>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</si>
  <si>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</si>
  <si>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</si>
  <si>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</si>
  <si>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</si>
  <si>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</si>
  <si>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</si>
  <si>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</si>
  <si>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</si>
  <si>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</si>
  <si>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</si>
  <si>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</si>
  <si>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</si>
  <si>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</si>
  <si>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</si>
  <si>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</si>
  <si>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</si>
  <si>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</si>
  <si>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</si>
  <si>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</si>
  <si>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</si>
  <si>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</si>
  <si>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</si>
  <si>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</si>
  <si>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</si>
  <si>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</si>
  <si>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</si>
  <si>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</si>
  <si>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</si>
  <si>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</si>
  <si>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</si>
  <si>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</si>
  <si>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</si>
  <si>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</si>
  <si>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</si>
  <si>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</si>
  <si>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</si>
  <si>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</si>
  <si>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</si>
  <si>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</si>
  <si>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</si>
  <si>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</si>
  <si>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</si>
  <si>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</si>
  <si>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</si>
  <si>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</si>
  <si>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</si>
  <si>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</si>
  <si>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</si>
  <si>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</si>
  <si>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</si>
  <si>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</si>
  <si>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</si>
  <si>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</si>
  <si>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</si>
  <si>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</si>
  <si>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</si>
  <si>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</si>
  <si>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</si>
  <si>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</si>
  <si>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</si>
  <si>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</si>
  <si>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</si>
  <si>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</si>
  <si>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</si>
  <si>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</si>
  <si>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</si>
  <si>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</si>
  <si>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</si>
  <si>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</si>
  <si>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</si>
  <si>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</si>
  <si>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</si>
  <si>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</si>
  <si>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</si>
  <si>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</si>
  <si>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</si>
  <si>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</si>
  <si>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</si>
  <si>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</si>
  <si>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</si>
  <si>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</si>
  <si>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</si>
  <si>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</si>
  <si>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</si>
  <si>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</si>
  <si>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</si>
  <si>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</si>
  <si>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</si>
  <si>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</si>
  <si>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</si>
  <si>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</si>
  <si>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</si>
  <si>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</si>
  <si>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</si>
  <si>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</si>
  <si>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</si>
  <si>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</si>
  <si>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</si>
  <si>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</si>
  <si>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</si>
  <si>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</si>
  <si>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</si>
  <si>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</si>
  <si>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</si>
  <si>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</si>
  <si>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</si>
  <si>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</si>
  <si>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</si>
  <si>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</si>
  <si>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</si>
  <si>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</si>
  <si>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</si>
  <si>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</si>
  <si>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</si>
  <si>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</si>
  <si>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</si>
  <si>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</si>
  <si>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</si>
  <si>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</si>
  <si>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</si>
  <si>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</si>
  <si>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</si>
  <si>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</si>
  <si>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</si>
  <si>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</si>
  <si>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</si>
  <si>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</si>
  <si>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</si>
  <si>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</si>
  <si>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</si>
  <si>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</si>
  <si>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</si>
  <si>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</si>
  <si>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</si>
  <si>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</si>
  <si>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</si>
  <si>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</si>
  <si>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</si>
  <si>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</si>
  <si>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</si>
  <si>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</si>
  <si>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</si>
  <si>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</si>
  <si>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</si>
  <si>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</si>
  <si>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</si>
  <si>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</si>
  <si>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</si>
  <si>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</si>
  <si>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</si>
  <si>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</si>
  <si>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</si>
  <si>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</si>
  <si>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</si>
  <si>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</si>
  <si>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</si>
  <si>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</si>
  <si>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</si>
  <si>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</si>
  <si>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</si>
  <si>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</si>
  <si>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</si>
  <si>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</si>
  <si>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</si>
  <si>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</si>
  <si>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</si>
  <si>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</si>
  <si>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</si>
  <si>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</si>
  <si>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</si>
  <si>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</si>
  <si>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</si>
  <si>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</si>
  <si>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</si>
  <si>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</si>
  <si>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</si>
  <si>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</si>
  <si>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</si>
  <si>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</si>
  <si>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</si>
  <si>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</si>
  <si>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</si>
  <si>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</si>
  <si>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</si>
  <si>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</si>
  <si>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</si>
  <si>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</si>
  <si>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</si>
  <si>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</si>
  <si>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</si>
  <si>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</si>
  <si>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</si>
  <si>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</si>
  <si>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</si>
  <si>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</si>
  <si>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</si>
  <si>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</si>
  <si>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</si>
  <si>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</si>
  <si>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</si>
  <si>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</si>
  <si>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</si>
  <si>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</si>
  <si>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</si>
  <si>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</si>
  <si>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</si>
  <si>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</si>
  <si>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</si>
  <si>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</si>
  <si>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</si>
  <si>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</si>
  <si>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</si>
  <si>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</si>
  <si>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</si>
  <si>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</si>
  <si>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</si>
  <si>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</si>
  <si>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</si>
  <si>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</si>
  <si>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</si>
  <si>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</si>
  <si>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</si>
  <si>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</si>
  <si>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</si>
  <si>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</si>
  <si>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</si>
  <si>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</si>
  <si>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</si>
  <si>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</si>
  <si>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</si>
  <si>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</si>
  <si>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</si>
  <si>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</si>
  <si>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</si>
  <si>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</si>
  <si>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</si>
  <si>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</si>
  <si>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</si>
  <si>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</si>
  <si>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</si>
  <si>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</si>
  <si>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</si>
  <si>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</si>
  <si>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</si>
  <si>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</si>
  <si>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</si>
  <si>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</si>
  <si>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</si>
  <si>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</si>
  <si>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</si>
  <si>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</si>
  <si>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</si>
  <si>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</si>
  <si>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</si>
  <si>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</si>
  <si>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</si>
  <si>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</si>
  <si>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</si>
  <si>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</si>
  <si>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</si>
  <si>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</si>
  <si>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</si>
  <si>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</si>
  <si>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</si>
  <si>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</si>
  <si>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</si>
  <si>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</si>
  <si>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</si>
  <si>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</si>
  <si>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</si>
  <si>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</si>
  <si>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</si>
  <si>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</si>
  <si>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</si>
  <si>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</si>
  <si>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</si>
  <si>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</si>
  <si>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</si>
  <si>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</si>
  <si>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</si>
  <si>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</si>
  <si>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</si>
  <si>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</si>
  <si>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</si>
  <si>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</si>
  <si>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</si>
  <si>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</si>
  <si>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</si>
  <si>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</si>
  <si>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</si>
  <si>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</si>
  <si>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</si>
  <si>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</si>
  <si>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</si>
  <si>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</si>
  <si>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</si>
  <si>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</si>
  <si>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</si>
  <si>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</si>
  <si>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</si>
  <si>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</si>
  <si>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</si>
  <si>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</si>
  <si>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</si>
  <si>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</si>
  <si>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</si>
  <si>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</si>
  <si>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</si>
  <si>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</si>
  <si>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</si>
  <si>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</si>
  <si>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</si>
  <si>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</si>
  <si>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</si>
  <si>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</si>
  <si>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</si>
  <si>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</si>
  <si>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</si>
  <si>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</si>
  <si>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</si>
  <si>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</si>
  <si>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</si>
  <si>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</si>
  <si>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</si>
  <si>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</si>
  <si>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</si>
  <si>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</si>
  <si>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</si>
  <si>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</si>
  <si>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</si>
  <si>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</si>
  <si>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</si>
  <si>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</si>
  <si>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</si>
  <si>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</si>
  <si>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</si>
  <si>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</si>
  <si>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</si>
  <si>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</si>
  <si>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</si>
  <si>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</si>
  <si>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</si>
  <si>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</si>
  <si>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</si>
  <si>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</si>
  <si>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</si>
  <si>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</si>
  <si>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</si>
  <si>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</si>
  <si>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</si>
  <si>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</si>
  <si>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</si>
  <si>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</si>
  <si>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</si>
  <si>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</si>
  <si>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</si>
  <si>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</si>
  <si>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</si>
  <si>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</si>
  <si>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</si>
  <si>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</si>
  <si>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</si>
  <si>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</si>
  <si>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</si>
  <si>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</si>
  <si>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</si>
  <si>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</si>
  <si>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</si>
  <si>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</si>
  <si>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</si>
  <si>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</si>
  <si>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</si>
  <si>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</si>
  <si>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</si>
  <si>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</si>
  <si>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</si>
  <si>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</si>
  <si>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</si>
  <si>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</si>
  <si>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</si>
  <si>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</si>
  <si>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</si>
  <si>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</si>
  <si>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</si>
  <si>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</si>
  <si>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</si>
  <si>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</si>
  <si>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</si>
  <si>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</si>
  <si>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</si>
  <si>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</si>
  <si>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</si>
  <si>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</si>
  <si>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</si>
  <si>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</si>
  <si>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</si>
  <si>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</si>
  <si>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</si>
  <si>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</si>
  <si>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</si>
  <si>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</si>
  <si>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</si>
  <si>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</si>
  <si>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</si>
  <si>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</si>
  <si>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</si>
  <si>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</si>
  <si>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</si>
  <si>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</si>
  <si>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</si>
  <si>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</si>
  <si>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</si>
  <si>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</si>
  <si>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</si>
  <si>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</si>
  <si>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</si>
  <si>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</si>
  <si>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</si>
  <si>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</si>
  <si>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</si>
  <si>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</si>
  <si>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</si>
  <si>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</si>
  <si>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</si>
  <si>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</si>
  <si>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</si>
  <si>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</si>
  <si>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</si>
  <si>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</si>
  <si>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</si>
  <si>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</si>
  <si>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</si>
  <si>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</si>
  <si>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</si>
  <si>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</si>
  <si>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</si>
  <si>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</si>
  <si>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</si>
  <si>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</si>
  <si>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</si>
  <si>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</si>
  <si>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</si>
  <si>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</si>
  <si>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</si>
  <si>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</si>
  <si>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</si>
  <si>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</si>
  <si>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</si>
  <si>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</si>
  <si>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</si>
  <si>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</si>
  <si>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</si>
  <si>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</si>
  <si>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</si>
  <si>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</si>
  <si>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</si>
  <si>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</si>
  <si>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</si>
  <si>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</si>
  <si>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</si>
  <si>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</si>
  <si>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</si>
  <si>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</si>
  <si>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</si>
  <si>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</si>
  <si>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</si>
  <si>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</si>
  <si>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</si>
  <si>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</si>
  <si>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</si>
  <si>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</si>
  <si>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</si>
  <si>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</si>
  <si>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</si>
  <si>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</si>
  <si>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</si>
  <si>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</si>
  <si>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</si>
  <si>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</si>
  <si>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</si>
  <si>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</si>
  <si>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</si>
  <si>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</si>
  <si>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</si>
  <si>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</si>
  <si>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</si>
  <si>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</si>
  <si>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</si>
  <si>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</si>
  <si>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</si>
  <si>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</si>
  <si>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</si>
  <si>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</si>
  <si>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</si>
  <si>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</si>
  <si>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</si>
  <si>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</si>
  <si>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</si>
  <si>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</si>
  <si>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</si>
  <si>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</si>
  <si>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</si>
  <si>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</si>
  <si>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</si>
  <si>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</si>
  <si>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</si>
  <si>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</si>
  <si>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</si>
  <si>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</si>
  <si>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</si>
  <si>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</si>
  <si>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</si>
  <si>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</si>
  <si>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</si>
  <si>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</si>
  <si>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</si>
  <si>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</si>
  <si>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</si>
  <si>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</si>
  <si>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</si>
  <si>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</si>
  <si>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</si>
  <si>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</si>
  <si>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</si>
  <si>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</si>
  <si>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</si>
  <si>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</si>
  <si>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</si>
  <si>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</si>
  <si>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</si>
  <si>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</si>
  <si>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</si>
  <si>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</si>
  <si>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</si>
  <si>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</si>
  <si>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</si>
  <si>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</si>
  <si>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</si>
  <si>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</si>
  <si>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</si>
  <si>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</si>
  <si>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</si>
  <si>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</si>
  <si>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</si>
  <si>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</si>
  <si>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</si>
  <si>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</si>
  <si>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</si>
  <si>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</si>
  <si>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</si>
  <si>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</si>
  <si>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</si>
  <si>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</si>
  <si>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</si>
  <si>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</si>
  <si>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</si>
  <si>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</si>
  <si>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</si>
  <si>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</si>
  <si>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</si>
  <si>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</si>
  <si>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</si>
  <si>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</si>
  <si>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</si>
  <si>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</si>
  <si>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</si>
  <si>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</si>
  <si>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</si>
  <si>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</si>
  <si>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</si>
  <si>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</si>
  <si>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</si>
  <si>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</si>
  <si>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</si>
  <si>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</si>
  <si>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</si>
  <si>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</si>
  <si>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</si>
  <si>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</si>
  <si>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</si>
  <si>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</si>
  <si>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</si>
  <si>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</si>
  <si>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</si>
  <si>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</si>
  <si>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</si>
  <si>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</si>
  <si>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</si>
  <si>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</si>
  <si>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</si>
  <si>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</si>
  <si>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</si>
  <si>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</si>
  <si>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</si>
  <si>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</si>
  <si>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</si>
  <si>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</si>
  <si>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</si>
  <si>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</si>
  <si>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</si>
  <si>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</si>
  <si>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</si>
  <si>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</si>
  <si>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</si>
  <si>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</si>
  <si>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</si>
  <si>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</si>
  <si>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</si>
  <si>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</si>
  <si>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</si>
  <si>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</si>
  <si>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</si>
  <si>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</si>
  <si>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</si>
  <si>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</si>
  <si>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</si>
  <si>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</si>
  <si>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</si>
  <si>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</si>
  <si>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</si>
  <si>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</si>
  <si>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</si>
  <si>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</si>
  <si>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</si>
  <si>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</si>
  <si>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</si>
  <si>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</si>
  <si>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</si>
  <si>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</si>
  <si>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</si>
  <si>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</si>
  <si>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</si>
  <si>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</si>
  <si>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</si>
  <si>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</si>
  <si>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</si>
  <si>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</si>
  <si>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</si>
  <si>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</si>
  <si>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</si>
  <si>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</si>
  <si>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</si>
  <si>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</si>
  <si>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</si>
  <si>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</si>
  <si>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</si>
  <si>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</si>
  <si>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</si>
  <si>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</si>
  <si>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</si>
  <si>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</si>
  <si>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</si>
  <si>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</si>
  <si>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</si>
  <si>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</si>
  <si>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</si>
  <si>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</si>
  <si>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</si>
  <si>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</si>
  <si>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</si>
  <si>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</si>
  <si>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</si>
  <si>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</si>
  <si>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</si>
  <si>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</si>
  <si>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</si>
  <si>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</si>
  <si>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</si>
  <si>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</si>
  <si>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</si>
  <si>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</si>
  <si>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</si>
  <si>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</si>
  <si>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</si>
  <si>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</si>
  <si>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</si>
  <si>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</si>
  <si>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</si>
  <si>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</si>
  <si>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</si>
  <si>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</si>
  <si>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</si>
  <si>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</si>
  <si>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</si>
  <si>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</si>
  <si>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</si>
  <si>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</si>
  <si>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</si>
  <si>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</si>
  <si>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</si>
  <si>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</si>
  <si>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</si>
  <si>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</si>
  <si>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</si>
  <si>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</si>
  <si>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</si>
  <si>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</si>
  <si>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</si>
  <si>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</si>
  <si>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</si>
  <si>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</si>
  <si>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</si>
  <si>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</si>
  <si>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</si>
  <si>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</si>
  <si>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</si>
  <si>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</si>
  <si>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</si>
  <si>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</si>
  <si>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</si>
  <si>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</si>
  <si>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</si>
  <si>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</si>
  <si>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</si>
  <si>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</si>
  <si>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</si>
  <si>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</si>
  <si>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</si>
  <si>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</si>
  <si>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</si>
  <si>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</si>
  <si>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</si>
  <si>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</si>
  <si>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</si>
  <si>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</si>
  <si>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</si>
  <si>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</si>
  <si>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</si>
  <si>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</si>
  <si>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</si>
  <si>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</si>
  <si>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</si>
  <si>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</si>
  <si>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</si>
  <si>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</si>
  <si>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</si>
  <si>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</si>
  <si>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</si>
  <si>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</si>
  <si>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</si>
  <si>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</si>
  <si>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</si>
  <si>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</si>
  <si>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</si>
  <si>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</si>
  <si>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</si>
  <si>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</si>
  <si>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</si>
  <si>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</si>
  <si>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</si>
  <si>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</si>
  <si>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</si>
  <si>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</si>
  <si>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</si>
  <si>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</si>
  <si>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</si>
  <si>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</si>
  <si>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</si>
  <si>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</si>
  <si>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</si>
  <si>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</si>
  <si>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</si>
  <si>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</si>
  <si>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</si>
  <si>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</si>
  <si>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</si>
  <si>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</si>
  <si>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</si>
  <si>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</si>
  <si>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</si>
  <si>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</si>
  <si>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</si>
  <si>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</si>
  <si>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</si>
  <si>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</si>
  <si>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</si>
  <si>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</si>
  <si>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</si>
  <si>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</si>
  <si>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</si>
  <si>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</si>
  <si>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</si>
  <si>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</si>
  <si>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</si>
  <si>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</si>
  <si>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</si>
  <si>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</si>
  <si>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</si>
  <si>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</si>
  <si>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</si>
  <si>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</si>
  <si>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</si>
  <si>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</si>
  <si>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</si>
  <si>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</si>
  <si>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</si>
  <si>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</si>
  <si>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</si>
  <si>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</si>
  <si>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</si>
  <si>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</si>
  <si>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</si>
  <si>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</si>
  <si>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</si>
  <si>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</si>
  <si>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</si>
  <si>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</si>
  <si>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</si>
  <si>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</si>
  <si>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</si>
  <si>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</si>
  <si>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</si>
  <si>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</si>
  <si>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</si>
  <si>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</si>
  <si>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</si>
  <si>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</si>
  <si>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</si>
  <si>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</si>
  <si>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</si>
  <si>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</si>
  <si>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</si>
  <si>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</si>
  <si>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</si>
  <si>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</si>
  <si>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</si>
  <si>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</si>
  <si>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</si>
  <si>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</si>
  <si>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</si>
  <si>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</si>
  <si>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</si>
  <si>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</si>
  <si>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</si>
  <si>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</si>
  <si>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</si>
  <si>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</si>
  <si>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</si>
  <si>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</si>
  <si>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</si>
  <si>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</si>
  <si>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</si>
  <si>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</si>
  <si>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</si>
  <si>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</si>
  <si>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</si>
  <si>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</si>
  <si>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</si>
  <si>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</si>
  <si>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</si>
  <si>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</si>
  <si>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</si>
  <si>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</si>
  <si>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</si>
  <si>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</si>
  <si>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</si>
  <si>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</si>
  <si>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</si>
  <si>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</si>
  <si>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</si>
  <si>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</si>
  <si>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</si>
  <si>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</si>
  <si>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</si>
  <si>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</si>
  <si>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</si>
  <si>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</si>
  <si>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</si>
  <si>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</si>
  <si>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</si>
  <si>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</si>
  <si>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</si>
  <si>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</si>
  <si>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</si>
  <si>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</si>
  <si>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</si>
  <si>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</si>
  <si>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</si>
  <si>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</si>
  <si>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</si>
  <si>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</si>
  <si>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</si>
  <si>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</si>
  <si>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</si>
  <si>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</si>
  <si>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</si>
  <si>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</si>
  <si>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</si>
  <si>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</si>
  <si>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</si>
  <si>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</si>
  <si>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</si>
  <si>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</si>
  <si>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</si>
  <si>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</si>
  <si>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</si>
  <si>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</si>
  <si>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</si>
  <si>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</si>
  <si>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</si>
  <si>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</si>
  <si>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</si>
  <si>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</si>
  <si>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</si>
  <si>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</si>
  <si>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</si>
  <si>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</si>
  <si>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</si>
  <si>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</si>
  <si>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</si>
  <si>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</si>
  <si>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</si>
  <si>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</si>
  <si>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</si>
  <si>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</si>
  <si>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</si>
  <si>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</si>
  <si>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</si>
  <si>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</si>
  <si>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</si>
  <si>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</si>
  <si>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</si>
  <si>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</si>
  <si>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</si>
  <si>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</si>
  <si>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</si>
  <si>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</si>
  <si>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</si>
  <si>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</si>
  <si>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</si>
  <si>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</si>
  <si>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</si>
  <si>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</si>
  <si>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</si>
  <si>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</si>
  <si>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</si>
  <si>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</si>
  <si>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</si>
  <si>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</si>
  <si>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</si>
  <si>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</si>
  <si>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</si>
  <si>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</si>
  <si>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</si>
  <si>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</si>
  <si>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</si>
  <si>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</si>
  <si>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</si>
  <si>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</si>
  <si>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</si>
  <si>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</si>
  <si>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</si>
  <si>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</si>
  <si>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</si>
  <si>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</si>
  <si>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</si>
  <si>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</si>
  <si>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</si>
  <si>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</si>
  <si>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</si>
  <si>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</si>
  <si>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</si>
  <si>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</si>
  <si>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</si>
  <si>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</si>
  <si>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</si>
  <si>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</si>
  <si>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</si>
  <si>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</si>
  <si>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</si>
  <si>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</si>
  <si>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</si>
  <si>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</si>
  <si>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</si>
  <si>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</si>
  <si>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</si>
  <si>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</si>
  <si>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</si>
  <si>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</si>
  <si>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</si>
  <si>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</si>
  <si>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</si>
  <si>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</si>
  <si>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</si>
  <si>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</si>
  <si>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</si>
  <si>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</si>
  <si>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</si>
  <si>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</si>
  <si>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</si>
  <si>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</si>
  <si>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</si>
  <si>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</si>
  <si>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</si>
  <si>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</si>
  <si>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</si>
  <si>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</si>
  <si>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</si>
  <si>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</si>
  <si>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</si>
  <si>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</si>
  <si>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</si>
  <si>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</si>
  <si>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</si>
  <si>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</si>
  <si>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</si>
  <si>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</si>
  <si>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</si>
  <si>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</si>
  <si>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</si>
  <si>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</si>
  <si>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</si>
  <si>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</si>
  <si>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</si>
  <si>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</si>
  <si>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</si>
  <si>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</si>
  <si>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</si>
  <si>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</si>
  <si>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</si>
  <si>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</si>
  <si>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</si>
  <si>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</si>
  <si>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</si>
  <si>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</si>
  <si>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</si>
  <si>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</si>
  <si>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</si>
  <si>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</si>
  <si>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</si>
  <si>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</si>
  <si>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</si>
  <si>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</si>
  <si>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</si>
  <si>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</si>
  <si>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</si>
  <si>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</si>
  <si>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</si>
  <si>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</si>
  <si>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</si>
  <si>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</si>
  <si>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</si>
  <si>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</si>
  <si>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</si>
  <si>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</si>
  <si>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</si>
  <si>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</si>
  <si>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</si>
  <si>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</si>
  <si>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</si>
  <si>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</si>
  <si>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</si>
  <si>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</si>
  <si>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</si>
  <si>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</si>
  <si>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</si>
  <si>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</si>
  <si>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</si>
  <si>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</si>
  <si>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</si>
  <si>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</si>
  <si>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</si>
  <si>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</si>
  <si>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</si>
  <si>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</si>
  <si>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</si>
  <si>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</si>
  <si>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</si>
  <si>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</si>
  <si>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</si>
  <si>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</si>
  <si>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</si>
  <si>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</si>
  <si>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</si>
  <si>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</si>
  <si>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</si>
  <si>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</si>
  <si>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</si>
  <si>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</si>
  <si>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</si>
  <si>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</si>
  <si>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</si>
  <si>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</si>
  <si>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</si>
  <si>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</si>
  <si>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</si>
  <si>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</si>
  <si>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</si>
  <si>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</si>
  <si>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</si>
  <si>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</si>
  <si>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</si>
  <si>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</si>
  <si>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</si>
  <si>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</si>
  <si>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</si>
  <si>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</si>
  <si>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</si>
  <si>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</si>
  <si>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</si>
  <si>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</si>
  <si>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</si>
  <si>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</si>
  <si>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</si>
  <si>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</si>
  <si>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</si>
  <si>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</si>
  <si>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</si>
  <si>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</si>
  <si>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</si>
  <si>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</si>
  <si>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</si>
  <si>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</si>
  <si>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</si>
  <si>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</si>
  <si>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</si>
  <si>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</si>
  <si>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</si>
  <si>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</si>
  <si>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</si>
  <si>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</si>
  <si>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</si>
  <si>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</si>
  <si>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</si>
  <si>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</si>
  <si>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</si>
  <si>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</si>
  <si>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</si>
  <si>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</si>
  <si>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</si>
  <si>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</si>
  <si>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</si>
  <si>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</si>
  <si>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</si>
  <si>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</si>
  <si>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</si>
  <si>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</si>
  <si>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</si>
  <si>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</si>
  <si>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</si>
  <si>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</si>
  <si>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</si>
  <si>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</si>
  <si>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</si>
  <si>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</si>
  <si>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</si>
  <si>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</si>
  <si>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</si>
  <si>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</si>
  <si>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</si>
  <si>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</si>
  <si>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</si>
  <si>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</si>
  <si>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</si>
  <si>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</si>
  <si>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</si>
  <si>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</si>
  <si>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</si>
  <si>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</si>
  <si>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</si>
  <si>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</si>
  <si>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</si>
  <si>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</si>
  <si>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</si>
  <si>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</si>
  <si>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</si>
  <si>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</si>
  <si>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</si>
  <si>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</si>
  <si>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</si>
  <si>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</si>
  <si>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</si>
  <si>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</si>
  <si>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</si>
  <si>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</si>
  <si>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</si>
  <si>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</si>
  <si>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</si>
  <si>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</si>
  <si>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</si>
  <si>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</si>
  <si>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</si>
  <si>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</si>
  <si>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</si>
  <si>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</si>
  <si>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</si>
  <si>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</si>
  <si>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</si>
  <si>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</si>
  <si>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</si>
  <si>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</si>
  <si>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</si>
  <si>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</si>
  <si>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</si>
  <si>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</si>
  <si>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</si>
  <si>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</si>
  <si>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</si>
  <si>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</si>
  <si>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</si>
  <si>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</si>
  <si>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</si>
  <si>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</si>
  <si>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</si>
  <si>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</si>
  <si>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</si>
  <si>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</si>
  <si>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</si>
  <si>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</si>
  <si>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</si>
  <si>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</si>
  <si>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</si>
  <si>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</si>
  <si>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</si>
  <si>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</si>
  <si>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</si>
  <si>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</si>
  <si>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</si>
  <si>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</si>
  <si>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</si>
  <si>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</si>
  <si>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</si>
  <si>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</si>
  <si>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</si>
  <si>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</si>
  <si>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</si>
  <si>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</si>
  <si>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</si>
  <si>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</si>
  <si>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</si>
  <si>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</si>
  <si>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</si>
  <si>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</si>
  <si>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</si>
  <si>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</si>
  <si>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</si>
  <si>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</si>
  <si>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</si>
  <si>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</si>
  <si>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</si>
  <si>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</si>
  <si>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</si>
  <si>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</si>
  <si>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</si>
  <si>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</si>
  <si>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</si>
  <si>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</si>
  <si>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</si>
  <si>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</si>
  <si>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</si>
  <si>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</si>
  <si>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</si>
  <si>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</si>
  <si>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</si>
  <si>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</si>
  <si>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</si>
  <si>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</si>
  <si>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</si>
  <si>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</si>
  <si>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</si>
  <si>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</si>
  <si>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</si>
  <si>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</si>
  <si>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</si>
  <si>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</si>
  <si>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</si>
  <si>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</si>
  <si>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</si>
  <si>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</si>
  <si>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</si>
  <si>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</si>
  <si>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</si>
  <si>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</si>
  <si>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</si>
  <si>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</si>
  <si>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</si>
  <si>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</si>
  <si>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</si>
  <si>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</si>
  <si>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</si>
  <si>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</si>
  <si>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</si>
  <si>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</si>
  <si>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</si>
  <si>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</si>
  <si>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</si>
  <si>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</si>
  <si>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</si>
  <si>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</si>
  <si>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</si>
  <si>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</si>
  <si>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</si>
  <si>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</si>
  <si>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</si>
  <si>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</si>
  <si>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</si>
  <si>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</si>
  <si>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</si>
  <si>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</si>
  <si>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</si>
  <si>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</si>
  <si>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</si>
  <si>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</si>
  <si>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</si>
  <si>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</si>
  <si>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</si>
  <si>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</si>
  <si>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</si>
  <si>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</si>
  <si>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</si>
  <si>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</si>
  <si>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</si>
  <si>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</si>
  <si>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</si>
  <si>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</si>
  <si>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</si>
  <si>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</si>
  <si>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</si>
  <si>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</si>
  <si>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</si>
  <si>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</si>
  <si>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</si>
  <si>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</si>
  <si>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</si>
  <si>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</si>
  <si>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</si>
  <si>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</si>
  <si>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</si>
  <si>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</si>
  <si>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</si>
  <si>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</si>
  <si>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</si>
  <si>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</si>
  <si>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</si>
  <si>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</si>
  <si>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</si>
  <si>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</si>
  <si>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</si>
  <si>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</si>
  <si>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</si>
  <si>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</si>
  <si>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</si>
  <si>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</si>
  <si>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</si>
  <si>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</si>
  <si>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</si>
  <si>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</si>
  <si>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</si>
  <si>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</si>
  <si>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</si>
  <si>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</si>
  <si>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</si>
  <si>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</si>
  <si>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</si>
  <si>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</si>
  <si>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</si>
  <si>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</si>
  <si>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</si>
  <si>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</si>
  <si>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</si>
  <si>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</si>
  <si>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</si>
  <si>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</si>
  <si>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</si>
  <si>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</si>
  <si>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</si>
  <si>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</si>
  <si>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</si>
  <si>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</si>
  <si>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</si>
  <si>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</si>
  <si>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</si>
  <si>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</si>
  <si>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</si>
  <si>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</si>
  <si>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</si>
  <si>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</si>
  <si>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</si>
  <si>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</si>
  <si>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</si>
  <si>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</si>
  <si>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</si>
  <si>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</si>
  <si>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</si>
  <si>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</si>
  <si>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</si>
  <si>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</si>
  <si>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</si>
  <si>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</si>
  <si>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</si>
  <si>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</si>
  <si>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</si>
  <si>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</si>
  <si>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</si>
  <si>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</si>
  <si>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</si>
  <si>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</si>
  <si>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</si>
  <si>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</si>
  <si>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</si>
  <si>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</si>
  <si>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</si>
  <si>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</si>
  <si>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</si>
  <si>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</si>
  <si>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</si>
  <si>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</si>
  <si>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</si>
  <si>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</si>
  <si>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</si>
  <si>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</si>
  <si>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</si>
  <si>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</si>
  <si>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</si>
  <si>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</si>
  <si>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</si>
  <si>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</si>
  <si>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</si>
  <si>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</si>
  <si>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</si>
  <si>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</si>
  <si>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</si>
  <si>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</si>
  <si>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</si>
  <si>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</si>
  <si>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</si>
  <si>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</si>
  <si>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</si>
  <si>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</si>
  <si>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</si>
  <si>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</si>
  <si>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</si>
  <si>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</si>
  <si>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</si>
  <si>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</si>
  <si>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</si>
  <si>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</si>
  <si>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</si>
  <si>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</si>
  <si>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</si>
  <si>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</si>
  <si>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</si>
  <si>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</si>
  <si>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</si>
  <si>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</si>
  <si>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</si>
  <si>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</si>
  <si>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</si>
  <si>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</si>
  <si>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</si>
  <si>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</si>
  <si>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</si>
  <si>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</si>
  <si>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</si>
  <si>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</si>
  <si>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</si>
  <si>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</si>
  <si>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</si>
  <si>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</si>
  <si>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</si>
  <si>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</si>
  <si>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</si>
  <si>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</si>
  <si>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</si>
  <si>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</si>
  <si>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</si>
  <si>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</si>
  <si>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</si>
  <si>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</si>
  <si>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</si>
  <si>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</si>
  <si>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</si>
  <si>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</si>
  <si>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</si>
  <si>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</si>
  <si>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</si>
  <si>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</si>
  <si>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</si>
  <si>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</si>
  <si>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</si>
  <si>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</si>
  <si>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</si>
  <si>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</si>
  <si>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</si>
  <si>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</si>
  <si>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</si>
  <si>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</si>
  <si>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</si>
  <si>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</si>
  <si>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</si>
  <si>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</si>
  <si>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</si>
  <si>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</si>
  <si>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</si>
  <si>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</si>
  <si>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</si>
  <si>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</si>
  <si>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</si>
  <si>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</si>
  <si>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</si>
  <si>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</si>
  <si>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</si>
  <si>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</si>
  <si>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</si>
  <si>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</si>
  <si>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</si>
  <si>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</si>
  <si>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</si>
  <si>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</si>
  <si>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</si>
  <si>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</si>
  <si>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</si>
  <si>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</si>
  <si>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</si>
  <si>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</si>
  <si>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</si>
  <si>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</si>
  <si>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</si>
  <si>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</si>
  <si>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</si>
  <si>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</si>
  <si>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</si>
  <si>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</si>
  <si>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</si>
  <si>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</si>
  <si>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</si>
  <si>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</si>
  <si>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</si>
  <si>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</si>
  <si>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</si>
  <si>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</si>
  <si>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</si>
  <si>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</si>
  <si>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</si>
  <si>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</si>
  <si>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</si>
  <si>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</si>
  <si>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</si>
  <si>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</si>
  <si>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</si>
  <si>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</si>
  <si>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</si>
  <si>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</si>
  <si>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</si>
  <si>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</si>
  <si>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</si>
  <si>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</si>
  <si>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</si>
  <si>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</si>
  <si>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</si>
  <si>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</si>
  <si>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</si>
  <si>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</si>
  <si>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</si>
  <si>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</si>
  <si>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</si>
  <si>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</si>
  <si>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</si>
  <si>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</si>
  <si>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</si>
  <si>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</si>
  <si>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</si>
  <si>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</si>
  <si>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</si>
  <si>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</si>
  <si>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</si>
  <si>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</si>
  <si>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</si>
  <si>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</si>
  <si>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</si>
  <si>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</si>
  <si>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</si>
  <si>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</si>
  <si>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</si>
  <si>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</si>
  <si>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</si>
  <si>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</si>
  <si>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</si>
  <si>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</si>
  <si>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</si>
  <si>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</si>
  <si>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</si>
  <si>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</si>
  <si>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</si>
  <si>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</si>
  <si>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</si>
  <si>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</si>
  <si>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</si>
  <si>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</si>
  <si>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</si>
  <si>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</si>
  <si>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</si>
  <si>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</si>
  <si>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</si>
  <si>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</si>
  <si>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</si>
  <si>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</si>
  <si>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</si>
  <si>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</si>
  <si>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</si>
  <si>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</si>
  <si>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</si>
  <si>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</si>
  <si>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</si>
  <si>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</si>
  <si>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</si>
  <si>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</si>
  <si>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</si>
  <si>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</si>
  <si>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</si>
  <si>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</si>
  <si>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</si>
  <si>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</si>
  <si>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</si>
  <si>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</si>
  <si>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</si>
  <si>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</si>
  <si>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</si>
  <si>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</si>
  <si>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</si>
  <si>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</si>
  <si>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</si>
  <si>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</si>
  <si>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</si>
  <si>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</si>
  <si>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</si>
  <si>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</si>
  <si>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</si>
  <si>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</si>
  <si>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</si>
  <si>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</si>
  <si>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</si>
  <si>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</si>
  <si>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</si>
  <si>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</si>
  <si>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</si>
  <si>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</si>
  <si>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</si>
  <si>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</si>
  <si>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</si>
  <si>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</si>
  <si>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</si>
  <si>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</si>
  <si>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</si>
  <si>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</si>
  <si>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</si>
  <si>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</si>
  <si>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</si>
  <si>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</si>
  <si>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</si>
  <si>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</si>
  <si>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</si>
  <si>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</si>
  <si>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</si>
  <si>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</si>
  <si>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</si>
  <si>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</si>
  <si>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</si>
  <si>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</si>
  <si>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</si>
  <si>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</si>
  <si>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</si>
  <si>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</si>
  <si>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</si>
  <si>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</si>
  <si>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</si>
  <si>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</si>
  <si>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</si>
  <si>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</si>
  <si>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</si>
  <si>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</si>
  <si>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</si>
  <si>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</si>
  <si>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</si>
  <si>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</si>
  <si>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</si>
  <si>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</si>
  <si>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</si>
  <si>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</si>
  <si>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</si>
  <si>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</si>
  <si>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</si>
  <si>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</si>
  <si>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</si>
  <si>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</si>
  <si>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</si>
  <si>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</si>
  <si>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</si>
  <si>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</si>
  <si>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</si>
  <si>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</si>
  <si>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</si>
  <si>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</si>
  <si>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</si>
  <si>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</si>
  <si>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</si>
  <si>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</si>
  <si>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</si>
  <si>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</si>
  <si>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</si>
  <si>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</si>
  <si>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</si>
  <si>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</si>
  <si>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</si>
  <si>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</si>
  <si>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</si>
  <si>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</si>
  <si>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</si>
  <si>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</si>
  <si>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</si>
  <si>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</si>
  <si>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</si>
  <si>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</si>
  <si>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</si>
  <si>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</si>
  <si>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</si>
  <si>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</si>
  <si>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</si>
  <si>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</si>
  <si>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</si>
  <si>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</si>
  <si>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</si>
  <si>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</si>
  <si>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</si>
  <si>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</si>
  <si>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</si>
  <si>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</si>
  <si>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</si>
  <si>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</si>
  <si>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</si>
  <si>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</si>
  <si>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</si>
  <si>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</si>
  <si>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</si>
  <si>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</si>
  <si>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</si>
  <si>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</si>
  <si>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</si>
  <si>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</si>
  <si>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</si>
  <si>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</si>
  <si>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</si>
  <si>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</si>
  <si>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</si>
  <si>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</si>
  <si>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</si>
  <si>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</si>
  <si>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</si>
  <si>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</si>
  <si>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</si>
  <si>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</si>
  <si>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</si>
  <si>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</si>
  <si>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</si>
  <si>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</si>
  <si>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</si>
  <si>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</si>
  <si>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</si>
  <si>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</si>
  <si>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</si>
  <si>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</si>
  <si>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</si>
  <si>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</si>
  <si>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</si>
  <si>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</si>
  <si>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</si>
  <si>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</si>
  <si>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</si>
  <si>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</si>
  <si>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</si>
  <si>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</si>
  <si>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</si>
  <si>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</si>
  <si>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</si>
  <si>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</si>
  <si>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</si>
  <si>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</si>
  <si>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</si>
  <si>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</si>
  <si>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</si>
  <si>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</si>
  <si>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</si>
  <si>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</si>
  <si>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</si>
  <si>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</si>
  <si>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</si>
  <si>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</si>
  <si>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</si>
  <si>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</si>
  <si>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</si>
  <si>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</si>
  <si>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</si>
  <si>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</si>
  <si>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</si>
  <si>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</si>
  <si>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</si>
  <si>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</si>
  <si>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</si>
  <si>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</si>
  <si>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</si>
  <si>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</si>
  <si>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</si>
  <si>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</si>
  <si>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</si>
  <si>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</si>
  <si>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</si>
  <si>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</si>
  <si>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</si>
  <si>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</si>
  <si>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</si>
  <si>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</si>
  <si>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</si>
  <si>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</si>
  <si>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</si>
  <si>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</si>
  <si>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</si>
  <si>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</si>
  <si>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</si>
  <si>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</si>
  <si>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</si>
  <si>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</si>
  <si>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</si>
  <si>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</si>
  <si>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</si>
  <si>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</si>
  <si>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</si>
  <si>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</si>
  <si>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</si>
  <si>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</si>
  <si>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</si>
  <si>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</si>
  <si>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</si>
  <si>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</si>
  <si>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</si>
  <si>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</si>
  <si>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</si>
  <si>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</si>
  <si>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</si>
  <si>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</si>
  <si>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</si>
  <si>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</si>
  <si>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</si>
  <si>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</si>
  <si>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</si>
  <si>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</si>
  <si>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</si>
  <si>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</si>
  <si>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</si>
  <si>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</si>
  <si>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</si>
  <si>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</si>
  <si>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</si>
  <si>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</si>
  <si>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</si>
  <si>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</si>
  <si>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</si>
  <si>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</si>
  <si>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</si>
  <si>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</si>
  <si>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</si>
  <si>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</si>
  <si>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</si>
  <si>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</si>
  <si>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</si>
  <si>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</si>
  <si>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</si>
  <si>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</si>
  <si>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</si>
  <si>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</si>
  <si>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</si>
  <si>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</si>
  <si>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</si>
  <si>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</si>
  <si>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</si>
  <si>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</si>
  <si>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</si>
  <si>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</si>
  <si>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</si>
  <si>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</si>
  <si>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</si>
  <si>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</si>
  <si>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</si>
  <si>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</si>
  <si>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</si>
  <si>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</si>
  <si>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</si>
  <si>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</si>
  <si>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</si>
  <si>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</si>
  <si>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</si>
  <si>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</si>
  <si>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</si>
  <si>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</si>
  <si>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</si>
  <si>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</si>
  <si>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</si>
  <si>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</si>
  <si>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</si>
  <si>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</si>
  <si>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</si>
  <si>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</si>
  <si>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</si>
  <si>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</si>
  <si>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</si>
  <si>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</si>
  <si>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</si>
  <si>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</si>
  <si>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</si>
  <si>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</si>
  <si>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</si>
  <si>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</si>
  <si>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</si>
  <si>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</si>
  <si>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</si>
  <si>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</si>
  <si>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</si>
  <si>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</si>
  <si>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</si>
  <si>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</si>
  <si>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</si>
  <si>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</si>
  <si>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</si>
  <si>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</si>
  <si>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</si>
  <si>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</si>
  <si>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</si>
  <si>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</si>
  <si>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</si>
  <si>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</si>
  <si>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</si>
  <si>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</si>
  <si>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</si>
  <si>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</si>
  <si>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</si>
  <si>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</si>
  <si>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</si>
  <si>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</si>
  <si>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</si>
  <si>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</si>
  <si>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</si>
  <si>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</si>
  <si>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</si>
  <si>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</si>
  <si>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</si>
  <si>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</si>
  <si>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</si>
  <si>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</si>
  <si>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</si>
  <si>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</si>
  <si>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</si>
  <si>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</si>
  <si>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</si>
  <si>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</si>
  <si>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</si>
  <si>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</si>
  <si>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</si>
  <si>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</si>
  <si>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</si>
  <si>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</si>
  <si>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</si>
  <si>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</si>
  <si>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</si>
  <si>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</si>
  <si>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</si>
  <si>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</si>
  <si>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</si>
  <si>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</si>
  <si>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</si>
  <si>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</si>
  <si>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</si>
  <si>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</si>
  <si>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</si>
  <si>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</si>
  <si>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</si>
  <si>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</si>
  <si>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</si>
  <si>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</si>
  <si>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</si>
  <si>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</si>
  <si>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</si>
  <si>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</si>
  <si>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</si>
  <si>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</si>
  <si>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</si>
  <si>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</si>
  <si>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</si>
  <si>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</si>
  <si>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</si>
  <si>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</si>
  <si>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</si>
  <si>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</si>
  <si>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</si>
  <si>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</si>
  <si>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</si>
  <si>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</si>
  <si>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</si>
  <si>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</si>
  <si>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</si>
  <si>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</si>
  <si>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</si>
  <si>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</si>
  <si>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</si>
  <si>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</si>
  <si>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</si>
  <si>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</si>
  <si>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</si>
  <si>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</si>
  <si>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</si>
  <si>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</si>
  <si>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</si>
  <si>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</si>
  <si>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</si>
  <si>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</si>
  <si>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</si>
  <si>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</si>
  <si>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</si>
  <si>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</si>
  <si>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</si>
  <si>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</si>
  <si>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</si>
  <si>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</si>
  <si>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</si>
  <si>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</si>
  <si>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</si>
  <si>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</si>
  <si>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</si>
  <si>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</si>
  <si>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</si>
  <si>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</si>
  <si>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</si>
  <si>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</si>
  <si>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</si>
  <si>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</si>
  <si>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</si>
  <si>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</si>
  <si>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</si>
  <si>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</si>
  <si>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</si>
  <si>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</si>
  <si>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</si>
  <si>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</si>
  <si>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</si>
  <si>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</si>
  <si>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</si>
  <si>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</si>
  <si>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</si>
  <si>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</si>
  <si>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</si>
  <si>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</si>
  <si>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</si>
  <si>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</si>
  <si>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</si>
  <si>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</si>
  <si>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</si>
  <si>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</si>
  <si>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</si>
  <si>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</si>
  <si>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</si>
  <si>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</si>
  <si>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</si>
  <si>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</si>
  <si>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</si>
  <si>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</si>
  <si>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</si>
  <si>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</si>
  <si>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</si>
  <si>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</si>
  <si>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</si>
  <si>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</si>
  <si>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</si>
  <si>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</si>
  <si>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</si>
  <si>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</si>
  <si>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</si>
  <si>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</si>
  <si>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</si>
  <si>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</si>
  <si>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</si>
  <si>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</si>
  <si>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</si>
  <si>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</si>
  <si>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</si>
  <si>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</si>
  <si>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</si>
  <si>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</si>
  <si>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</si>
  <si>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</si>
  <si>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</si>
  <si>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</si>
  <si>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</si>
  <si>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</si>
  <si>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</si>
  <si>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</si>
  <si>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</si>
  <si>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</si>
  <si>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</si>
  <si>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</si>
  <si>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</si>
  <si>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</si>
  <si>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</si>
  <si>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</si>
  <si>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</si>
  <si>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</si>
  <si>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</si>
  <si>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</si>
  <si>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</si>
  <si>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</si>
  <si>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</si>
  <si>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</si>
  <si>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</si>
  <si>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</si>
  <si>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</si>
  <si>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</si>
  <si>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</si>
  <si>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</si>
  <si>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</si>
  <si>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</si>
  <si>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</si>
  <si>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</si>
  <si>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</si>
  <si>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</si>
  <si>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</si>
  <si>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</si>
  <si>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</si>
  <si>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</si>
  <si>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</si>
  <si>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</si>
  <si>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</si>
  <si>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</si>
  <si>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</si>
  <si>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</si>
  <si>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</si>
  <si>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</si>
  <si>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</si>
  <si>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</si>
  <si>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</si>
  <si>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</si>
  <si>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</si>
  <si>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</si>
  <si>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</si>
  <si>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</si>
  <si>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</si>
  <si>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</si>
  <si>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</si>
  <si>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</si>
  <si>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</si>
  <si>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</si>
  <si>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</si>
  <si>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</si>
  <si>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</si>
  <si>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</si>
  <si>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</si>
  <si>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</si>
  <si>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</si>
  <si>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</si>
  <si>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</si>
  <si>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</si>
  <si>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</si>
  <si>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</si>
  <si>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</si>
  <si>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</si>
  <si>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</si>
  <si>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</si>
  <si>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</si>
  <si>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</si>
  <si>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</si>
  <si>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</si>
  <si>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</si>
  <si>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</si>
  <si>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</si>
  <si>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</si>
  <si>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</si>
  <si>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</si>
  <si>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</si>
  <si>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</si>
  <si>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</si>
  <si>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</si>
  <si>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</si>
  <si>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</si>
  <si>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</si>
  <si>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</si>
  <si>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</si>
  <si>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</si>
  <si>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</si>
  <si>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</si>
  <si>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</si>
  <si>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</si>
  <si>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</si>
  <si>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</si>
  <si>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</si>
  <si>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</si>
  <si>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</si>
  <si>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</si>
  <si>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</si>
  <si>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</si>
  <si>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</si>
  <si>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</si>
  <si>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</si>
  <si>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</si>
  <si>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</si>
  <si>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</si>
  <si>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</si>
  <si>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</si>
  <si>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</si>
  <si>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</si>
  <si>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</si>
  <si>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</si>
  <si>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</si>
  <si>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</si>
  <si>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</si>
  <si>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</si>
  <si>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</si>
  <si>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</si>
  <si>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</si>
  <si>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</si>
  <si>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</si>
  <si>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</si>
  <si>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</si>
  <si>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</si>
  <si>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</si>
  <si>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</si>
  <si>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</si>
  <si>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</si>
  <si>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</si>
  <si>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</si>
  <si>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</si>
  <si>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</si>
  <si>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</si>
  <si>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</si>
  <si>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</si>
  <si>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</si>
  <si>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</si>
  <si>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</si>
  <si>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</si>
  <si>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</si>
  <si>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</si>
  <si>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</si>
  <si>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</si>
  <si>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</si>
  <si>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</si>
  <si>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</si>
  <si>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</si>
  <si>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</si>
  <si>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</si>
  <si>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</si>
  <si>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</si>
  <si>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</si>
  <si>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</si>
  <si>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</si>
  <si>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</si>
  <si>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</si>
  <si>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</si>
  <si>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</si>
  <si>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</si>
  <si>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</si>
  <si>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</si>
  <si>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</si>
  <si>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</si>
  <si>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</si>
  <si>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</si>
  <si>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</si>
  <si>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</si>
  <si>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</si>
  <si>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</si>
  <si>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</si>
  <si>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</si>
  <si>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</si>
  <si>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</si>
  <si>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</si>
  <si>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</si>
  <si>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</si>
  <si>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</si>
  <si>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</si>
  <si>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</si>
  <si>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</si>
  <si>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</si>
  <si>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</si>
  <si>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</si>
  <si>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</si>
  <si>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</si>
  <si>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</si>
  <si>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</si>
  <si>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</si>
  <si>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</si>
  <si>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</si>
  <si>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</si>
  <si>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</si>
  <si>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</si>
  <si>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</si>
  <si>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</si>
  <si>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</si>
  <si>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</si>
  <si>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</si>
  <si>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</si>
  <si>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</si>
  <si>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</si>
  <si>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</si>
  <si>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</si>
  <si>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</si>
  <si>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</si>
  <si>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</si>
  <si>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</si>
  <si>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</si>
  <si>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</si>
  <si>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</si>
  <si>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</si>
  <si>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</si>
  <si>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</si>
  <si>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</si>
  <si>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</si>
  <si>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</si>
  <si>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</si>
  <si>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</si>
  <si>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</si>
  <si>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</si>
  <si>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</si>
  <si>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</si>
  <si>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</si>
  <si>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</si>
  <si>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</si>
  <si>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</si>
  <si>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</si>
  <si>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</si>
  <si>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</si>
  <si>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</si>
  <si>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</si>
  <si>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</si>
  <si>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</si>
  <si>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</si>
  <si>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</si>
  <si>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</si>
  <si>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</si>
  <si>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</si>
  <si>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</si>
  <si>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</si>
  <si>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</si>
  <si>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</si>
  <si>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</si>
  <si>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</si>
  <si>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</si>
  <si>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</si>
  <si>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</si>
  <si>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</si>
  <si>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</si>
  <si>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</si>
  <si>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</si>
  <si>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</si>
  <si>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</si>
  <si>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</si>
  <si>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</si>
  <si>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</si>
  <si>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</si>
  <si>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</si>
  <si>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</si>
  <si>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</si>
  <si>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</si>
  <si>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</si>
  <si>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</si>
  <si>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</si>
  <si>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</si>
  <si>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</si>
  <si>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</si>
  <si>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</si>
  <si>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</si>
  <si>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</si>
  <si>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</si>
  <si>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</si>
  <si>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</si>
  <si>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</si>
  <si>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</si>
  <si>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</si>
  <si>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</si>
  <si>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App No</t>
  </si>
  <si>
    <t>Customer Name</t>
  </si>
  <si>
    <t>Add Asset</t>
  </si>
  <si>
    <t>Mobil;Motor</t>
  </si>
  <si>
    <t>;</t>
  </si>
  <si>
    <t>500000000;20000000</t>
  </si>
  <si>
    <t>1;1</t>
  </si>
  <si>
    <t>$Bank Name</t>
  </si>
  <si>
    <t>$Bank Branch</t>
  </si>
  <si>
    <t>$Account Name</t>
  </si>
  <si>
    <t>$Account No</t>
  </si>
  <si>
    <t>$Beginning Balance</t>
  </si>
  <si>
    <t>FAILED</t>
  </si>
  <si>
    <t>Button Save Tidak Berfungsi</t>
  </si>
  <si>
    <t>1000000;2000000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</si>
</sst>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1" fillId="4" fontId="0" numFmtId="0" xfId="0"/>
    <xf applyBorder="1" applyFill="1" borderId="5" fillId="2" fontId="0" numFmtId="0" xfId="0"/>
    <xf applyFill="1" borderId="0" fillId="2"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4">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topLeftCell="A4" workbookViewId="0">
      <selection activeCell="B16" sqref="B16"/>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4</v>
      </c>
      <c r="B1" s="2" t="s">
        <v>3366</v>
      </c>
      <c r="C1" s="2" t="s">
        <v>3366</v>
      </c>
      <c r="D1" s="2" t="s">
        <v>2790</v>
      </c>
      <c r="E1" s="2" t="s">
        <v>2790</v>
      </c>
    </row>
    <row customFormat="1" r="2" s="2" spans="1:5" x14ac:dyDescent="0.25">
      <c r="A2" s="2" t="s">
        <v>3401</v>
      </c>
    </row>
    <row customFormat="1" r="3" s="2" spans="1:5" x14ac:dyDescent="0.25">
      <c r="A3" s="2" t="s">
        <v>3402</v>
      </c>
      <c r="B3" t="s">
        <v>3367</v>
      </c>
    </row>
    <row customFormat="1" r="4" s="2" spans="1:5" x14ac:dyDescent="0.25">
      <c r="A4" s="2" t="s">
        <v>3415</v>
      </c>
      <c r="B4" s="2">
        <f>COUNTIFS($A$14:$A$15, "*$*",B14:B15,"")+COUNTIFS($A$20:$A$22,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3080</v>
      </c>
      <c r="B12" s="2" t="str">
        <f>'[1]1.TabCustomerMainData'!$B$13</f>
        <v>0002APP20211200164</v>
      </c>
    </row>
    <row customFormat="1" r="13" s="2" spans="1:5" x14ac:dyDescent="0.25">
      <c r="A13" s="39" t="s">
        <v>3081</v>
      </c>
      <c r="B13" t="s">
        <v>3400</v>
      </c>
      <c r="C13" s="2" t="s">
        <v>3400</v>
      </c>
    </row>
    <row customFormat="1" r="14" s="2" spans="1:5" x14ac:dyDescent="0.25">
      <c r="A14" s="30" t="s">
        <v>3465</v>
      </c>
      <c r="B14" s="34">
        <v>44535</v>
      </c>
      <c r="C14" s="34">
        <v>44536</v>
      </c>
    </row>
    <row customFormat="1" r="15" s="2" spans="1:5" x14ac:dyDescent="0.25">
      <c r="A15" s="30" t="s">
        <v>3466</v>
      </c>
      <c r="B15" s="1">
        <v>500</v>
      </c>
      <c r="C15" s="1">
        <v>501</v>
      </c>
    </row>
    <row customFormat="1" r="16" s="2" spans="1:5" x14ac:dyDescent="0.25">
      <c r="A16" s="1" t="s">
        <v>5</v>
      </c>
      <c r="B16" s="1"/>
      <c r="C16" s="1"/>
    </row>
    <row customFormat="1" r="17" s="2" spans="1:3" x14ac:dyDescent="0.25">
      <c r="A17" s="1" t="s">
        <v>0</v>
      </c>
      <c r="B17" s="1"/>
      <c r="C17" s="1"/>
    </row>
    <row customFormat="1" r="18" s="2" spans="1:3" x14ac:dyDescent="0.25">
      <c r="A18" s="1" t="s">
        <v>1</v>
      </c>
      <c r="B18" s="1" t="s">
        <v>3399</v>
      </c>
      <c r="C18" s="1" t="s">
        <v>3399</v>
      </c>
    </row>
    <row customFormat="1" r="19" s="2" spans="1:3" x14ac:dyDescent="0.25">
      <c r="A19" s="1" t="s">
        <v>2</v>
      </c>
      <c r="B19" s="1"/>
      <c r="C19" s="1"/>
    </row>
    <row customFormat="1" r="20" s="2" spans="1:3" x14ac:dyDescent="0.25">
      <c r="A20" s="32" t="s">
        <v>3467</v>
      </c>
      <c r="B20" s="1" t="str">
        <f>VLOOKUP(B21,Master!$AK:$AL,2,FALSE)</f>
        <v>1119</v>
      </c>
      <c r="C20" s="1" t="str">
        <f>VLOOKUP(C21,Master!$AK:$AL,2,FALSE)</f>
        <v>1119</v>
      </c>
    </row>
    <row customFormat="1" r="21" s="2" spans="1:3" x14ac:dyDescent="0.25">
      <c r="A21" s="30" t="s">
        <v>3468</v>
      </c>
      <c r="B21" s="1" t="s">
        <v>2821</v>
      </c>
      <c r="C21" s="1" t="s">
        <v>2821</v>
      </c>
    </row>
    <row customFormat="1" r="22" s="2" spans="1:3" x14ac:dyDescent="0.25">
      <c r="A22" s="1" t="s">
        <v>3469</v>
      </c>
      <c r="B22" s="1" t="s">
        <v>3</v>
      </c>
      <c r="C22" s="1" t="s">
        <v>3</v>
      </c>
    </row>
    <row customFormat="1" r="23" s="2" spans="1:3" x14ac:dyDescent="0.25">
      <c r="A23" s="31" t="s">
        <v>3470</v>
      </c>
      <c r="B23" s="1" t="s">
        <v>3101</v>
      </c>
      <c r="C23" s="1" t="s">
        <v>3101</v>
      </c>
    </row>
  </sheetData>
  <conditionalFormatting sqref="B23:XFD23">
    <cfRule dxfId="63" priority="2" type="expression">
      <formula>B$18="No"</formula>
    </cfRule>
  </conditionalFormatting>
  <conditionalFormatting sqref="A23">
    <cfRule dxfId="62"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workbookViewId="0">
      <selection activeCell="A8" sqref="A8:XFD8"/>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4</v>
      </c>
      <c r="B1" t="s">
        <v>3366</v>
      </c>
      <c r="C1" t="s">
        <v>3366</v>
      </c>
      <c r="D1" s="2" t="s">
        <v>2790</v>
      </c>
      <c r="E1" s="2" t="s">
        <v>2790</v>
      </c>
    </row>
    <row customFormat="1" r="2" s="2" spans="1:5" x14ac:dyDescent="0.25">
      <c r="A2" s="2" t="s">
        <v>3401</v>
      </c>
    </row>
    <row customFormat="1" r="3" s="2" spans="1:5" x14ac:dyDescent="0.25">
      <c r="A3" s="2" t="s">
        <v>3402</v>
      </c>
    </row>
    <row customFormat="1" r="4" s="2" spans="1:5" x14ac:dyDescent="0.25">
      <c r="A4" s="2" t="s">
        <v>3415</v>
      </c>
      <c r="B4" s="2">
        <f>IF(B13="",COUNTIFS($A$12:$A$32, "*$*",B12:B32,""),0)</f>
        <v>0</v>
      </c>
      <c r="C4" s="2">
        <f>IF(C13="",COUNTIFS($A$12:$A$32, "*$*",C12:C32,""),0)</f>
        <v>0</v>
      </c>
    </row>
    <row customFormat="1" r="5" s="2" spans="1:5" x14ac:dyDescent="0.25"/>
    <row customFormat="1" r="6" s="2" spans="1:5" x14ac:dyDescent="0.25"/>
    <row customFormat="1" r="7" s="2" spans="1:5" x14ac:dyDescent="0.25"/>
    <row customFormat="1" r="8" s="49" spans="1:5" x14ac:dyDescent="0.25"/>
    <row customFormat="1" r="9" s="2" spans="1:5" x14ac:dyDescent="0.25">
      <c r="A9" s="2" t="s">
        <v>3474</v>
      </c>
      <c r="B9" s="2" t="str">
        <f>'1.CustomerDetail'!B12</f>
        <v>0002APP20211200164</v>
      </c>
      <c r="C9" s="2" t="str">
        <f>'1.CustomerDetail'!B12</f>
        <v>0002APP20211200164</v>
      </c>
    </row>
    <row customFormat="1" r="10" s="2" spans="1:5" x14ac:dyDescent="0.25">
      <c r="A10" s="2" t="s">
        <v>3475</v>
      </c>
      <c r="B10" s="2" t="str">
        <f>'1.CustomerDetail'!B13</f>
        <v>PT POKE</v>
      </c>
      <c r="C10" s="2" t="str">
        <f>'1.CustomerDetail'!B13</f>
        <v>PT POKE</v>
      </c>
    </row>
    <row customFormat="1" r="11" s="43" spans="1:5" x14ac:dyDescent="0.25">
      <c r="B11" s="42"/>
      <c r="C11" s="42"/>
    </row>
    <row customFormat="1" r="12" s="2" spans="1:5" x14ac:dyDescent="0.25">
      <c r="A12" s="30" t="s">
        <v>3454</v>
      </c>
      <c r="B12" s="2" t="s">
        <v>6</v>
      </c>
      <c r="C12" s="2" t="s">
        <v>6</v>
      </c>
    </row>
    <row customFormat="1" r="13" s="2" spans="1:5" x14ac:dyDescent="0.25">
      <c r="A13" s="2" t="s">
        <v>7</v>
      </c>
    </row>
    <row customFormat="1" r="14" s="2" spans="1:5" x14ac:dyDescent="0.25">
      <c r="A14" s="30" t="s">
        <v>3455</v>
      </c>
      <c r="B14" s="41" t="s">
        <v>3390</v>
      </c>
      <c r="C14" s="41" t="s">
        <v>3390</v>
      </c>
    </row>
    <row customFormat="1" r="15" s="2" spans="1:5" x14ac:dyDescent="0.25">
      <c r="A15" s="30" t="s">
        <v>3456</v>
      </c>
      <c r="B15" s="33">
        <v>12</v>
      </c>
      <c r="C15" s="33">
        <v>12</v>
      </c>
    </row>
    <row customFormat="1" r="16" s="2" spans="1:5" x14ac:dyDescent="0.25">
      <c r="A16" s="30" t="s">
        <v>3457</v>
      </c>
      <c r="B16" s="33">
        <v>12</v>
      </c>
      <c r="C16" s="33">
        <v>12</v>
      </c>
    </row>
    <row customFormat="1" r="17" s="2" spans="1:3" x14ac:dyDescent="0.25">
      <c r="A17" s="30" t="s">
        <v>3458</v>
      </c>
      <c r="B17" s="1">
        <v>40242</v>
      </c>
      <c r="C17" s="1">
        <v>40242</v>
      </c>
    </row>
    <row customFormat="1" r="18" s="2" spans="1:3" x14ac:dyDescent="0.25">
      <c r="A18" s="30" t="s">
        <v>3459</v>
      </c>
      <c r="B18" s="2" t="s">
        <v>3376</v>
      </c>
      <c r="C18" s="2" t="s">
        <v>3376</v>
      </c>
    </row>
    <row customFormat="1" r="19" s="2" spans="1:3" x14ac:dyDescent="0.25">
      <c r="A19" s="30" t="s">
        <v>3460</v>
      </c>
      <c r="B19" s="2" t="s">
        <v>3377</v>
      </c>
      <c r="C19" s="2" t="s">
        <v>3377</v>
      </c>
    </row>
    <row customFormat="1" r="20" s="2" spans="1:3" x14ac:dyDescent="0.25">
      <c r="A20" s="30" t="s">
        <v>3461</v>
      </c>
      <c r="B20" s="2" t="s">
        <v>3378</v>
      </c>
      <c r="C20" s="2" t="s">
        <v>3378</v>
      </c>
    </row>
    <row customFormat="1" r="21" s="2" spans="1:3" x14ac:dyDescent="0.25">
      <c r="A21" s="30" t="s">
        <v>3462</v>
      </c>
      <c r="B21" s="33">
        <v>1212</v>
      </c>
      <c r="C21" s="33">
        <v>1212</v>
      </c>
    </row>
    <row customFormat="1" r="22" s="2" spans="1:3" x14ac:dyDescent="0.25">
      <c r="A22" s="30" t="s">
        <v>3463</v>
      </c>
      <c r="B22" s="41">
        <v>1234</v>
      </c>
      <c r="C22" s="41">
        <v>1234</v>
      </c>
    </row>
    <row customFormat="1" r="23" s="2" spans="1:3" x14ac:dyDescent="0.25">
      <c r="A23" s="1" t="s">
        <v>3086</v>
      </c>
      <c r="B23" s="33" t="s">
        <v>3367</v>
      </c>
      <c r="C23" s="33" t="s">
        <v>3367</v>
      </c>
    </row>
    <row customFormat="1" r="24" s="2" spans="1:3" x14ac:dyDescent="0.25">
      <c r="A24" s="2" t="s">
        <v>3087</v>
      </c>
      <c r="B24" s="33"/>
      <c r="C24" s="33"/>
    </row>
    <row customFormat="1" r="25" s="2" spans="1:3" x14ac:dyDescent="0.25">
      <c r="A25" s="2" t="s">
        <v>3088</v>
      </c>
      <c r="B25" s="1"/>
      <c r="C25" s="1"/>
    </row>
    <row customFormat="1" r="26" s="2" spans="1:3" x14ac:dyDescent="0.25">
      <c r="A26" s="2" t="s">
        <v>3089</v>
      </c>
      <c r="B26" s="1"/>
      <c r="C26" s="1"/>
    </row>
    <row customFormat="1" r="27" s="2" spans="1:3" x14ac:dyDescent="0.25">
      <c r="A27" s="2" t="s">
        <v>3090</v>
      </c>
      <c r="B27" s="33"/>
      <c r="C27" s="33"/>
    </row>
    <row customFormat="1" r="28" s="2" spans="1:3" x14ac:dyDescent="0.25">
      <c r="A28" s="2" t="s">
        <v>3091</v>
      </c>
      <c r="B28" s="1"/>
      <c r="C28" s="1"/>
    </row>
    <row customFormat="1" r="29" s="2" spans="1:3" x14ac:dyDescent="0.25">
      <c r="A29" s="2" t="s">
        <v>3092</v>
      </c>
      <c r="B29" s="1"/>
      <c r="C29" s="1"/>
    </row>
    <row customFormat="1" r="30" s="2" spans="1:3" x14ac:dyDescent="0.25">
      <c r="A30" s="2" t="s">
        <v>3093</v>
      </c>
      <c r="B30" s="33" t="s">
        <v>3367</v>
      </c>
      <c r="C30" s="33" t="s">
        <v>3367</v>
      </c>
    </row>
    <row customFormat="1" r="31" s="2" spans="1:3" x14ac:dyDescent="0.25">
      <c r="A31" s="2" t="s">
        <v>3094</v>
      </c>
      <c r="B31" s="1"/>
      <c r="C31" s="1"/>
    </row>
    <row customFormat="1" r="32" s="2" spans="1:3" x14ac:dyDescent="0.25">
      <c r="A32" s="30" t="s">
        <v>3464</v>
      </c>
      <c r="B32" s="1" t="s">
        <v>15</v>
      </c>
      <c r="C32" s="1" t="s">
        <v>15</v>
      </c>
    </row>
  </sheetData>
  <conditionalFormatting sqref="D14:XFD20 B15:C17">
    <cfRule dxfId="61" priority="2" type="expression">
      <formula>AND(B$13&lt;&gt;"",B$13&lt;&gt;"Copy Address From")</formula>
    </cfRule>
  </conditionalFormatting>
  <conditionalFormatting sqref="A14:A20">
    <cfRule dxfId="60" priority="1" type="expression">
      <formula>AND(A$13&lt;&gt;"",A$13&lt;&gt;"Copy Address From")</formula>
    </cfRule>
  </conditionalFormatting>
  <dataValidations count="5">
    <dataValidation allowBlank="1" errorStyle="information" showErrorMessage="1" showInputMessage="1" sqref="B17:C17" type="custom">
      <formula1>ISBLANK(B$13)</formula1>
    </dataValidation>
    <dataValidation allowBlank="1" errorStyle="information" showErrorMessage="1" showInputMessage="1" sqref="B12:C12" type="list">
      <formula1>"Business, Company, Legal, Mailing"</formula1>
    </dataValidation>
    <dataValidation allowBlank="1" errorStyle="information" showErrorMessage="1" showInputMessage="1" sqref="B14:C14 B18:C31"/>
    <dataValidation allowBlank="1" errorStyle="information" showErrorMessage="1" showInputMessage="1" sqref="B15:C16" type="custom">
      <formula1>ISBLANK(B$13)</formula1>
    </dataValidation>
    <dataValidation allowBlank="1" errorStyle="information" showErrorMessage="1" showInputMessage="1" sqref="B32:C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A4" sqref="A4:B5"/>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4</v>
      </c>
      <c r="B1" s="2" t="s">
        <v>3366</v>
      </c>
      <c r="C1" s="2" t="s">
        <v>2790</v>
      </c>
      <c r="D1" s="2" t="s">
        <v>2790</v>
      </c>
      <c r="E1" s="2" t="s">
        <v>2790</v>
      </c>
    </row>
    <row customFormat="1" r="2" s="2" spans="1:5" x14ac:dyDescent="0.25">
      <c r="A2" s="2" t="s">
        <v>3401</v>
      </c>
    </row>
    <row customFormat="1" r="3" s="2" spans="1:5" x14ac:dyDescent="0.25">
      <c r="A3" s="2" t="s">
        <v>3402</v>
      </c>
    </row>
    <row customFormat="1" r="4" s="2" spans="1:5" x14ac:dyDescent="0.25">
      <c r="A4" s="2" t="s">
        <v>3415</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3082</v>
      </c>
      <c r="B11" s="45"/>
      <c r="C11" s="46"/>
    </row>
    <row customFormat="1" r="12" s="2" spans="1:5" x14ac:dyDescent="0.25">
      <c r="A12" s="30" t="s">
        <v>3446</v>
      </c>
      <c r="B12" s="2" t="s">
        <v>3391</v>
      </c>
      <c r="C12" s="2" t="s">
        <v>3391</v>
      </c>
      <c r="D12" s="2" t="s">
        <v>3391</v>
      </c>
    </row>
    <row customFormat="1" r="13" s="2" spans="1:5" x14ac:dyDescent="0.25">
      <c r="A13" s="30" t="s">
        <v>3447</v>
      </c>
      <c r="B13" s="2" t="s">
        <v>3380</v>
      </c>
      <c r="C13" s="2" t="s">
        <v>3380</v>
      </c>
      <c r="D13" s="2" t="s">
        <v>3380</v>
      </c>
    </row>
    <row customFormat="1" r="14" s="2" spans="1:5" x14ac:dyDescent="0.25">
      <c r="A14" s="2" t="s">
        <v>3448</v>
      </c>
      <c r="B14" s="2" t="s">
        <v>3392</v>
      </c>
      <c r="C14" s="2" t="s">
        <v>3392</v>
      </c>
      <c r="D14" s="2" t="s">
        <v>3392</v>
      </c>
    </row>
    <row customFormat="1" r="15" s="2" spans="1:5" x14ac:dyDescent="0.25">
      <c r="A15" s="2" t="s">
        <v>3449</v>
      </c>
      <c r="B15" s="33" t="s">
        <v>3393</v>
      </c>
      <c r="C15" s="33" t="s">
        <v>3393</v>
      </c>
      <c r="D15" s="33" t="s">
        <v>3393</v>
      </c>
    </row>
    <row customFormat="1" r="16" s="2" spans="1:5" x14ac:dyDescent="0.25">
      <c r="A16" s="2" t="s">
        <v>3450</v>
      </c>
      <c r="B16" s="34" t="s">
        <v>3379</v>
      </c>
      <c r="C16" s="34" t="s">
        <v>3409</v>
      </c>
      <c r="D16" s="34" t="s">
        <v>3410</v>
      </c>
    </row>
    <row customFormat="1" r="17" s="2" spans="1:4" x14ac:dyDescent="0.25">
      <c r="A17" s="30" t="s">
        <v>3451</v>
      </c>
      <c r="B17" s="33" t="s">
        <v>3394</v>
      </c>
      <c r="C17" s="33" t="s">
        <v>3411</v>
      </c>
      <c r="D17" s="33" t="s">
        <v>3412</v>
      </c>
    </row>
    <row customFormat="1" r="18" s="2" spans="1:4" x14ac:dyDescent="0.25">
      <c r="A18" s="2" t="s">
        <v>18</v>
      </c>
      <c r="B18" s="3"/>
      <c r="C18" s="3"/>
      <c r="D18" s="3"/>
    </row>
    <row customFormat="1" r="19" s="2" spans="1:4" x14ac:dyDescent="0.25">
      <c r="A19" s="30" t="s">
        <v>3452</v>
      </c>
      <c r="B19" s="2" t="s">
        <v>3395</v>
      </c>
      <c r="C19" s="2" t="s">
        <v>3395</v>
      </c>
      <c r="D19" s="2" t="s">
        <v>3395</v>
      </c>
    </row>
    <row customFormat="1" r="20" s="2" spans="1:4" x14ac:dyDescent="0.25">
      <c r="A20" s="30" t="s">
        <v>3453</v>
      </c>
      <c r="B20" s="2" t="s">
        <v>3059</v>
      </c>
      <c r="C20" s="2" t="s">
        <v>3059</v>
      </c>
      <c r="D20" s="2" t="s">
        <v>3059</v>
      </c>
    </row>
    <row customFormat="1" r="21" s="2" spans="1:4" x14ac:dyDescent="0.25">
      <c r="A21" s="2" t="s">
        <v>21</v>
      </c>
    </row>
    <row customFormat="1" r="22" s="2" spans="1:4" x14ac:dyDescent="0.25">
      <c r="A22" s="2" t="s">
        <v>22</v>
      </c>
      <c r="B22" s="4"/>
      <c r="C22" s="4"/>
      <c r="D22" s="4"/>
    </row>
    <row customFormat="1" r="23" s="2" spans="1:4" x14ac:dyDescent="0.25">
      <c r="A23" s="5" t="s">
        <v>23</v>
      </c>
    </row>
    <row customFormat="1" r="24" s="2" spans="1:4" x14ac:dyDescent="0.25">
      <c r="A24" s="2" t="s">
        <v>24</v>
      </c>
      <c r="B24" s="1"/>
      <c r="C24" s="1"/>
      <c r="D24" s="1"/>
    </row>
    <row customFormat="1" r="25" s="2" spans="1:4" x14ac:dyDescent="0.25">
      <c r="A25" s="2" t="s">
        <v>25</v>
      </c>
    </row>
    <row customFormat="1" r="26" s="47" spans="1:4" x14ac:dyDescent="0.25">
      <c r="A26" s="44" t="s">
        <v>3083</v>
      </c>
      <c r="B26" s="45"/>
      <c r="C26" s="45"/>
      <c r="D26" s="45"/>
    </row>
    <row customFormat="1" r="27" s="2" spans="1:4" x14ac:dyDescent="0.25">
      <c r="A27" s="2" t="s">
        <v>8</v>
      </c>
      <c r="B27" s="2" t="s">
        <v>3382</v>
      </c>
      <c r="C27" s="2" t="s">
        <v>3413</v>
      </c>
      <c r="D27" s="2" t="s">
        <v>3414</v>
      </c>
    </row>
    <row customFormat="1" r="28" s="2" spans="1:4" x14ac:dyDescent="0.25">
      <c r="A28" s="2" t="s">
        <v>9</v>
      </c>
      <c r="B28" s="33" t="s">
        <v>79</v>
      </c>
      <c r="C28" s="33" t="s">
        <v>79</v>
      </c>
      <c r="D28" s="33" t="s">
        <v>79</v>
      </c>
    </row>
    <row customFormat="1" r="29" s="2" spans="1:4" x14ac:dyDescent="0.25">
      <c r="A29" s="2" t="s">
        <v>10</v>
      </c>
      <c r="B29" s="33" t="s">
        <v>79</v>
      </c>
      <c r="C29" s="33" t="s">
        <v>79</v>
      </c>
      <c r="D29" s="33" t="s">
        <v>79</v>
      </c>
    </row>
    <row customFormat="1" r="30" s="2" spans="1:4" x14ac:dyDescent="0.25">
      <c r="A30" s="2" t="s">
        <v>26</v>
      </c>
      <c r="B30" s="1">
        <v>40266</v>
      </c>
      <c r="C30" s="1">
        <v>40267</v>
      </c>
      <c r="D30" s="1">
        <v>40268</v>
      </c>
    </row>
    <row customFormat="1" r="31" s="2" spans="1:4" x14ac:dyDescent="0.25">
      <c r="A31" s="2" t="s">
        <v>12</v>
      </c>
      <c r="B31" s="2" t="s">
        <v>3383</v>
      </c>
      <c r="C31" s="2" t="s">
        <v>3383</v>
      </c>
      <c r="D31" s="2" t="s">
        <v>3383</v>
      </c>
    </row>
    <row customFormat="1" r="32" s="2" spans="1:4" x14ac:dyDescent="0.25">
      <c r="A32" s="2" t="s">
        <v>11</v>
      </c>
      <c r="B32" s="2" t="s">
        <v>3384</v>
      </c>
      <c r="C32" s="2" t="s">
        <v>3384</v>
      </c>
      <c r="D32" s="2" t="s">
        <v>3384</v>
      </c>
    </row>
    <row customFormat="1" r="33" s="2" spans="1:4" x14ac:dyDescent="0.25">
      <c r="A33" s="2" t="s">
        <v>13</v>
      </c>
      <c r="B33" s="2" t="s">
        <v>3381</v>
      </c>
      <c r="C33" s="2" t="s">
        <v>3381</v>
      </c>
      <c r="D33" s="2" t="s">
        <v>3381</v>
      </c>
    </row>
    <row customFormat="1" r="34" s="2" spans="1:4" x14ac:dyDescent="0.25">
      <c r="A34" s="1" t="s">
        <v>3084</v>
      </c>
      <c r="B34" s="1"/>
      <c r="C34" s="1"/>
      <c r="D34" s="1"/>
    </row>
    <row customFormat="1" r="35" s="2" spans="1:4" x14ac:dyDescent="0.25">
      <c r="A35" s="1" t="s">
        <v>3085</v>
      </c>
      <c r="B35" s="1"/>
      <c r="C35" s="1"/>
      <c r="D35" s="1"/>
    </row>
    <row customFormat="1" r="36" s="2" spans="1:4" x14ac:dyDescent="0.25">
      <c r="A36" s="1" t="s">
        <v>3086</v>
      </c>
      <c r="B36" s="1"/>
      <c r="C36" s="1"/>
      <c r="D36" s="1"/>
    </row>
    <row customFormat="1" r="37" s="2" spans="1:4" x14ac:dyDescent="0.25">
      <c r="A37" s="1" t="s">
        <v>3087</v>
      </c>
      <c r="B37" s="1"/>
      <c r="C37" s="1"/>
      <c r="D37" s="1"/>
    </row>
    <row customFormat="1" r="38" s="2" spans="1:4" x14ac:dyDescent="0.25">
      <c r="A38" s="1" t="s">
        <v>3088</v>
      </c>
      <c r="B38" s="1"/>
      <c r="C38" s="1"/>
      <c r="D38" s="1"/>
    </row>
    <row customFormat="1" r="39" s="2" spans="1:4" x14ac:dyDescent="0.25">
      <c r="A39" s="1" t="s">
        <v>3089</v>
      </c>
      <c r="B39" s="1"/>
      <c r="C39" s="1"/>
      <c r="D39" s="1"/>
    </row>
    <row customFormat="1" r="40" s="2" spans="1:4" x14ac:dyDescent="0.25">
      <c r="A40" s="2" t="s">
        <v>3093</v>
      </c>
      <c r="B40" s="1"/>
      <c r="C40" s="1"/>
      <c r="D40" s="1"/>
    </row>
    <row customFormat="1" r="41" s="2" spans="1:4" x14ac:dyDescent="0.25">
      <c r="A41" s="2" t="s">
        <v>3094</v>
      </c>
      <c r="B41" s="1"/>
      <c r="C41" s="1"/>
      <c r="D41" s="1"/>
    </row>
  </sheetData>
  <conditionalFormatting sqref="B16:XFD16">
    <cfRule dxfId="59" priority="2" type="expression">
      <formula>OR(B$14="AKTA",B$14="E-KTP",B$14="NPWP")</formula>
    </cfRule>
  </conditionalFormatting>
  <conditionalFormatting sqref="A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3"/>
  <sheetViews>
    <sheetView tabSelected="1" topLeftCell="A55" workbookViewId="0">
      <selection activeCell="B74" sqref="B74"/>
    </sheetView>
  </sheetViews>
  <sheetFormatPr defaultRowHeight="15" x14ac:dyDescent="0.25"/>
  <cols>
    <col min="1" max="1" bestFit="true" customWidth="true" width="49.85546875" collapsed="true"/>
    <col min="2" max="2" bestFit="true" customWidth="true" width="28.5703125" collapsed="true"/>
    <col min="3" max="3" bestFit="true" customWidth="true" width="19.85546875" collapsed="true"/>
  </cols>
  <sheetData>
    <row customFormat="1" r="1" s="48" spans="1:5" x14ac:dyDescent="0.25">
      <c r="A1" s="48" t="s">
        <v>4</v>
      </c>
      <c r="B1" t="s">
        <v>3366</v>
      </c>
      <c r="C1" s="48" t="s">
        <v>2790</v>
      </c>
      <c r="D1" s="48" t="s">
        <v>2790</v>
      </c>
      <c r="E1" s="48" t="s">
        <v>2790</v>
      </c>
    </row>
    <row customFormat="1" r="2" s="2" spans="1:5" x14ac:dyDescent="0.25">
      <c r="A2" s="2" t="s">
        <v>3401</v>
      </c>
      <c r="B2" t="s">
        <v>3487</v>
      </c>
    </row>
    <row customFormat="1" r="3" s="2" spans="1:5" x14ac:dyDescent="0.25">
      <c r="A3" s="2" t="s">
        <v>3402</v>
      </c>
    </row>
    <row customFormat="1" r="4" s="2" spans="1:5" x14ac:dyDescent="0.25">
      <c r="A4" s="2" t="s">
        <v>3415</v>
      </c>
      <c r="B4" s="2">
        <f>COUNTIFS($A$12,"*$*",B12,"")+COUNTIFS($A$35,"*$*",B35,"")+IF(B10&lt;&gt;A10,COUNTIFS($A$53:$A$54,"*$*",B53:B54,"")+COUNTIFS($A$61:$A$62,"*$*",B61:B62,""),0)</f>
        <v>0</v>
      </c>
      <c r="C4" s="2">
        <f>COUNTIFS($A$12,"*$*",C12,"")+COUNTIFS($A$35,"*$*",C35,"")+IF(C10&lt;&gt;B10,COUNTIFS($A$53:$A$54,"*$*",C53:C54,"")+COUNTIFS($A$61:$A$62,"*$*",C61:C62,""),0)</f>
        <v>0</v>
      </c>
    </row>
    <row customFormat="1" r="5" s="2" spans="1:5" x14ac:dyDescent="0.25"/>
    <row customFormat="1" r="6" s="2" spans="1:5" x14ac:dyDescent="0.25"/>
    <row customFormat="1" r="7" s="2" spans="1:5" x14ac:dyDescent="0.25"/>
    <row customFormat="1" r="8" s="2" spans="1:5" x14ac:dyDescent="0.25"/>
    <row customFormat="1" r="9" s="2" spans="1:5" x14ac:dyDescent="0.25">
      <c r="A9" s="2" t="s">
        <v>3080</v>
      </c>
      <c r="B9" s="2" t="str">
        <f>'1.CustomerDetail'!B12</f>
        <v>0002APP20211200164</v>
      </c>
      <c r="C9" s="2" t="str">
        <f>'1.CustomerDetail'!B12</f>
        <v>0002APP20211200164</v>
      </c>
    </row>
    <row customFormat="1" r="10" s="2" spans="1:5" x14ac:dyDescent="0.25">
      <c r="A10" s="2" t="s">
        <v>3475</v>
      </c>
      <c r="B10" s="2" t="str">
        <f>'1.CustomerDetail'!B13</f>
        <v>PT POKE</v>
      </c>
      <c r="C10" s="2" t="str">
        <f>'1.CustomerDetail'!B13</f>
        <v>PT POKE</v>
      </c>
    </row>
    <row customFormat="1" r="11" s="55" spans="1:5" x14ac:dyDescent="0.25">
      <c r="A11" s="52" t="s">
        <v>3096</v>
      </c>
      <c r="B11" s="53"/>
      <c r="C11" s="54"/>
    </row>
    <row customFormat="1" r="12" s="2" spans="1:5" x14ac:dyDescent="0.25">
      <c r="A12" s="31" t="s">
        <v>3440</v>
      </c>
      <c r="B12" s="35">
        <v>0</v>
      </c>
      <c r="C12" s="35">
        <v>0</v>
      </c>
      <c r="D12" s="35">
        <v>0</v>
      </c>
      <c r="E12" s="35">
        <v>0</v>
      </c>
    </row>
    <row customFormat="1" r="13" s="2" spans="1:5" x14ac:dyDescent="0.25">
      <c r="A13" s="1" t="s">
        <v>3095</v>
      </c>
      <c r="B13" s="36">
        <v>0</v>
      </c>
      <c r="C13" s="36">
        <v>0</v>
      </c>
      <c r="D13" s="36">
        <v>0</v>
      </c>
      <c r="E13" s="36">
        <v>0</v>
      </c>
    </row>
    <row customFormat="1" r="14" s="2" spans="1:5" x14ac:dyDescent="0.25">
      <c r="A14" s="1" t="s">
        <v>27</v>
      </c>
      <c r="B14" s="37">
        <v>1</v>
      </c>
      <c r="C14" s="37">
        <v>1</v>
      </c>
      <c r="D14" s="37">
        <v>1</v>
      </c>
      <c r="E14" s="37">
        <v>1</v>
      </c>
    </row>
    <row customFormat="1" r="15" s="2" spans="1:5" x14ac:dyDescent="0.25">
      <c r="A15" s="1" t="s">
        <v>28</v>
      </c>
      <c r="B15" s="37">
        <v>1</v>
      </c>
      <c r="C15" s="37">
        <v>1</v>
      </c>
      <c r="D15" s="37">
        <v>1</v>
      </c>
      <c r="E15" s="37">
        <v>1</v>
      </c>
    </row>
    <row customFormat="1" r="16" s="2" spans="1:5" x14ac:dyDescent="0.25">
      <c r="A16" s="1" t="s">
        <v>29</v>
      </c>
      <c r="B16" s="37">
        <v>1</v>
      </c>
      <c r="C16" s="37">
        <v>1</v>
      </c>
      <c r="D16" s="37">
        <v>1</v>
      </c>
      <c r="E16" s="37">
        <v>1</v>
      </c>
    </row>
    <row customFormat="1" r="17" s="2" spans="1:5" x14ac:dyDescent="0.25">
      <c r="A17" s="1" t="s">
        <v>30</v>
      </c>
      <c r="B17" s="37">
        <v>1</v>
      </c>
      <c r="C17" s="37">
        <v>1</v>
      </c>
      <c r="D17" s="37">
        <v>1</v>
      </c>
      <c r="E17" s="37">
        <v>1</v>
      </c>
    </row>
    <row customFormat="1" r="18" s="2" spans="1:5" x14ac:dyDescent="0.25">
      <c r="A18" s="1" t="s">
        <v>31</v>
      </c>
      <c r="B18" s="37">
        <v>1</v>
      </c>
      <c r="C18" s="37">
        <v>1</v>
      </c>
      <c r="D18" s="37">
        <v>1</v>
      </c>
      <c r="E18" s="37">
        <v>1</v>
      </c>
    </row>
    <row customFormat="1" r="19" s="2" spans="1:5" x14ac:dyDescent="0.25">
      <c r="A19" s="1" t="s">
        <v>32</v>
      </c>
      <c r="B19" s="37">
        <v>1</v>
      </c>
      <c r="C19" s="37">
        <v>1</v>
      </c>
      <c r="D19" s="37">
        <v>1</v>
      </c>
      <c r="E19" s="37">
        <v>1</v>
      </c>
    </row>
    <row customFormat="1" r="20" s="2" spans="1:5" x14ac:dyDescent="0.25">
      <c r="A20" s="1" t="s">
        <v>33</v>
      </c>
      <c r="B20" s="37">
        <v>1</v>
      </c>
      <c r="C20" s="37">
        <v>1</v>
      </c>
      <c r="D20" s="37">
        <v>1</v>
      </c>
      <c r="E20" s="37">
        <v>1</v>
      </c>
    </row>
    <row customFormat="1" r="21" s="2" spans="1:5" x14ac:dyDescent="0.25">
      <c r="A21" s="1" t="s">
        <v>34</v>
      </c>
      <c r="B21" s="37">
        <v>1</v>
      </c>
      <c r="C21" s="37">
        <v>1</v>
      </c>
      <c r="D21" s="37">
        <v>1</v>
      </c>
      <c r="E21" s="37">
        <v>1</v>
      </c>
    </row>
    <row customFormat="1" r="22" s="2" spans="1:5" x14ac:dyDescent="0.25">
      <c r="A22" s="1" t="s">
        <v>35</v>
      </c>
      <c r="B22" s="37">
        <v>1</v>
      </c>
      <c r="C22" s="37">
        <v>1</v>
      </c>
      <c r="D22" s="37">
        <v>1</v>
      </c>
      <c r="E22" s="37">
        <v>1</v>
      </c>
    </row>
    <row customFormat="1" r="23" s="2" spans="1:5" x14ac:dyDescent="0.25">
      <c r="A23" s="1" t="s">
        <v>36</v>
      </c>
      <c r="B23" s="36">
        <v>0</v>
      </c>
      <c r="C23" s="36">
        <v>0</v>
      </c>
      <c r="D23" s="36">
        <v>0</v>
      </c>
      <c r="E23" s="36">
        <v>0</v>
      </c>
    </row>
    <row customFormat="1" r="24" s="2" spans="1:5" x14ac:dyDescent="0.25">
      <c r="A24" s="1" t="s">
        <v>37</v>
      </c>
      <c r="B24" s="36">
        <v>0</v>
      </c>
      <c r="C24" s="36">
        <v>0</v>
      </c>
      <c r="D24" s="36">
        <v>0</v>
      </c>
      <c r="E24" s="36">
        <v>0</v>
      </c>
    </row>
    <row customFormat="1" r="25" s="2" spans="1:5" x14ac:dyDescent="0.25">
      <c r="A25" s="1" t="s">
        <v>38</v>
      </c>
      <c r="B25" s="36">
        <v>0</v>
      </c>
      <c r="C25" s="36">
        <v>0</v>
      </c>
      <c r="D25" s="36">
        <v>0</v>
      </c>
      <c r="E25" s="36">
        <v>0</v>
      </c>
    </row>
    <row customFormat="1" r="26" s="2" spans="1:5" x14ac:dyDescent="0.25">
      <c r="A26" s="1" t="s">
        <v>39</v>
      </c>
      <c r="B26" s="36">
        <v>0</v>
      </c>
      <c r="C26" s="36">
        <v>0</v>
      </c>
      <c r="D26" s="36">
        <v>0</v>
      </c>
      <c r="E26" s="36">
        <v>0</v>
      </c>
    </row>
    <row customFormat="1" r="27" s="2" spans="1:5" x14ac:dyDescent="0.25">
      <c r="A27" s="1" t="s">
        <v>40</v>
      </c>
      <c r="B27" s="36">
        <v>0</v>
      </c>
      <c r="C27" s="36">
        <v>0</v>
      </c>
      <c r="D27" s="36">
        <v>0</v>
      </c>
      <c r="E27" s="36">
        <v>0</v>
      </c>
    </row>
    <row customFormat="1" r="28" s="2" spans="1:5" x14ac:dyDescent="0.25">
      <c r="A28" s="1" t="s">
        <v>41</v>
      </c>
      <c r="B28" s="36">
        <v>0</v>
      </c>
      <c r="C28" s="36">
        <v>0</v>
      </c>
      <c r="D28" s="36">
        <v>0</v>
      </c>
      <c r="E28" s="36">
        <v>0</v>
      </c>
    </row>
    <row customFormat="1" r="29" s="2" spans="1:5" x14ac:dyDescent="0.25">
      <c r="A29" s="1" t="s">
        <v>42</v>
      </c>
      <c r="B29" s="36">
        <v>0</v>
      </c>
      <c r="C29" s="36">
        <v>0</v>
      </c>
      <c r="D29" s="36">
        <v>0</v>
      </c>
      <c r="E29" s="36">
        <v>0</v>
      </c>
    </row>
    <row customFormat="1" r="30" s="2" spans="1:5" x14ac:dyDescent="0.25">
      <c r="A30" s="1" t="s">
        <v>43</v>
      </c>
      <c r="B30" s="36">
        <v>0</v>
      </c>
      <c r="C30" s="36">
        <v>0</v>
      </c>
      <c r="D30" s="36">
        <v>0</v>
      </c>
      <c r="E30" s="36">
        <v>0</v>
      </c>
    </row>
    <row customFormat="1" r="31" s="2" spans="1:5" x14ac:dyDescent="0.25">
      <c r="A31" s="1" t="s">
        <v>44</v>
      </c>
      <c r="B31" s="36">
        <v>0</v>
      </c>
      <c r="C31" s="36">
        <v>0</v>
      </c>
      <c r="D31" s="36">
        <v>0</v>
      </c>
      <c r="E31" s="36">
        <v>0</v>
      </c>
    </row>
    <row customFormat="1" r="32" s="2" spans="1:5" x14ac:dyDescent="0.25">
      <c r="A32" s="1" t="s">
        <v>45</v>
      </c>
      <c r="B32" s="36">
        <v>0</v>
      </c>
      <c r="C32" s="36">
        <v>0</v>
      </c>
      <c r="D32" s="36">
        <v>0</v>
      </c>
      <c r="E32" s="36">
        <v>0</v>
      </c>
    </row>
    <row customFormat="1" r="33" s="2" spans="1:5" x14ac:dyDescent="0.25">
      <c r="A33" s="1" t="s">
        <v>46</v>
      </c>
      <c r="B33" s="36">
        <v>0</v>
      </c>
      <c r="C33" s="36">
        <v>0</v>
      </c>
      <c r="D33" s="36">
        <v>0</v>
      </c>
      <c r="E33" s="36">
        <v>0</v>
      </c>
    </row>
    <row customFormat="1" r="34" s="2" spans="1:5" x14ac:dyDescent="0.25">
      <c r="A34" s="1" t="s">
        <v>47</v>
      </c>
      <c r="B34" s="36">
        <v>0</v>
      </c>
      <c r="C34" s="36">
        <v>0</v>
      </c>
      <c r="D34" s="36">
        <v>0</v>
      </c>
      <c r="E34" s="36">
        <v>0</v>
      </c>
    </row>
    <row customFormat="1" r="35" s="2" spans="1:5" x14ac:dyDescent="0.25">
      <c r="A35" s="31" t="s">
        <v>3441</v>
      </c>
      <c r="B35" s="34" t="s">
        <v>3396</v>
      </c>
      <c r="C35" s="34" t="s">
        <v>3403</v>
      </c>
      <c r="D35" s="34" t="s">
        <v>3404</v>
      </c>
      <c r="E35" s="34" t="s">
        <v>3405</v>
      </c>
    </row>
    <row customFormat="1" r="36" s="47" spans="1:5" x14ac:dyDescent="0.25">
      <c r="A36" s="44" t="s">
        <v>3097</v>
      </c>
      <c r="B36" s="45"/>
      <c r="C36" s="45"/>
      <c r="D36" s="45"/>
      <c r="E36" s="45"/>
    </row>
    <row customFormat="1" r="37" s="2" spans="1:5" x14ac:dyDescent="0.25">
      <c r="A37" s="2" t="s">
        <v>48</v>
      </c>
      <c r="B37" s="35">
        <v>0</v>
      </c>
      <c r="C37" s="35"/>
      <c r="D37" s="35">
        <v>0</v>
      </c>
      <c r="E37" s="35">
        <v>0</v>
      </c>
    </row>
    <row customFormat="1" r="38" s="2" spans="1:5" x14ac:dyDescent="0.25">
      <c r="A38" s="2" t="s">
        <v>49</v>
      </c>
      <c r="B38" s="35">
        <v>0</v>
      </c>
      <c r="C38" s="35"/>
      <c r="D38" s="35">
        <v>0</v>
      </c>
      <c r="E38" s="35">
        <v>0</v>
      </c>
    </row>
    <row customFormat="1" r="39" s="2" spans="1:5" x14ac:dyDescent="0.25">
      <c r="A39" s="2" t="s">
        <v>50</v>
      </c>
      <c r="B39" s="35">
        <v>0</v>
      </c>
      <c r="C39" s="35"/>
      <c r="D39" s="35">
        <v>0</v>
      </c>
      <c r="E39" s="35">
        <v>0</v>
      </c>
    </row>
    <row customFormat="1" r="40" s="2" spans="1:5" x14ac:dyDescent="0.25">
      <c r="A40" s="2" t="s">
        <v>51</v>
      </c>
      <c r="B40" s="35">
        <v>0</v>
      </c>
      <c r="C40" s="35"/>
      <c r="D40" s="35">
        <v>0</v>
      </c>
      <c r="E40" s="35">
        <v>0</v>
      </c>
    </row>
    <row customFormat="1" r="41" s="2" spans="1:5" x14ac:dyDescent="0.25">
      <c r="A41" s="2" t="s">
        <v>52</v>
      </c>
      <c r="B41" s="35">
        <v>0</v>
      </c>
      <c r="C41" s="35"/>
      <c r="D41" s="35">
        <v>0</v>
      </c>
      <c r="E41" s="35">
        <v>0</v>
      </c>
    </row>
    <row customFormat="1" r="42" s="2" spans="1:5" x14ac:dyDescent="0.25">
      <c r="A42" s="2" t="s">
        <v>53</v>
      </c>
      <c r="B42" s="35">
        <v>0</v>
      </c>
      <c r="C42" s="35"/>
      <c r="D42" s="35">
        <v>0</v>
      </c>
      <c r="E42" s="35">
        <v>0</v>
      </c>
    </row>
    <row customFormat="1" r="43" s="2" spans="1:5" x14ac:dyDescent="0.25">
      <c r="A43" s="2" t="s">
        <v>54</v>
      </c>
      <c r="B43" s="35">
        <v>0</v>
      </c>
      <c r="C43" s="35"/>
      <c r="D43" s="35">
        <v>0</v>
      </c>
      <c r="E43" s="35">
        <v>0</v>
      </c>
    </row>
    <row customFormat="1" r="44" s="2" spans="1:5" x14ac:dyDescent="0.25">
      <c r="A44" s="2" t="s">
        <v>55</v>
      </c>
      <c r="B44" s="35">
        <v>0</v>
      </c>
      <c r="C44" s="35"/>
      <c r="D44" s="35">
        <v>0</v>
      </c>
      <c r="E44" s="35">
        <v>0</v>
      </c>
    </row>
    <row customFormat="1" r="45" s="2" spans="1:5" x14ac:dyDescent="0.25">
      <c r="A45" s="2" t="s">
        <v>56</v>
      </c>
      <c r="B45" s="35">
        <v>0</v>
      </c>
      <c r="C45" s="35"/>
      <c r="D45" s="35">
        <v>0</v>
      </c>
      <c r="E45" s="35">
        <v>0</v>
      </c>
    </row>
    <row customFormat="1" r="46" s="2" spans="1:5" x14ac:dyDescent="0.25">
      <c r="A46" s="2" t="s">
        <v>57</v>
      </c>
      <c r="B46" s="35">
        <v>0</v>
      </c>
      <c r="C46" s="35"/>
      <c r="D46" s="35">
        <v>0</v>
      </c>
      <c r="E46" s="35">
        <v>0</v>
      </c>
    </row>
    <row customFormat="1" r="47" s="2" spans="1:5" x14ac:dyDescent="0.25">
      <c r="A47" s="2" t="s">
        <v>58</v>
      </c>
      <c r="B47" s="35">
        <v>0</v>
      </c>
      <c r="C47" s="35"/>
      <c r="D47" s="35">
        <v>0</v>
      </c>
      <c r="E47" s="35">
        <v>0</v>
      </c>
    </row>
    <row customFormat="1" r="48" s="2" spans="1:5" x14ac:dyDescent="0.25">
      <c r="A48" s="2" t="s">
        <v>59</v>
      </c>
      <c r="B48" s="35">
        <v>0</v>
      </c>
      <c r="C48" s="35"/>
      <c r="D48" s="35">
        <v>0</v>
      </c>
      <c r="E48" s="35">
        <v>0</v>
      </c>
    </row>
    <row customFormat="1" r="49" s="2" spans="1:5" x14ac:dyDescent="0.25">
      <c r="A49" s="2" t="s">
        <v>60</v>
      </c>
      <c r="B49" s="35">
        <v>0</v>
      </c>
      <c r="C49" s="35"/>
      <c r="D49" s="35">
        <v>0</v>
      </c>
      <c r="E49" s="35">
        <v>0</v>
      </c>
    </row>
    <row customFormat="1" r="50" s="2" spans="1:5" x14ac:dyDescent="0.25">
      <c r="A50" s="2" t="s">
        <v>61</v>
      </c>
      <c r="B50" s="35">
        <v>0</v>
      </c>
      <c r="C50" s="35"/>
      <c r="D50" s="35">
        <v>0</v>
      </c>
      <c r="E50" s="35">
        <v>0</v>
      </c>
    </row>
    <row customFormat="1" r="51" s="2" spans="1:5" x14ac:dyDescent="0.25">
      <c r="A51" s="2" t="s">
        <v>62</v>
      </c>
      <c r="B51" s="35">
        <v>0</v>
      </c>
      <c r="C51" s="35"/>
      <c r="D51" s="35">
        <v>0</v>
      </c>
      <c r="E51" s="35">
        <v>0</v>
      </c>
    </row>
    <row customFormat="1" r="52" s="2" spans="1:5" x14ac:dyDescent="0.25">
      <c r="A52" s="2" t="s">
        <v>63</v>
      </c>
      <c r="B52" s="35">
        <v>0</v>
      </c>
      <c r="C52" s="35"/>
      <c r="D52" s="35">
        <v>0</v>
      </c>
      <c r="E52" s="35">
        <v>0</v>
      </c>
    </row>
    <row customFormat="1" r="53" s="2" spans="1:5" x14ac:dyDescent="0.25">
      <c r="A53" s="30" t="s">
        <v>3442</v>
      </c>
      <c r="B53" s="35">
        <v>0</v>
      </c>
      <c r="C53" s="35"/>
      <c r="D53" s="35">
        <v>0</v>
      </c>
      <c r="E53" s="35">
        <v>0</v>
      </c>
    </row>
    <row customFormat="1" r="54" s="2" spans="1:5" x14ac:dyDescent="0.25">
      <c r="A54" s="30" t="s">
        <v>3443</v>
      </c>
      <c r="B54" s="35">
        <v>0</v>
      </c>
      <c r="C54" s="35"/>
      <c r="D54" s="35">
        <v>0</v>
      </c>
      <c r="E54" s="35">
        <v>0</v>
      </c>
    </row>
    <row customFormat="1" r="55" s="2" spans="1:5" x14ac:dyDescent="0.25">
      <c r="A55" s="2" t="s">
        <v>64</v>
      </c>
      <c r="B55" s="35">
        <v>0</v>
      </c>
      <c r="C55" s="35"/>
      <c r="D55" s="35">
        <v>0</v>
      </c>
      <c r="E55" s="35">
        <v>0</v>
      </c>
    </row>
    <row customFormat="1" r="56" s="2" spans="1:5" x14ac:dyDescent="0.25">
      <c r="A56" s="2" t="s">
        <v>65</v>
      </c>
      <c r="B56" s="35">
        <v>0</v>
      </c>
      <c r="C56" s="35"/>
      <c r="D56" s="35">
        <v>0</v>
      </c>
      <c r="E56" s="35">
        <v>0</v>
      </c>
    </row>
    <row customFormat="1" r="57" s="2" spans="1:5" x14ac:dyDescent="0.25">
      <c r="A57" s="2" t="s">
        <v>66</v>
      </c>
      <c r="B57" s="35">
        <v>0</v>
      </c>
      <c r="C57" s="35"/>
      <c r="D57" s="35">
        <v>0</v>
      </c>
      <c r="E57" s="35">
        <v>0</v>
      </c>
    </row>
    <row customFormat="1" r="58" s="2" spans="1:5" x14ac:dyDescent="0.25">
      <c r="A58" s="2" t="s">
        <v>67</v>
      </c>
      <c r="B58" s="35">
        <v>0</v>
      </c>
      <c r="C58" s="35"/>
      <c r="D58" s="35">
        <v>0</v>
      </c>
      <c r="E58" s="35">
        <v>0</v>
      </c>
    </row>
    <row customFormat="1" r="59" s="2" spans="1:5" x14ac:dyDescent="0.25">
      <c r="A59" s="2" t="s">
        <v>68</v>
      </c>
      <c r="B59" s="35">
        <v>0</v>
      </c>
      <c r="C59" s="35"/>
      <c r="D59" s="35">
        <v>0</v>
      </c>
      <c r="E59" s="35">
        <v>0</v>
      </c>
    </row>
    <row customFormat="1" r="60" s="2" spans="1:5" x14ac:dyDescent="0.25">
      <c r="A60" s="2" t="s">
        <v>69</v>
      </c>
      <c r="B60" s="35">
        <v>0</v>
      </c>
      <c r="C60" s="35"/>
      <c r="D60" s="35">
        <v>0</v>
      </c>
      <c r="E60" s="35">
        <v>0</v>
      </c>
    </row>
    <row customFormat="1" r="61" s="2" spans="1:5" x14ac:dyDescent="0.25">
      <c r="A61" s="30" t="s">
        <v>3444</v>
      </c>
      <c r="B61" s="35">
        <v>0</v>
      </c>
      <c r="C61" s="35"/>
      <c r="D61" s="35">
        <v>0</v>
      </c>
      <c r="E61" s="35">
        <v>0</v>
      </c>
    </row>
    <row customFormat="1" r="62" s="2" spans="1:5" x14ac:dyDescent="0.25">
      <c r="A62" s="30" t="s">
        <v>3445</v>
      </c>
      <c r="B62" s="35">
        <v>0</v>
      </c>
      <c r="C62" s="35"/>
      <c r="D62" s="35">
        <v>0</v>
      </c>
      <c r="E62" s="35">
        <v>0</v>
      </c>
    </row>
    <row customFormat="1" r="63" s="2" spans="1:5" x14ac:dyDescent="0.25">
      <c r="A63" s="2" t="s">
        <v>70</v>
      </c>
      <c r="B63" s="35">
        <v>0</v>
      </c>
      <c r="C63" s="35"/>
      <c r="D63" s="35">
        <v>0</v>
      </c>
      <c r="E63" s="35">
        <v>0</v>
      </c>
    </row>
    <row customFormat="1" r="64" s="2" spans="1:5" x14ac:dyDescent="0.25">
      <c r="A64" s="2" t="s">
        <v>71</v>
      </c>
      <c r="B64" s="35">
        <v>0</v>
      </c>
      <c r="C64" s="35"/>
      <c r="D64" s="35">
        <v>0</v>
      </c>
      <c r="E64" s="35">
        <v>0</v>
      </c>
    </row>
    <row customFormat="1" r="65" s="47" spans="1:5" x14ac:dyDescent="0.25">
      <c r="A65" s="44" t="s">
        <v>3098</v>
      </c>
      <c r="B65" s="45"/>
      <c r="C65" s="45"/>
      <c r="D65" s="45"/>
      <c r="E65" s="45"/>
    </row>
    <row customFormat="1" r="66" s="2" spans="1:5" x14ac:dyDescent="0.25">
      <c r="A66" s="32" t="s">
        <v>72</v>
      </c>
      <c r="B66" s="1" t="str">
        <f>VLOOKUP(B$67,Master!$AS:$AT,2,FALSE)</f>
        <v>032</v>
      </c>
      <c r="C66" s="1" t="str">
        <f>VLOOKUP(C$67,Master!$AS:$AT,2,FALSE)</f>
        <v>014</v>
      </c>
      <c r="D66" s="1" t="str">
        <f>VLOOKUP(D$67,Master!$AS:$AT,2,FALSE)</f>
        <v>014</v>
      </c>
      <c r="E66" s="1" t="str">
        <f>VLOOKUP(E$67,Master!$AS:$AT,2,FALSE)</f>
        <v>014</v>
      </c>
    </row>
    <row customFormat="1" r="67" s="2" spans="1:5" x14ac:dyDescent="0.25">
      <c r="A67" s="31" t="s">
        <v>3481</v>
      </c>
      <c r="B67" s="1" t="s">
        <v>3140</v>
      </c>
      <c r="C67" s="1" t="s">
        <v>3120</v>
      </c>
      <c r="D67" s="1" t="s">
        <v>3120</v>
      </c>
      <c r="E67" s="1" t="s">
        <v>3120</v>
      </c>
    </row>
    <row customFormat="1" r="68" s="2" spans="1:5" x14ac:dyDescent="0.25">
      <c r="A68" s="31" t="s">
        <v>3482</v>
      </c>
      <c r="B68" s="1" t="s">
        <v>3047</v>
      </c>
      <c r="C68" s="1" t="s">
        <v>3047</v>
      </c>
      <c r="D68" s="1" t="s">
        <v>3047</v>
      </c>
      <c r="E68" s="1" t="s">
        <v>3047</v>
      </c>
    </row>
    <row customFormat="1" r="69" s="2" spans="1:5" x14ac:dyDescent="0.25">
      <c r="A69" s="31" t="s">
        <v>3483</v>
      </c>
      <c r="B69" s="1" t="s">
        <v>3397</v>
      </c>
      <c r="C69" s="1" t="s">
        <v>3397</v>
      </c>
      <c r="D69" s="1" t="s">
        <v>3397</v>
      </c>
      <c r="E69" s="1" t="s">
        <v>3397</v>
      </c>
    </row>
    <row customFormat="1" r="70" s="2" spans="1:5" x14ac:dyDescent="0.25">
      <c r="A70" s="31" t="s">
        <v>3484</v>
      </c>
      <c r="B70" s="33" t="s">
        <v>3398</v>
      </c>
      <c r="C70" s="33" t="s">
        <v>3406</v>
      </c>
      <c r="D70" s="33" t="s">
        <v>3407</v>
      </c>
      <c r="E70" s="33" t="s">
        <v>3408</v>
      </c>
    </row>
    <row customFormat="1" r="71" s="2" spans="1:5" x14ac:dyDescent="0.25">
      <c r="A71" s="2" t="s">
        <v>73</v>
      </c>
      <c r="B71" s="2" t="s">
        <v>3399</v>
      </c>
      <c r="C71" s="2" t="s">
        <v>3399</v>
      </c>
      <c r="D71" s="2" t="s">
        <v>3399</v>
      </c>
      <c r="E71" s="2" t="s">
        <v>3399</v>
      </c>
    </row>
    <row customFormat="1" r="72" s="2" spans="1:5" x14ac:dyDescent="0.25">
      <c r="A72" s="2" t="s">
        <v>74</v>
      </c>
      <c r="B72" s="2" t="s">
        <v>3399</v>
      </c>
      <c r="C72" s="2" t="s">
        <v>3399</v>
      </c>
      <c r="D72" s="2" t="s">
        <v>3399</v>
      </c>
      <c r="E72" s="2" t="s">
        <v>3399</v>
      </c>
    </row>
    <row customFormat="1" r="73" s="2" spans="1:5" x14ac:dyDescent="0.25">
      <c r="A73" s="31" t="s">
        <v>3485</v>
      </c>
      <c r="B73" s="40" t="s">
        <v>3488</v>
      </c>
      <c r="C73" s="40">
        <v>1000000</v>
      </c>
      <c r="D73" s="40">
        <v>2</v>
      </c>
      <c r="E73" s="40">
        <v>3</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7" sqref="B17"/>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4</v>
      </c>
      <c r="B1" t="s">
        <v>3366</v>
      </c>
      <c r="C1" s="2" t="s">
        <v>2790</v>
      </c>
      <c r="D1" s="2" t="s">
        <v>2790</v>
      </c>
      <c r="E1" s="2" t="s">
        <v>2790</v>
      </c>
    </row>
    <row customFormat="1" r="2" s="2" spans="1:5" x14ac:dyDescent="0.25">
      <c r="A2" s="2" t="s">
        <v>3401</v>
      </c>
    </row>
    <row customFormat="1" r="3" s="2" spans="1:5" x14ac:dyDescent="0.25">
      <c r="A3" s="2" t="s">
        <v>3402</v>
      </c>
    </row>
    <row customFormat="1" r="4" s="2" spans="1:5" x14ac:dyDescent="0.25">
      <c r="A4" s="2" t="s">
        <v>3415</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50" spans="1:5" x14ac:dyDescent="0.25">
      <c r="A12" s="50" t="s">
        <v>3476</v>
      </c>
      <c r="B12" s="51" t="s">
        <v>3399</v>
      </c>
    </row>
    <row customFormat="1" r="13" s="2" spans="1:5" x14ac:dyDescent="0.25">
      <c r="A13" s="31" t="s">
        <v>3471</v>
      </c>
      <c r="B13" s="2" t="s">
        <v>3477</v>
      </c>
    </row>
    <row customFormat="1" r="14" s="2" spans="1:5" x14ac:dyDescent="0.25">
      <c r="A14" s="2" t="s">
        <v>75</v>
      </c>
      <c r="B14" s="2" t="s">
        <v>3478</v>
      </c>
    </row>
    <row customFormat="1" r="15" s="2" spans="1:5" x14ac:dyDescent="0.25">
      <c r="A15" s="31" t="s">
        <v>3472</v>
      </c>
      <c r="B15" s="13" t="s">
        <v>3479</v>
      </c>
      <c r="C15" s="13"/>
      <c r="D15" s="13"/>
      <c r="E15" s="13"/>
    </row>
    <row customFormat="1" r="16" s="2" spans="1:5" x14ac:dyDescent="0.25">
      <c r="A16" s="31" t="s">
        <v>3473</v>
      </c>
      <c r="B16" s="2" t="s">
        <v>3480</v>
      </c>
    </row>
  </sheetData>
  <dataValidations count="3">
    <dataValidation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B13" sqref="B13:B15"/>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4</v>
      </c>
      <c r="B1" t="s">
        <v>3366</v>
      </c>
      <c r="C1" s="48" t="s">
        <v>2790</v>
      </c>
      <c r="D1" s="48" t="s">
        <v>2790</v>
      </c>
      <c r="E1" s="48" t="s">
        <v>2790</v>
      </c>
    </row>
    <row customFormat="1" r="2" s="2" spans="1:5" x14ac:dyDescent="0.25">
      <c r="A2" s="2" t="s">
        <v>3401</v>
      </c>
    </row>
    <row customFormat="1" r="3" s="2" spans="1:5" x14ac:dyDescent="0.25">
      <c r="A3" s="2" t="s">
        <v>3402</v>
      </c>
    </row>
    <row customFormat="1" r="4" s="2" spans="1:5" x14ac:dyDescent="0.25">
      <c r="A4" s="2" t="s">
        <v>3415</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3437</v>
      </c>
      <c r="B12" s="2" t="s">
        <v>3389</v>
      </c>
    </row>
    <row customFormat="1" r="13" s="2" spans="1:5" x14ac:dyDescent="0.25">
      <c r="A13" s="30" t="s">
        <v>3438</v>
      </c>
      <c r="B13" s="41" t="s">
        <v>3385</v>
      </c>
    </row>
    <row customFormat="1" r="14" s="2" spans="1:5" x14ac:dyDescent="0.25">
      <c r="A14" s="30" t="s">
        <v>3439</v>
      </c>
      <c r="B14" s="4" t="s">
        <v>3386</v>
      </c>
    </row>
    <row customFormat="1" r="15" s="2" spans="1:5" x14ac:dyDescent="0.25">
      <c r="A15" s="2" t="s">
        <v>76</v>
      </c>
      <c r="B15" s="4" t="s">
        <v>3387</v>
      </c>
    </row>
    <row customFormat="1" r="16" s="2" spans="1:5" x14ac:dyDescent="0.25">
      <c r="A16" s="2" t="s">
        <v>77</v>
      </c>
    </row>
    <row customFormat="1" r="17" s="2" spans="1:2" x14ac:dyDescent="0.25">
      <c r="A17" s="2" t="s">
        <v>78</v>
      </c>
    </row>
    <row customFormat="1" r="18" s="2" spans="1:2" x14ac:dyDescent="0.25">
      <c r="A18" s="2" t="s">
        <v>14</v>
      </c>
    </row>
    <row ht="90" r="20" spans="1:2" x14ac:dyDescent="0.25">
      <c r="A20" s="12" t="s">
        <v>2791</v>
      </c>
      <c r="B20" s="8" t="s">
        <v>2792</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topLeftCell="A3" workbookViewId="0">
      <selection activeCell="B21" sqref="B21"/>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4</v>
      </c>
      <c r="B1" t="s">
        <v>3366</v>
      </c>
      <c r="C1" s="2" t="s">
        <v>2790</v>
      </c>
      <c r="D1" s="2" t="s">
        <v>2790</v>
      </c>
      <c r="E1" s="2" t="s">
        <v>2790</v>
      </c>
    </row>
    <row customFormat="1" r="2" s="2" spans="1:5" x14ac:dyDescent="0.25">
      <c r="A2" s="2" t="s">
        <v>3401</v>
      </c>
    </row>
    <row customFormat="1" r="3" s="2" spans="1:5" x14ac:dyDescent="0.25">
      <c r="A3" s="2" t="s">
        <v>3402</v>
      </c>
    </row>
    <row customFormat="1" r="4" s="2" spans="1:5" x14ac:dyDescent="0.25">
      <c r="A4" s="2" t="s">
        <v>3415</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3099</v>
      </c>
      <c r="B11" s="53"/>
      <c r="C11" s="54"/>
    </row>
    <row customFormat="1" r="12" s="2" spans="1:5" x14ac:dyDescent="0.25">
      <c r="A12" s="32" t="s">
        <v>3416</v>
      </c>
      <c r="B12" s="10" t="str">
        <f>VLOOKUP(B13,Master!$A:$B,2,FALSE)</f>
        <v>01</v>
      </c>
      <c r="C12" s="10" t="str">
        <f>VLOOKUP(C13,Master!$A:$B,2,FALSE)</f>
        <v>01</v>
      </c>
    </row>
    <row customFormat="1" r="13" s="2" spans="1:5" x14ac:dyDescent="0.25">
      <c r="A13" s="30" t="s">
        <v>3417</v>
      </c>
      <c r="B13" s="10" t="s">
        <v>93</v>
      </c>
      <c r="C13" s="10" t="s">
        <v>93</v>
      </c>
    </row>
    <row customFormat="1" r="14" s="2" spans="1:5" x14ac:dyDescent="0.25">
      <c r="A14" s="32" t="s">
        <v>3418</v>
      </c>
      <c r="B14" s="10" t="str">
        <f>VLOOKUP(B15,Master!$D:$E,2,FALSE)</f>
        <v>4</v>
      </c>
      <c r="C14" s="10" t="str">
        <f>VLOOKUP(C15,Master!$D:$E,2,FALSE)</f>
        <v>4</v>
      </c>
    </row>
    <row customFormat="1" r="15" s="2" spans="1:5" x14ac:dyDescent="0.25">
      <c r="A15" s="30" t="s">
        <v>3419</v>
      </c>
      <c r="B15" s="6" t="s">
        <v>157</v>
      </c>
      <c r="C15" s="6" t="s">
        <v>157</v>
      </c>
    </row>
    <row customFormat="1" r="16" s="2" spans="1:5" x14ac:dyDescent="0.25">
      <c r="A16" s="32" t="s">
        <v>3420</v>
      </c>
      <c r="B16" s="10" t="str">
        <f>VLOOKUP(B17,Master!$G:$H,2,FALSE)</f>
        <v>e2955</v>
      </c>
      <c r="C16" s="10" t="str">
        <f>VLOOKUP(C17,Master!$G:$H,2,FALSE)</f>
        <v>e2955</v>
      </c>
    </row>
    <row customFormat="1" ht="75" r="17" s="2" spans="1:3" x14ac:dyDescent="0.25">
      <c r="A17" s="30" t="s">
        <v>3421</v>
      </c>
      <c r="B17" s="6" t="s">
        <v>3388</v>
      </c>
      <c r="C17" s="6" t="s">
        <v>3388</v>
      </c>
    </row>
    <row customFormat="1" r="18" s="2" spans="1:3" x14ac:dyDescent="0.25">
      <c r="A18" s="32" t="s">
        <v>3422</v>
      </c>
      <c r="B18" s="10" t="str">
        <f>VLOOKUP(B19,Master!$J:$K,2,FALSE)</f>
        <v>e3820</v>
      </c>
      <c r="C18" s="10" t="str">
        <f>VLOOKUP(C19,Master!$J:$K,2,FALSE)</f>
        <v>e3820</v>
      </c>
    </row>
    <row customFormat="1" r="19" s="2" spans="1:3" x14ac:dyDescent="0.25">
      <c r="A19" s="30" t="s">
        <v>3423</v>
      </c>
      <c r="B19" s="6" t="s">
        <v>119</v>
      </c>
      <c r="C19" s="6" t="s">
        <v>119</v>
      </c>
    </row>
    <row customFormat="1" r="20" s="47" spans="1:3" x14ac:dyDescent="0.25">
      <c r="A20" s="44" t="s">
        <v>3100</v>
      </c>
      <c r="B20" s="45"/>
      <c r="C20" s="45"/>
    </row>
    <row customFormat="1" r="21" s="2" spans="1:3" x14ac:dyDescent="0.25">
      <c r="A21" s="1" t="s">
        <v>82</v>
      </c>
      <c r="B21" s="6" t="s">
        <v>2782</v>
      </c>
      <c r="C21" s="6" t="s">
        <v>2782</v>
      </c>
    </row>
    <row customFormat="1" r="22" s="2" spans="1:3" x14ac:dyDescent="0.25">
      <c r="A22" s="32" t="s">
        <v>3424</v>
      </c>
      <c r="B22" s="10" t="str">
        <f>VLOOKUP(B23,Master!$M:$N,2,FALSE)</f>
        <v>0010</v>
      </c>
      <c r="C22" s="10" t="str">
        <f>VLOOKUP(C23,Master!$M:$N,2,FALSE)</f>
        <v>0010</v>
      </c>
    </row>
    <row customFormat="1" ht="30" r="23" s="2" spans="1:3" x14ac:dyDescent="0.25">
      <c r="A23" s="30" t="s">
        <v>3425</v>
      </c>
      <c r="B23" s="6" t="s">
        <v>99</v>
      </c>
      <c r="C23" s="6" t="s">
        <v>99</v>
      </c>
    </row>
    <row customFormat="1" r="24" s="2" spans="1:3" x14ac:dyDescent="0.25">
      <c r="A24" s="1" t="s">
        <v>83</v>
      </c>
      <c r="B24" s="6" t="s">
        <v>2782</v>
      </c>
      <c r="C24" s="6" t="s">
        <v>2782</v>
      </c>
    </row>
    <row customFormat="1" r="25" s="2" spans="1:3" x14ac:dyDescent="0.25">
      <c r="A25" s="1" t="s">
        <v>84</v>
      </c>
      <c r="B25" s="6" t="s">
        <v>2782</v>
      </c>
      <c r="C25" s="6" t="s">
        <v>2782</v>
      </c>
    </row>
    <row customFormat="1" r="26" s="2" spans="1:3" x14ac:dyDescent="0.25">
      <c r="A26" s="1" t="s">
        <v>85</v>
      </c>
      <c r="B26" s="6"/>
      <c r="C26" s="6"/>
    </row>
    <row customFormat="1" r="27" s="2" spans="1:3" x14ac:dyDescent="0.25">
      <c r="A27" s="32" t="s">
        <v>3426</v>
      </c>
      <c r="B27" s="10" t="e">
        <f>VLOOKUP(B28,Master!$AN:$AO,2,FALSE)</f>
        <v>#N/A</v>
      </c>
      <c r="C27" s="10" t="e">
        <f>VLOOKUP(C28,Master!$AN:$AO,2,FALSE)</f>
        <v>#N/A</v>
      </c>
    </row>
    <row customFormat="1" r="28" s="2" spans="1:3" x14ac:dyDescent="0.25">
      <c r="A28" s="1" t="s">
        <v>86</v>
      </c>
      <c r="B28" s="6"/>
      <c r="C28" s="6"/>
    </row>
    <row customFormat="1" r="29" s="2" spans="1:3" x14ac:dyDescent="0.25">
      <c r="A29" s="1" t="s">
        <v>87</v>
      </c>
      <c r="B29" s="38"/>
      <c r="C29" s="38"/>
    </row>
    <row customFormat="1" r="30" s="2" spans="1:3" x14ac:dyDescent="0.25">
      <c r="A30" s="32" t="s">
        <v>3427</v>
      </c>
      <c r="B30" s="10" t="str">
        <f>VLOOKUP(B31,Master!$P:$Q,2,FALSE)</f>
        <v>0110</v>
      </c>
      <c r="C30" s="10" t="str">
        <f>VLOOKUP(C31,Master!$P:$Q,2,FALSE)</f>
        <v>0110</v>
      </c>
    </row>
    <row customFormat="1" ht="30" r="31" s="2" spans="1:3" x14ac:dyDescent="0.25">
      <c r="A31" s="30" t="s">
        <v>3428</v>
      </c>
      <c r="B31" s="6" t="s">
        <v>101</v>
      </c>
      <c r="C31" s="6" t="s">
        <v>101</v>
      </c>
    </row>
    <row customFormat="1" r="32" s="2" spans="1:3" x14ac:dyDescent="0.25">
      <c r="A32" s="30" t="s">
        <v>3429</v>
      </c>
      <c r="B32" s="6" t="s">
        <v>2782</v>
      </c>
      <c r="C32" s="6" t="s">
        <v>2782</v>
      </c>
    </row>
    <row customFormat="1" r="33" s="2" spans="1:3" x14ac:dyDescent="0.25">
      <c r="A33" s="32" t="s">
        <v>3430</v>
      </c>
      <c r="B33" s="10" t="str">
        <f>VLOOKUP(B34,Master!$V:$W,2,FALSE)</f>
        <v>00055</v>
      </c>
      <c r="C33" s="10" t="str">
        <f>VLOOKUP(C34,Master!$V:$W,2,FALSE)</f>
        <v>00055</v>
      </c>
    </row>
    <row customFormat="1" r="34" s="2" spans="1:3" x14ac:dyDescent="0.25">
      <c r="A34" s="30" t="s">
        <v>3431</v>
      </c>
      <c r="B34" s="6" t="s">
        <v>105</v>
      </c>
      <c r="C34" s="6" t="s">
        <v>105</v>
      </c>
    </row>
    <row customFormat="1" ht="30" r="35" s="2" spans="1:3" x14ac:dyDescent="0.25">
      <c r="A35" s="32" t="s">
        <v>3432</v>
      </c>
      <c r="B35" s="10" t="str">
        <f>VLOOKUP(B36,Master!$Y:$Z,2,FALSE)</f>
        <v>PAYMENT_TYPEX_AUTOPAYMENT</v>
      </c>
      <c r="C35" s="10" t="str">
        <f>VLOOKUP(C36,Master!$Y:$Z,2,FALSE)</f>
        <v>PAYMENT_TYPEX_AUTOPAYMENT</v>
      </c>
    </row>
    <row customFormat="1" r="36" s="2" spans="1:3" x14ac:dyDescent="0.25">
      <c r="A36" s="30" t="s">
        <v>3433</v>
      </c>
      <c r="B36" s="6" t="s">
        <v>107</v>
      </c>
      <c r="C36" s="6" t="s">
        <v>107</v>
      </c>
    </row>
    <row customFormat="1" r="37" s="2" spans="1:3" x14ac:dyDescent="0.25">
      <c r="A37" s="32" t="s">
        <v>3434</v>
      </c>
      <c r="B37" s="10" t="str">
        <f>VLOOKUP(B38,Master!$AE:$AF,2,FALSE)</f>
        <v>BISNIS_SENDIRI</v>
      </c>
      <c r="C37" s="10" t="str">
        <f>VLOOKUP(C38,Master!$AE:$AF,2,FALSE)</f>
        <v>BISNIS_SENDIRI</v>
      </c>
    </row>
    <row customFormat="1" r="38" s="2" spans="1:3" x14ac:dyDescent="0.25">
      <c r="A38" s="30" t="s">
        <v>3435</v>
      </c>
      <c r="B38" s="6" t="s">
        <v>111</v>
      </c>
      <c r="C38" s="6" t="s">
        <v>111</v>
      </c>
    </row>
    <row customFormat="1" r="39" s="2" spans="1:3" x14ac:dyDescent="0.25">
      <c r="A39" s="30" t="s">
        <v>3436</v>
      </c>
      <c r="B39" s="38" t="s">
        <v>3396</v>
      </c>
      <c r="C39" s="38" t="s">
        <v>3403</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3368</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3369</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3370</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3371</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3372</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3373</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3374</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3375</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2022-09-12T02:55:29Z</dcterms:modified>
</cp:coreProperties>
</file>