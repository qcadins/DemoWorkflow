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7\Excel\"/>
    </mc:Choice>
  </mc:AlternateContent>
  <bookViews>
    <workbookView xWindow="0" yWindow="0" windowWidth="20490" windowHeight="7350" tabRatio="653" firstSheet="4" activeTab="7"/>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definedNames>
    <definedName name="ExternalData_1" localSheetId="7" hidden="1">Master!$J$1:$K$149</definedName>
    <definedName name="ExternalData_10" localSheetId="7" hidden="1">Master!$AB$1:$AC$16</definedName>
    <definedName name="ExternalData_11" localSheetId="7" hidden="1">Master!$AE$1:$AF$278</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Master!$AT$1:$AU$6</definedName>
    <definedName name="ExternalData_17" localSheetId="7" hidden="1">Master!$AW$1:$AX$250</definedName>
    <definedName name="ExternalData_18" localSheetId="7" hidden="1">Master!$BA$1:$BB$242</definedName>
    <definedName name="ExternalData_19" localSheetId="7" hidden="1">Master!$BE$1:$BE$10</definedName>
    <definedName name="ExternalData_2" localSheetId="7" hidden="1">Master!$A$1:$B$105</definedName>
    <definedName name="ExternalData_20" localSheetId="7" hidden="1">Master!$BG$1:$BG$7</definedName>
    <definedName name="ExternalData_21" localSheetId="7" hidden="1">Master!$BI$1:$BI$3</definedName>
    <definedName name="ExternalData_3" localSheetId="7" hidden="1">Master!$E$1:$E$29</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1" i="7" l="1"/>
  <c r="E41" i="7"/>
  <c r="D41" i="7"/>
  <c r="F38" i="7"/>
  <c r="E38" i="7"/>
  <c r="D38" i="7"/>
  <c r="F35" i="7"/>
  <c r="E35" i="7"/>
  <c r="D35" i="7"/>
  <c r="F32" i="7"/>
  <c r="E32" i="7"/>
  <c r="D32" i="7"/>
  <c r="F30" i="7"/>
  <c r="E30" i="7"/>
  <c r="D30" i="7"/>
  <c r="F28" i="7"/>
  <c r="E28" i="7"/>
  <c r="D28" i="7"/>
  <c r="F26" i="7"/>
  <c r="E26" i="7"/>
  <c r="D26" i="7"/>
  <c r="F22" i="7"/>
  <c r="E22" i="7"/>
  <c r="D22" i="7"/>
  <c r="F18" i="7"/>
  <c r="E18" i="7"/>
  <c r="D18" i="7"/>
  <c r="F16" i="7"/>
  <c r="E16" i="7"/>
  <c r="D16" i="7"/>
  <c r="F14" i="7"/>
  <c r="E14" i="7"/>
  <c r="D14" i="7"/>
  <c r="F12" i="7"/>
  <c r="E12" i="7"/>
  <c r="D12" i="7"/>
  <c r="F10" i="7"/>
  <c r="E10" i="7"/>
  <c r="D10" i="7"/>
  <c r="F3" i="7"/>
  <c r="E3" i="7"/>
  <c r="D3" i="7"/>
  <c r="C41" i="7"/>
  <c r="C38" i="7"/>
  <c r="C35" i="7"/>
  <c r="C32" i="7"/>
  <c r="C30" i="7"/>
  <c r="C28" i="7"/>
  <c r="C26" i="7"/>
  <c r="C22" i="7"/>
  <c r="C18" i="7"/>
  <c r="C16" i="7"/>
  <c r="C14" i="7"/>
  <c r="C12" i="7"/>
  <c r="C10" i="7"/>
  <c r="C3" i="7"/>
  <c r="B3" i="7"/>
  <c r="F10" i="6"/>
  <c r="E10" i="6"/>
  <c r="D10" i="6"/>
  <c r="C10" i="6"/>
  <c r="F4" i="6"/>
  <c r="E4" i="6"/>
  <c r="D4" i="6"/>
  <c r="C4" i="6"/>
  <c r="F3" i="6"/>
  <c r="E3" i="6"/>
  <c r="D3" i="6"/>
  <c r="C3" i="6"/>
  <c r="B3" i="6"/>
  <c r="F23" i="5"/>
  <c r="F10" i="5"/>
  <c r="F9" i="5"/>
  <c r="F4" i="5"/>
  <c r="F3" i="5"/>
  <c r="E23" i="5"/>
  <c r="E10" i="5"/>
  <c r="E9" i="5"/>
  <c r="E4" i="5"/>
  <c r="E3" i="5"/>
  <c r="D23" i="5"/>
  <c r="D10" i="5"/>
  <c r="D9" i="5"/>
  <c r="D4" i="5"/>
  <c r="D3" i="5"/>
  <c r="C23" i="5"/>
  <c r="C10" i="5"/>
  <c r="C9" i="5"/>
  <c r="C4" i="5"/>
  <c r="C3" i="5"/>
  <c r="B3" i="5"/>
  <c r="F10" i="4"/>
  <c r="E10" i="4"/>
  <c r="F4" i="4"/>
  <c r="E4" i="4"/>
  <c r="F3" i="4"/>
  <c r="E3" i="4"/>
  <c r="D10" i="4"/>
  <c r="D4" i="4"/>
  <c r="D3" i="4"/>
  <c r="C10" i="4"/>
  <c r="C4" i="4"/>
  <c r="C3" i="4"/>
  <c r="B3" i="4"/>
  <c r="F47" i="3"/>
  <c r="F42" i="3"/>
  <c r="F38" i="3"/>
  <c r="F4" i="3" s="1"/>
  <c r="F32" i="3"/>
  <c r="F28" i="3"/>
  <c r="F21" i="3"/>
  <c r="F14" i="3"/>
  <c r="F10" i="3"/>
  <c r="F3" i="3"/>
  <c r="E47" i="3"/>
  <c r="E42" i="3"/>
  <c r="E38" i="3"/>
  <c r="E32" i="3"/>
  <c r="E28" i="3"/>
  <c r="E21" i="3"/>
  <c r="E14" i="3"/>
  <c r="E10" i="3"/>
  <c r="E4" i="3"/>
  <c r="E3" i="3"/>
  <c r="C47" i="3"/>
  <c r="B47" i="3"/>
  <c r="C42" i="3"/>
  <c r="B42" i="3"/>
  <c r="C38" i="3"/>
  <c r="C4" i="3" s="1"/>
  <c r="B38" i="3"/>
  <c r="B4" i="3" s="1"/>
  <c r="C32" i="3"/>
  <c r="B32" i="3"/>
  <c r="C28" i="3"/>
  <c r="B28" i="3"/>
  <c r="C21" i="3"/>
  <c r="B21" i="3"/>
  <c r="C14" i="3"/>
  <c r="B14" i="3"/>
  <c r="C10" i="3"/>
  <c r="B10" i="3"/>
  <c r="C3" i="3"/>
  <c r="B3" i="3"/>
  <c r="D3" i="3"/>
  <c r="E9" i="2"/>
  <c r="F9" i="2"/>
  <c r="E10" i="2"/>
  <c r="F10" i="2"/>
  <c r="E4" i="2"/>
  <c r="F4" i="2"/>
  <c r="C3" i="2"/>
  <c r="D3" i="2"/>
  <c r="E3" i="2"/>
  <c r="F3" i="2"/>
  <c r="B3" i="2"/>
  <c r="F26" i="1"/>
  <c r="F4" i="1" s="1"/>
  <c r="D4" i="7" l="1"/>
  <c r="F4" i="7"/>
  <c r="E4" i="7"/>
  <c r="C4" i="7"/>
  <c r="D10" i="2" l="1"/>
  <c r="C10" i="2"/>
  <c r="B10" i="2"/>
  <c r="B10" i="5"/>
  <c r="D4" i="2" l="1"/>
  <c r="B4" i="5" l="1"/>
  <c r="B4" i="6" l="1"/>
  <c r="C4" i="2" l="1"/>
  <c r="B4" i="4" l="1"/>
  <c r="B4" i="2" l="1"/>
  <c r="D14" i="3" l="1"/>
  <c r="D21" i="3"/>
  <c r="D28" i="3"/>
  <c r="D32" i="3"/>
  <c r="D38" i="3"/>
  <c r="D4" i="3" s="1"/>
  <c r="D42" i="3"/>
  <c r="D47" i="3"/>
  <c r="C26" i="1"/>
  <c r="C4" i="1" s="1"/>
  <c r="D26" i="1"/>
  <c r="D4" i="1" s="1"/>
  <c r="E26" i="1"/>
  <c r="E4" i="1" s="1"/>
  <c r="D10" i="3" l="1"/>
  <c r="D9" i="2"/>
  <c r="C9" i="2"/>
  <c r="B9" i="5" l="1"/>
  <c r="B9" i="2"/>
  <c r="B10" i="7"/>
  <c r="B10" i="6"/>
  <c r="B10" i="4"/>
  <c r="B26" i="1" l="1"/>
  <c r="B4" i="1" s="1"/>
  <c r="B35" i="7" l="1"/>
  <c r="B41" i="7"/>
  <c r="B22" i="7"/>
  <c r="B26" i="7"/>
  <c r="B28" i="7"/>
  <c r="B30" i="7"/>
  <c r="B32" i="7"/>
  <c r="B38" i="7"/>
  <c r="B18" i="7"/>
  <c r="B16" i="7"/>
  <c r="B14" i="7"/>
  <c r="B12" i="7"/>
  <c r="B23" i="5"/>
  <c r="B4" i="7" l="1"/>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ot;Query Copy Address From&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ot;Query Country&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quot;r3db-server ad-ins com\r3: FOUNDATION&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<sst xmlns="http://schemas.openxmlformats.org/spreadsheetml/2006/main" count="4440" uniqueCount="3816">
  <si>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</si>
  <si>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</si>
  <si>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</si>
  <si>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</si>
  <si>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</si>
  <si>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</si>
  <si>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</si>
  <si>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</si>
  <si>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</si>
  <si>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</si>
  <si>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</si>
  <si>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</si>
  <si>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</si>
  <si>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</si>
  <si>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</si>
  <si>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</si>
  <si>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</si>
  <si>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</si>
  <si>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</si>
  <si>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</si>
  <si>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</si>
  <si>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</si>
  <si>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</si>
  <si>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</si>
  <si>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</si>
  <si>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</si>
  <si>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</si>
  <si>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</si>
  <si>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</si>
  <si>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</si>
  <si>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</si>
  <si>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</si>
  <si>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</si>
  <si>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</si>
  <si>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</si>
  <si>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</si>
  <si>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</si>
  <si>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</si>
  <si>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</si>
  <si>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</si>
  <si>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</si>
  <si>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</si>
  <si>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</si>
  <si>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</si>
  <si>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</si>
  <si>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</si>
  <si>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</si>
  <si>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</si>
  <si>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</si>
  <si>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</si>
  <si>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</si>
  <si>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</si>
  <si>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</si>
  <si>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</si>
  <si>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</si>
  <si>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</si>
  <si>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</si>
  <si>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</si>
  <si>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</si>
  <si>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</si>
  <si>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</si>
  <si>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</si>
  <si>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</si>
  <si>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</si>
  <si>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</si>
  <si>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</si>
  <si>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</si>
  <si>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</si>
  <si>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</si>
  <si>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</si>
  <si>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</si>
  <si>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</si>
  <si>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</si>
  <si>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</si>
  <si>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</si>
  <si>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</si>
  <si>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</si>
  <si>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</si>
  <si>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</si>
  <si>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</si>
  <si>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</si>
  <si>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</si>
  <si>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</si>
  <si>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</si>
  <si>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</si>
  <si>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</si>
  <si>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</si>
  <si>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</si>
  <si>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</si>
  <si>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</si>
  <si>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</si>
  <si>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</si>
  <si>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</si>
  <si>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</si>
  <si>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</si>
  <si>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</si>
  <si>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</si>
  <si>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</si>
  <si>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</si>
  <si>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</si>
  <si>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</si>
  <si>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</si>
  <si>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</si>
  <si>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</si>
  <si>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</si>
  <si>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</si>
  <si>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</si>
  <si>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</si>
  <si>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</si>
  <si>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</si>
  <si>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</si>
  <si>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</si>
  <si>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</si>
  <si>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</si>
  <si>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</si>
  <si>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</si>
  <si>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</si>
  <si>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</si>
  <si>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</si>
  <si>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</si>
  <si>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</si>
  <si>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</si>
  <si>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</si>
  <si>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</si>
  <si>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</si>
  <si>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</si>
  <si>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</si>
  <si>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</si>
  <si>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</si>
  <si>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</si>
  <si>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</si>
  <si>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</si>
  <si>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</si>
  <si>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</si>
  <si>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</si>
  <si>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</si>
  <si>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</si>
  <si>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</si>
  <si>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</si>
  <si>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</si>
  <si>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</si>
  <si>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</si>
  <si>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</si>
  <si>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</si>
  <si>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</si>
  <si>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</si>
  <si>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</si>
  <si>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</si>
  <si>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</si>
  <si>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</si>
  <si>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</si>
  <si>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</si>
  <si>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</si>
  <si>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</si>
  <si>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</si>
  <si>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</si>
  <si>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</si>
  <si>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</si>
  <si>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</si>
  <si>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</si>
  <si>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</si>
  <si>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</si>
  <si>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</si>
  <si>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</si>
  <si>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</si>
  <si>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</si>
  <si>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</si>
  <si>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</si>
  <si>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</si>
  <si>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</si>
  <si>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</si>
  <si>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</si>
  <si>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</si>
  <si>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</si>
  <si>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</si>
  <si>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</si>
  <si>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</si>
  <si>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</si>
  <si>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</si>
  <si>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</si>
  <si>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</si>
  <si>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</si>
  <si>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</si>
  <si>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</si>
  <si>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</si>
  <si>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</si>
  <si>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</si>
  <si>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</si>
  <si>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</si>
  <si>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</si>
  <si>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</si>
  <si>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</si>
  <si>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</si>
  <si>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</si>
  <si>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</si>
  <si>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</si>
  <si>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</si>
  <si>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</si>
  <si>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</si>
  <si>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</si>
  <si>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</si>
  <si>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</si>
  <si>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</si>
  <si>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</si>
  <si>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</si>
  <si>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</si>
  <si>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</si>
  <si>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</si>
  <si>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</si>
  <si>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</si>
  <si>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</si>
  <si>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</si>
  <si>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</si>
  <si>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</si>
  <si>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</si>
  <si>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</si>
  <si>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</si>
  <si>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</si>
  <si>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</si>
  <si>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</si>
  <si>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</si>
  <si>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</si>
  <si>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</si>
  <si>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</si>
  <si>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</si>
  <si>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</si>
  <si>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</si>
  <si>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</si>
  <si>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</si>
  <si>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</si>
  <si>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</si>
  <si>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</si>
  <si>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</si>
  <si>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</si>
  <si>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</si>
  <si>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</si>
  <si>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</si>
  <si>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</si>
  <si>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</si>
  <si>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</si>
  <si>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</si>
  <si>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</si>
  <si>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</si>
  <si>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</si>
  <si>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</si>
  <si>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</si>
  <si>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</si>
  <si>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</si>
  <si>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</si>
  <si>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</si>
  <si>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</si>
  <si>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</si>
  <si>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</si>
  <si>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</si>
  <si>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</si>
  <si>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</si>
  <si>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</si>
  <si>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</si>
  <si>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</si>
  <si>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</si>
  <si>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</si>
  <si>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</si>
  <si>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</si>
  <si>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</si>
  <si>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</si>
  <si>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</si>
  <si>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</si>
  <si>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</si>
  <si>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</si>
  <si>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</si>
  <si>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</si>
  <si>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</si>
  <si>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</si>
  <si>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</si>
  <si>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</si>
  <si>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</si>
  <si>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</si>
  <si>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</si>
  <si>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</si>
  <si>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</si>
  <si>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</si>
  <si>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</si>
  <si>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</si>
  <si>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</si>
  <si>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</si>
  <si>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</si>
  <si>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</si>
  <si>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</si>
  <si>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</si>
  <si>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</si>
  <si>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</si>
  <si>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</si>
  <si>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</si>
  <si>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</si>
  <si>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</si>
  <si>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</si>
  <si>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</si>
  <si>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</si>
  <si>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</si>
  <si>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</si>
  <si>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</si>
  <si>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</si>
  <si>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</si>
  <si>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</si>
  <si>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</si>
  <si>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</si>
  <si>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</si>
  <si>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</si>
  <si>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</si>
  <si>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</si>
  <si>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</si>
  <si>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</si>
  <si>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</si>
  <si>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</si>
  <si>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</si>
  <si>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</si>
  <si>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</si>
  <si>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</si>
  <si>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</si>
  <si>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</si>
  <si>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</si>
  <si>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</si>
  <si>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</si>
  <si>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</si>
  <si>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</si>
  <si>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</si>
  <si>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</si>
  <si>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</si>
  <si>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</si>
  <si>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</si>
  <si>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</si>
  <si>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</si>
  <si>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</si>
  <si>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</si>
  <si>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</si>
  <si>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</si>
  <si>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</si>
  <si>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</si>
  <si>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</si>
  <si>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</si>
  <si>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</si>
  <si>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</si>
  <si>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</si>
  <si>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</si>
  <si>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</si>
  <si>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</si>
  <si>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</si>
  <si>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</si>
  <si>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</si>
  <si>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</si>
  <si>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</si>
  <si>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</si>
  <si>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</si>
  <si>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</si>
  <si>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</si>
  <si>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</si>
  <si>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</si>
  <si>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</si>
  <si>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</si>
  <si>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</si>
  <si>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</si>
  <si>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</si>
  <si>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</si>
  <si>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</si>
  <si>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</si>
  <si>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</si>
  <si>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</si>
  <si>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</si>
  <si>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</si>
  <si>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</si>
  <si>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</si>
  <si>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</si>
  <si>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</si>
  <si>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</si>
  <si>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</si>
  <si>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</si>
  <si>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</si>
  <si>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</si>
  <si>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</si>
  <si>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</si>
  <si>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</si>
  <si>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</si>
  <si>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</si>
  <si>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</si>
  <si>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</si>
  <si>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</si>
  <si>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</si>
  <si>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</si>
  <si>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</si>
  <si>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</si>
  <si>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</si>
  <si>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</si>
  <si>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</si>
  <si>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</si>
  <si>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</si>
  <si>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</si>
  <si>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</si>
  <si>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</si>
  <si>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</si>
  <si>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</si>
  <si>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</si>
  <si>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</si>
  <si>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</si>
  <si>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</si>
  <si>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</si>
  <si>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</si>
  <si>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</si>
  <si>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</si>
  <si>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</si>
  <si>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</si>
  <si>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</si>
  <si>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</si>
  <si>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</si>
  <si>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</si>
  <si>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</si>
  <si>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</si>
  <si>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</si>
  <si>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</si>
  <si>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</si>
  <si>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</si>
  <si>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</si>
  <si>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</si>
  <si>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</si>
  <si>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</si>
  <si>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</si>
  <si>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</si>
  <si>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</si>
  <si>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</si>
  <si>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</si>
  <si>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</si>
  <si>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</si>
  <si>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</si>
  <si>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</si>
  <si>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</si>
  <si>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</si>
  <si>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</si>
  <si>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</si>
  <si>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</si>
  <si>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</si>
  <si>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</si>
  <si>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</si>
  <si>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</si>
  <si>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</si>
  <si>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</si>
  <si>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</si>
  <si>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</si>
  <si>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</si>
  <si>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</si>
  <si>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</si>
  <si>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</si>
  <si>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</si>
  <si>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</si>
  <si>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</si>
  <si>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</si>
  <si>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</si>
  <si>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</si>
  <si>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</si>
  <si>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</si>
  <si>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</si>
  <si>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</si>
  <si>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</si>
  <si>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</si>
  <si>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</si>
  <si>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</si>
  <si>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</si>
  <si>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</si>
  <si>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</si>
  <si>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</si>
  <si>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</si>
  <si>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</si>
  <si>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</si>
  <si>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</si>
  <si>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</si>
  <si>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</si>
  <si>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</si>
  <si>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</si>
  <si>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</si>
  <si>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</si>
  <si>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</si>
  <si>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</si>
  <si>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</si>
  <si>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</si>
  <si>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</si>
  <si>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</si>
  <si>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</si>
  <si>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</si>
  <si>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</si>
  <si>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</si>
  <si>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</si>
  <si>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</si>
  <si>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</si>
  <si>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</si>
  <si>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</si>
  <si>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</si>
  <si>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</si>
  <si>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</si>
  <si>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</si>
  <si>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</si>
  <si>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</si>
  <si>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</si>
  <si>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</si>
  <si>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</si>
  <si>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</si>
  <si>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</si>
  <si>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</si>
  <si>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</si>
  <si>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</si>
  <si>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</si>
  <si>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</si>
  <si>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</si>
  <si>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</si>
  <si>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</si>
  <si>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</si>
  <si>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</si>
  <si>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</si>
  <si>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</si>
  <si>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</si>
  <si>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</si>
  <si>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</si>
  <si>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</si>
  <si>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</si>
  <si>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</si>
  <si>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</si>
  <si>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</si>
  <si>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</si>
  <si>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</si>
  <si>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</si>
  <si>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</si>
  <si>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</si>
  <si>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</si>
  <si>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</si>
  <si>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</si>
  <si>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</si>
  <si>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</si>
  <si>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</si>
  <si>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</si>
  <si>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</si>
  <si>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</si>
  <si>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</si>
  <si>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</si>
  <si>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</si>
  <si>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</si>
  <si>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</si>
  <si>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</si>
  <si>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</si>
  <si>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</si>
  <si>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</si>
  <si>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</si>
  <si>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</si>
  <si>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</si>
  <si>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</si>
  <si>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</si>
  <si>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</si>
  <si>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</si>
  <si>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</si>
  <si>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</si>
  <si>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</si>
  <si>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</si>
  <si>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</si>
  <si>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</si>
  <si>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</si>
  <si>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</si>
  <si>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</si>
  <si>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</si>
  <si>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</si>
  <si>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</si>
  <si>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</si>
  <si>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</si>
  <si>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</si>
  <si>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</si>
  <si>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</si>
  <si>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</si>
  <si>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</si>
  <si>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</si>
  <si>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</si>
  <si>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</si>
  <si>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</si>
  <si>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</si>
  <si>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</si>
  <si>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</si>
  <si>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</si>
  <si>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</si>
  <si>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</si>
  <si>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</si>
  <si>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</si>
  <si>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</si>
  <si>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</si>
  <si>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</si>
  <si>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</si>
  <si>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</si>
  <si>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</si>
  <si>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</si>
  <si>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</si>
  <si>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</si>
  <si>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</si>
  <si>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</si>
  <si>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</si>
  <si>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</si>
  <si>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</si>
  <si>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</si>
  <si>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</si>
  <si>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</si>
  <si>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</si>
  <si>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</si>
  <si>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</si>
  <si>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</si>
  <si>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</si>
  <si>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</si>
  <si>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</si>
  <si>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</si>
  <si>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</si>
  <si>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</si>
  <si>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</si>
  <si>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</si>
  <si>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</si>
  <si>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</si>
  <si>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</si>
  <si>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</si>
  <si>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</si>
  <si>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</si>
  <si>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</si>
  <si>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</si>
  <si>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</si>
  <si>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</si>
  <si>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</si>
  <si>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</si>
  <si>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</si>
  <si>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</si>
  <si>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</si>
  <si>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</si>
  <si>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</si>
  <si>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</si>
  <si>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</si>
  <si>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</si>
  <si>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</si>
  <si>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</si>
  <si>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</si>
  <si>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</si>
  <si>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</si>
  <si>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</si>
  <si>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</si>
  <si>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</si>
  <si>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</si>
  <si>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</si>
  <si>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</si>
  <si>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</si>
  <si>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</si>
  <si>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</si>
  <si>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</si>
  <si>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</si>
  <si>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</si>
  <si>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</si>
  <si>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</si>
  <si>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</si>
  <si>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</si>
  <si>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</si>
  <si>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</si>
  <si>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</si>
  <si>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</si>
  <si>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</si>
  <si>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</si>
  <si>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</si>
  <si>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</si>
  <si>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</si>
  <si>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</si>
  <si>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</si>
  <si>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</si>
  <si>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</si>
  <si>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</si>
  <si>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</si>
  <si>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</si>
  <si>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</si>
  <si>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</si>
  <si>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</si>
  <si>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</si>
  <si>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</si>
  <si>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</si>
  <si>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</si>
  <si>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</si>
  <si>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</si>
  <si>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</si>
  <si>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</si>
  <si>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</si>
  <si>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</si>
  <si>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</si>
  <si>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</si>
  <si>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</si>
  <si>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</si>
  <si>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</si>
  <si>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</si>
  <si>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</si>
  <si>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</si>
  <si>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</si>
  <si>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</si>
  <si>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</si>
  <si>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</si>
  <si>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</si>
  <si>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</si>
  <si>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</si>
  <si>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</si>
  <si>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</si>
  <si>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</si>
  <si>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</si>
  <si>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</si>
  <si>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</si>
  <si>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</si>
  <si>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</si>
  <si>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</si>
  <si>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</si>
  <si>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</si>
  <si>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</si>
  <si>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</si>
  <si>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</si>
  <si>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</si>
  <si>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</si>
  <si>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</si>
  <si>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</si>
  <si>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</si>
  <si>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</si>
  <si>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</si>
  <si>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</si>
  <si>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</si>
  <si>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</si>
  <si>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</si>
  <si>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</si>
  <si>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</si>
  <si>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</si>
  <si>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</si>
  <si>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</si>
  <si>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</si>
  <si>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</si>
  <si>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</si>
  <si>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</si>
  <si>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</si>
  <si>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</si>
  <si>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</si>
  <si>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</si>
  <si>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</si>
  <si>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</si>
  <si>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</si>
  <si>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</si>
  <si>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</si>
  <si>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</si>
  <si>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</si>
  <si>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</si>
  <si>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</si>
  <si>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</si>
  <si>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</si>
  <si>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</si>
  <si>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</si>
  <si>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</si>
  <si>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</si>
  <si>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</si>
  <si>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</si>
  <si>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</si>
  <si>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</si>
  <si>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</si>
  <si>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</si>
  <si>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</si>
  <si>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</si>
  <si>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</si>
  <si>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</si>
  <si>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</si>
  <si>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</si>
  <si>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</si>
  <si>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</si>
  <si>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</si>
  <si>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</si>
  <si>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</si>
  <si>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</si>
  <si>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</si>
  <si>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</si>
  <si>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</si>
  <si>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</si>
  <si>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</si>
  <si>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</si>
  <si>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</si>
  <si>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</si>
  <si>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</si>
  <si>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</si>
  <si>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</si>
  <si>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</si>
  <si>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</si>
  <si>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</si>
  <si>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</si>
  <si>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</si>
  <si>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</si>
  <si>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</si>
  <si>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</si>
  <si>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</si>
  <si>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</si>
  <si>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</si>
  <si>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</si>
  <si>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</si>
  <si>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</si>
  <si>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</si>
  <si>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</si>
  <si>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</si>
  <si>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</si>
  <si>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</si>
  <si>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</si>
  <si>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</si>
  <si>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</si>
  <si>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</si>
  <si>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</si>
  <si>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</si>
  <si>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</si>
  <si>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</si>
  <si>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</si>
  <si>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</si>
  <si>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</si>
  <si>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</si>
  <si>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</si>
  <si>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</si>
  <si>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</si>
  <si>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</si>
  <si>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</si>
  <si>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</si>
  <si>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</si>
  <si>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</si>
  <si>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</si>
  <si>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</si>
  <si>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</si>
  <si>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</si>
  <si>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</si>
  <si>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</si>
  <si>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</si>
  <si>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</si>
  <si>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</si>
  <si>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</si>
  <si>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</si>
  <si>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</si>
  <si>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</si>
  <si>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</si>
  <si>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</si>
  <si>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</si>
  <si>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</si>
  <si>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</si>
  <si>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</si>
  <si>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</si>
  <si>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</si>
  <si>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</si>
  <si>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</si>
  <si>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</si>
  <si>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</si>
  <si>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</si>
  <si>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</si>
  <si>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</si>
  <si>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</si>
  <si>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</si>
  <si>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</si>
  <si>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</si>
  <si>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</si>
  <si>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</si>
  <si>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</si>
  <si>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</si>
  <si>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</si>
  <si>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</si>
  <si>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</si>
  <si>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</si>
  <si>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</si>
  <si>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</si>
  <si>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</si>
  <si>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</si>
  <si>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</si>
  <si>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</si>
  <si>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</si>
  <si>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</si>
  <si>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</si>
  <si>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</si>
  <si>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</si>
  <si>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</si>
  <si>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</si>
  <si>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</si>
  <si>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</si>
  <si>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</si>
  <si>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</si>
  <si>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</si>
  <si>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</si>
  <si>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</si>
  <si>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</si>
  <si>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</si>
  <si>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</si>
  <si>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</si>
  <si>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</si>
  <si>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</si>
  <si>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</si>
  <si>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</si>
  <si>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</si>
  <si>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</si>
  <si>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</si>
  <si>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</si>
  <si>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</si>
  <si>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</si>
  <si>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</si>
  <si>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</si>
  <si>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</si>
  <si>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</si>
  <si>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</si>
  <si>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</si>
  <si>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</si>
  <si>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</si>
  <si>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</si>
  <si>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</si>
  <si>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</si>
  <si>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</si>
  <si>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</si>
  <si>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</si>
  <si>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</si>
  <si>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</si>
  <si>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</si>
  <si>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</si>
  <si>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</si>
  <si>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</si>
  <si>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</si>
  <si>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</si>
  <si>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</si>
  <si>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</si>
  <si>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</si>
  <si>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</si>
  <si>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</si>
  <si>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</si>
  <si>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</si>
  <si>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</si>
  <si>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</si>
  <si>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</si>
  <si>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</si>
  <si>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</si>
  <si>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</si>
  <si>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</si>
  <si>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</si>
  <si>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</si>
  <si>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</si>
  <si>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</si>
  <si>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</si>
  <si>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</si>
  <si>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</si>
  <si>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</si>
  <si>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</si>
  <si>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</si>
  <si>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</si>
  <si>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</si>
  <si>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</si>
  <si>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</si>
  <si>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</si>
  <si>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</si>
  <si>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</si>
  <si>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</si>
  <si>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</si>
  <si>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</si>
  <si>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</si>
  <si>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</si>
  <si>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</si>
  <si>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</si>
  <si>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</si>
  <si>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</si>
  <si>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</si>
  <si>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</si>
  <si>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</si>
  <si>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</si>
  <si>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</si>
  <si>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</si>
  <si>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</si>
  <si>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</si>
  <si>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</si>
  <si>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</si>
  <si>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</si>
  <si>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</si>
  <si>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</si>
  <si>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</si>
  <si>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</si>
  <si>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</si>
  <si>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</si>
  <si>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</si>
  <si>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</si>
  <si>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</si>
  <si>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</si>
  <si>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</si>
  <si>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</si>
  <si>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</si>
  <si>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</si>
  <si>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</si>
  <si>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</si>
  <si>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</si>
  <si>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</si>
  <si>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</si>
  <si>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</si>
  <si>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</si>
  <si>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</si>
  <si>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</si>
  <si>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</si>
  <si>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</si>
  <si>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</si>
  <si>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</si>
  <si>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</si>
  <si>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</si>
  <si>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</si>
  <si>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</si>
  <si>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</si>
  <si>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</si>
  <si>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</si>
  <si>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</si>
  <si>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</si>
  <si>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</si>
  <si>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</si>
  <si>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</si>
  <si>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</si>
  <si>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</si>
  <si>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</si>
  <si>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</si>
  <si>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</si>
  <si>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</si>
  <si>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</si>
  <si>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</si>
  <si>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</si>
  <si>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</si>
  <si>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</si>
  <si>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</si>
  <si>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</si>
  <si>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</si>
  <si>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</si>
  <si>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</si>
  <si>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</si>
  <si>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</si>
  <si>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</si>
  <si>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</si>
  <si>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</si>
  <si>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</si>
  <si>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</si>
  <si>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</si>
  <si>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</si>
  <si>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</si>
  <si>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</si>
  <si>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</si>
  <si>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</si>
  <si>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</si>
  <si>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</si>
  <si>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</si>
  <si>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</si>
  <si>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</si>
  <si>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</si>
  <si>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</si>
  <si>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</si>
  <si>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</si>
  <si>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</si>
  <si>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</si>
  <si>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</si>
  <si>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</si>
  <si>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</si>
  <si>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</si>
  <si>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</si>
  <si>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</si>
  <si>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</si>
  <si>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</si>
  <si>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</si>
  <si>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</si>
  <si>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</si>
  <si>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</si>
  <si>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</si>
  <si>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</si>
  <si>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</si>
  <si>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</si>
  <si>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</si>
  <si>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</si>
  <si>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</si>
  <si>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</si>
  <si>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</si>
  <si>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</si>
  <si>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</si>
  <si>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</si>
  <si>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</si>
  <si>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</si>
  <si>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</si>
  <si>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</si>
  <si>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</si>
  <si>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</si>
  <si>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</si>
  <si>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</si>
  <si>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</si>
  <si>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</si>
  <si>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</si>
  <si>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</si>
  <si>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</si>
  <si>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</si>
  <si>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</si>
  <si>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</si>
  <si>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</si>
  <si>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</si>
  <si>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</si>
  <si>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</si>
  <si>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</si>
  <si>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</si>
  <si>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</si>
  <si>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</si>
  <si>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</si>
  <si>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</si>
  <si>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</si>
  <si>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</si>
  <si>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</si>
  <si>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</si>
  <si>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</si>
  <si>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</si>
  <si>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</si>
  <si>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</si>
  <si>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</si>
  <si>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</si>
  <si>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</si>
  <si>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</si>
  <si>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</si>
  <si>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</si>
  <si>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</si>
  <si>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</si>
  <si>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</si>
  <si>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</si>
  <si>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</si>
  <si>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</si>
  <si>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</si>
  <si>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</si>
  <si>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</si>
  <si>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</si>
  <si>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</si>
  <si>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</si>
  <si>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</si>
  <si>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</si>
  <si>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</si>
  <si>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</si>
  <si>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</si>
  <si>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</si>
  <si>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</si>
  <si>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</si>
  <si>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</si>
  <si>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</si>
  <si>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</si>
  <si>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</si>
  <si>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</si>
  <si>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</si>
  <si>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</si>
  <si>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</si>
  <si>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</si>
  <si>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</si>
  <si>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</si>
  <si>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</si>
  <si>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</si>
  <si>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</si>
  <si>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</si>
  <si>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</si>
  <si>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</si>
  <si>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</si>
  <si>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</si>
  <si>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</si>
  <si>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</si>
  <si>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</si>
  <si>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</si>
  <si>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</si>
  <si>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</si>
  <si>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</si>
  <si>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</si>
  <si>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</si>
  <si>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</si>
  <si>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</si>
  <si>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</si>
  <si>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</si>
  <si>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</si>
  <si>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</si>
  <si>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</si>
  <si>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</si>
  <si>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</si>
  <si>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</si>
  <si>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</si>
  <si>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</si>
  <si>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</si>
  <si>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</si>
  <si>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</si>
  <si>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</si>
  <si>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</si>
  <si>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</si>
  <si>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</si>
  <si>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</si>
  <si>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</si>
  <si>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</si>
  <si>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</si>
  <si>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</si>
  <si>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</si>
  <si>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</si>
  <si>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</si>
  <si>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</si>
  <si>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</si>
  <si>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</si>
  <si>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</si>
  <si>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</si>
  <si>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</si>
  <si>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</si>
  <si>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</si>
  <si>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</si>
  <si>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</si>
  <si>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</si>
  <si>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</si>
  <si>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</si>
  <si>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</si>
  <si>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</si>
  <si>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</si>
  <si>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</si>
  <si>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</si>
  <si>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</si>
  <si>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</si>
  <si>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</si>
  <si>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</si>
  <si>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</si>
  <si>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</si>
  <si>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</si>
  <si>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</si>
  <si>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</si>
  <si>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</si>
  <si>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</si>
  <si>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</si>
  <si>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</si>
  <si>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</si>
  <si>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</si>
  <si>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</si>
  <si>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</si>
  <si>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</si>
  <si>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</si>
  <si>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</si>
  <si>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</si>
  <si>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</si>
  <si>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</si>
  <si>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</si>
  <si>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</si>
  <si>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</si>
  <si>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</si>
  <si>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</si>
  <si>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</si>
  <si>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</si>
  <si>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</si>
  <si>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</si>
  <si>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</si>
  <si>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</si>
  <si>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</si>
  <si>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</si>
  <si>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</si>
  <si>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</si>
  <si>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</si>
  <si>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</si>
  <si>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</si>
  <si>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</si>
  <si>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</si>
  <si>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</si>
  <si>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</si>
  <si>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</si>
  <si>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</si>
  <si>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</si>
  <si>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</si>
  <si>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</si>
  <si>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</si>
  <si>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</si>
  <si>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</si>
  <si>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</si>
  <si>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</si>
  <si>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</si>
  <si>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</si>
  <si>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</si>
  <si>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</si>
  <si>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</si>
  <si>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</si>
  <si>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</si>
  <si>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</si>
  <si>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</si>
  <si>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</si>
  <si>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</si>
  <si>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</si>
  <si>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</si>
  <si>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</si>
  <si>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</si>
  <si>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</si>
  <si>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</si>
  <si>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</si>
  <si>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</si>
  <si>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</si>
  <si>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</si>
  <si>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</si>
  <si>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</si>
  <si>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</si>
  <si>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</si>
  <si>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</si>
  <si>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</si>
  <si>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</si>
  <si>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</si>
  <si>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</si>
  <si>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</si>
  <si>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</si>
  <si>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</si>
  <si>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</si>
  <si>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</si>
  <si>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</si>
  <si>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</si>
  <si>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</si>
  <si>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</si>
  <si>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</si>
  <si>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</si>
  <si>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</si>
  <si>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</si>
  <si>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</si>
  <si>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</si>
  <si>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</si>
  <si>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</si>
  <si>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</si>
  <si>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</si>
  <si>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</si>
  <si>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</si>
  <si>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</si>
  <si>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</si>
  <si>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</si>
  <si>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</si>
  <si>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</si>
  <si>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</si>
  <si>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</si>
  <si>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</si>
  <si>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</si>
  <si>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</si>
  <si>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</si>
  <si>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</si>
  <si>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</si>
  <si>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</si>
  <si>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</si>
  <si>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</si>
  <si>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</si>
  <si>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</si>
  <si>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</si>
  <si>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</si>
  <si>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</si>
  <si>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</si>
  <si>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</si>
  <si>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</si>
  <si>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</si>
  <si>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</si>
  <si>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</si>
  <si>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</si>
  <si>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</si>
  <si>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</si>
  <si>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</si>
  <si>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</si>
  <si>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</si>
  <si>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</si>
  <si>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</si>
  <si>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</si>
  <si>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</si>
  <si>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</si>
  <si>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</si>
  <si>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</si>
  <si>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</si>
  <si>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</si>
  <si>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</si>
  <si>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</si>
  <si>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</si>
  <si>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</si>
  <si>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</si>
  <si>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</si>
  <si>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</si>
  <si>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</si>
  <si>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</si>
  <si>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</si>
  <si>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</si>
  <si>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</si>
  <si>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</si>
  <si>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</si>
  <si>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</si>
  <si>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</si>
  <si>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</si>
  <si>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</si>
  <si>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</si>
  <si>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</si>
  <si>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</si>
  <si>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</si>
  <si>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</si>
  <si>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</si>
  <si>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</si>
  <si>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</si>
  <si>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</si>
  <si>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</si>
  <si>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</si>
  <si>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</si>
  <si>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</si>
  <si>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</si>
  <si>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</si>
  <si>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</si>
  <si>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</si>
  <si>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</si>
  <si>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</si>
  <si>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</si>
  <si>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</si>
  <si>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</si>
  <si>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</si>
  <si>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</si>
  <si>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</si>
  <si>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</si>
  <si>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</si>
  <si>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</si>
  <si>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</si>
  <si>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</si>
  <si>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</si>
  <si>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</si>
  <si>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</si>
  <si>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</si>
  <si>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</si>
  <si>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</si>
  <si>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</si>
  <si>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</si>
  <si>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</si>
  <si>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</si>
  <si>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</si>
  <si>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</si>
  <si>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</si>
  <si>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</si>
  <si>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</si>
  <si>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</si>
  <si>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</si>
  <si>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</si>
  <si>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</si>
  <si>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</si>
  <si>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</si>
  <si>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</si>
  <si>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</si>
  <si>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</si>
  <si>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</si>
  <si>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</si>
  <si>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</si>
  <si>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</si>
  <si>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</si>
  <si>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</si>
  <si>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</si>
  <si>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</si>
  <si>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</si>
  <si>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</si>
  <si>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</si>
  <si>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</si>
  <si>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</si>
  <si>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</si>
  <si>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</si>
  <si>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</si>
  <si>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</si>
  <si>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</si>
  <si>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</si>
  <si>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</si>
  <si>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</si>
  <si>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</si>
  <si>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</si>
  <si>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</si>
  <si>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</si>
  <si>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</si>
  <si>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</si>
  <si>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</si>
  <si>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</si>
  <si>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</si>
  <si>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</si>
  <si>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</si>
  <si>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</si>
  <si>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</si>
  <si>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</si>
  <si>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</si>
  <si>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</si>
  <si>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</si>
  <si>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</si>
  <si>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</si>
  <si>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</si>
  <si>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</si>
  <si>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</si>
  <si>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</si>
  <si>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</si>
  <si>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</si>
  <si>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</si>
  <si>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</si>
  <si>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</si>
  <si>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</si>
  <si>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</si>
  <si>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</si>
  <si>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</si>
  <si>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</si>
  <si>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</si>
  <si>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</si>
  <si>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</si>
  <si>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</si>
  <si>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</si>
  <si>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</si>
  <si>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</si>
  <si>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</si>
  <si>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</si>
  <si>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</si>
  <si>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</si>
  <si>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</si>
  <si>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</si>
  <si>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</si>
  <si>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</si>
  <si>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</si>
  <si>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</si>
  <si>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</si>
  <si>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</si>
  <si>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</si>
  <si>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</si>
  <si>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</si>
  <si>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</si>
  <si>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</si>
  <si>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</si>
  <si>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</si>
  <si>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</si>
  <si>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</si>
  <si>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</si>
  <si>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</si>
  <si>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</si>
  <si>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</si>
  <si>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</si>
  <si>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</si>
  <si>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</si>
  <si>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</si>
  <si>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</si>
  <si>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</si>
  <si>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</si>
  <si>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</si>
  <si>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</si>
  <si>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</si>
  <si>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</si>
  <si>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</si>
  <si>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</si>
  <si>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</si>
  <si>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</si>
  <si>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</si>
  <si>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</si>
  <si>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</si>
  <si>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</si>
  <si>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</si>
  <si>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</si>
  <si>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</si>
  <si>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</si>
  <si>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</si>
  <si>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</si>
  <si>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</si>
  <si>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</si>
  <si>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</si>
  <si>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</si>
  <si>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</si>
  <si>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</si>
  <si>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</si>
  <si>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</si>
  <si>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</si>
  <si>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</si>
  <si>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</si>
  <si>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</si>
  <si>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</si>
  <si>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</si>
  <si>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</si>
  <si>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</si>
  <si>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</si>
  <si>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</si>
  <si>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</si>
  <si>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</si>
  <si>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</si>
  <si>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</si>
  <si>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</si>
  <si>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</si>
  <si>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</si>
  <si>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</si>
  <si>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</si>
  <si>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</si>
  <si>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</si>
  <si>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</si>
  <si>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</si>
  <si>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</si>
  <si>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</si>
  <si>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</si>
  <si>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</si>
  <si>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</si>
  <si>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</si>
  <si>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</si>
  <si>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</si>
  <si>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</si>
  <si>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</si>
  <si>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</si>
  <si>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</si>
  <si>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</si>
  <si>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</si>
  <si>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</si>
  <si>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</si>
  <si>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</si>
  <si>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</si>
  <si>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</si>
  <si>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</si>
  <si>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</si>
  <si>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</si>
  <si>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</si>
  <si>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</si>
  <si>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</si>
  <si>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</si>
  <si>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</si>
  <si>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</si>
  <si>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</si>
  <si>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</si>
  <si>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</si>
  <si>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</si>
  <si>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</si>
  <si>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</si>
  <si>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</si>
  <si>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</si>
  <si>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</si>
  <si>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</si>
  <si>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</si>
  <si>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</si>
  <si>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</si>
  <si>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</si>
  <si>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KOMISI KEBENARAN DAN PERSAHABATAN (KKP)</t>
  </si>
  <si>
    <t>00635</t>
  </si>
  <si>
    <t>BADAN PERTIMBANGAN PERFILMAN NASIONAL</t>
  </si>
  <si>
    <t>00542</t>
  </si>
  <si>
    <t>BADAN PUSAT STATISTIK (BPS)</t>
  </si>
  <si>
    <t>00543</t>
  </si>
  <si>
    <t>BADAN REINTEGRASI ACEH (BRA)</t>
  </si>
  <si>
    <t>00544</t>
  </si>
  <si>
    <t>BADAN TENAGA ATOM NASIONAL</t>
  </si>
  <si>
    <t>00545</t>
  </si>
  <si>
    <t>BNP2TKI</t>
  </si>
  <si>
    <t>00549</t>
  </si>
  <si>
    <t>DEWAN EKONOMI NASIONAL (DEN)</t>
  </si>
  <si>
    <t>00553</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</si>
  <si>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</si>
  <si>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</si>
  <si>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</si>
  <si>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</si>
  <si>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</si>
  <si>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</si>
  <si>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</si>
  <si>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</si>
  <si>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</si>
  <si>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</si>
  <si>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</si>
  <si>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</si>
  <si>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</si>
  <si>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</si>
  <si>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</si>
  <si>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</si>
  <si>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</si>
  <si>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</si>
  <si>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</si>
  <si>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</si>
  <si>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</si>
  <si>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</si>
  <si>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</si>
  <si>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</si>
  <si>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</si>
  <si>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</si>
  <si>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</si>
  <si>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</si>
  <si>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</si>
  <si>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</si>
  <si>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</si>
  <si>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</si>
  <si>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</si>
  <si>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</si>
  <si>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</si>
  <si>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</si>
  <si>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</si>
  <si>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</si>
  <si>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</si>
  <si>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</si>
  <si>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</si>
  <si>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</si>
  <si>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</si>
  <si>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</si>
  <si>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</si>
  <si>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</si>
  <si>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</si>
  <si>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</si>
  <si>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</si>
  <si>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</si>
  <si>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</si>
  <si>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</si>
  <si>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</si>
  <si>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</si>
  <si>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</si>
  <si>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</si>
  <si>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</si>
  <si>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</si>
  <si>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</si>
  <si>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</si>
  <si>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</si>
  <si>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</si>
  <si>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</si>
  <si>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</si>
  <si>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</si>
  <si>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</si>
  <si>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</si>
  <si>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</si>
  <si>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</si>
  <si>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</si>
  <si>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</si>
  <si>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</si>
  <si>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</si>
  <si>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</si>
  <si>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</si>
  <si>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</si>
  <si>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</si>
  <si>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</si>
  <si>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</si>
  <si>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</si>
  <si>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</si>
  <si>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</si>
  <si>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PUPUK INDONESIA HOLDING COMPANY (PERSERO)</t>
  </si>
  <si>
    <t>00787</t>
  </si>
  <si>
    <t>PT RAJAWALI NUSANTARA INDONESIA (PERSERO)</t>
  </si>
  <si>
    <t>00788</t>
  </si>
  <si>
    <t>PT SARANA KARYA(PERSERO)</t>
  </si>
  <si>
    <t>00791</t>
  </si>
  <si>
    <t>PT SARINAH (PERSERO)</t>
  </si>
  <si>
    <t>00792</t>
  </si>
  <si>
    <t>PT SEMEN BATURAJA (PERSERO)</t>
  </si>
  <si>
    <t>00793</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</si>
  <si>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</si>
  <si>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</si>
  <si>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</si>
  <si>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</si>
  <si>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</si>
  <si>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</si>
  <si>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</si>
  <si>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</si>
  <si>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</si>
  <si>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</si>
  <si>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</si>
  <si>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</si>
  <si>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</si>
  <si>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</si>
  <si>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</si>
  <si>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</si>
  <si>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</si>
  <si>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</si>
  <si>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</si>
  <si>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</si>
  <si>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</si>
  <si>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</si>
  <si>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</si>
  <si>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</si>
  <si>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</si>
  <si>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</si>
  <si>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JASA INDONESIA (PERSERO)</t>
  </si>
  <si>
    <t>00687</t>
  </si>
  <si>
    <t>PT ASURANSI JASA RAHARDJA (PERSERO)</t>
  </si>
  <si>
    <t>00688</t>
  </si>
  <si>
    <t>PT ASURANSI JIWASRAYA (PERSERO)</t>
  </si>
  <si>
    <t>00689</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</si>
  <si>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</si>
  <si>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</si>
  <si>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</si>
  <si>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</si>
  <si>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</si>
  <si>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</si>
  <si>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</si>
  <si>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</si>
  <si>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</si>
  <si>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</si>
  <si>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</si>
  <si>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</si>
  <si>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</si>
  <si>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</si>
  <si>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</si>
  <si>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</si>
  <si>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</si>
  <si>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</si>
  <si>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</si>
  <si>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</si>
  <si>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</si>
  <si>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</si>
  <si>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</si>
  <si>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</si>
  <si>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</si>
  <si>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</si>
  <si>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</si>
  <si>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</si>
  <si>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</si>
  <si>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</si>
  <si>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</si>
  <si>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</si>
  <si>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</si>
  <si>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</si>
  <si>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</si>
  <si>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</si>
  <si>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</si>
  <si>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</si>
  <si>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</si>
  <si>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</si>
  <si>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</si>
  <si>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</si>
  <si>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</si>
  <si>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</si>
  <si>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</si>
  <si>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</si>
  <si>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</si>
  <si>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</si>
  <si>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</si>
  <si>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</si>
  <si>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</si>
  <si>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</si>
  <si>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</si>
  <si>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</si>
  <si>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</si>
  <si>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</si>
  <si>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</si>
  <si>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</si>
  <si>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</si>
  <si>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</si>
  <si>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</si>
  <si>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</si>
  <si>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</si>
  <si>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</si>
  <si>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</si>
  <si>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</si>
  <si>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</si>
  <si>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</si>
  <si>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</si>
  <si>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</si>
  <si>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</si>
  <si>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</si>
  <si>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</si>
  <si>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</si>
  <si>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</si>
  <si>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</si>
  <si>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</si>
  <si>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</si>
  <si>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</si>
  <si>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</si>
  <si>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</si>
  <si>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</si>
  <si>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</si>
  <si>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</si>
  <si>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</si>
  <si>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</si>
  <si>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</si>
  <si>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</si>
  <si>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</si>
  <si>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</si>
  <si>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</si>
  <si>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</si>
  <si>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</si>
  <si>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</si>
  <si>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</si>
  <si>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</si>
  <si>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</si>
  <si>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</si>
  <si>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</si>
  <si>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</si>
  <si>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</si>
  <si>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</si>
  <si>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</si>
  <si>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</si>
  <si>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</si>
  <si>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</si>
  <si>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</si>
  <si>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</si>
  <si>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</si>
  <si>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</si>
  <si>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</si>
  <si>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</si>
  <si>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</si>
  <si>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</si>
  <si>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</si>
  <si>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</si>
  <si>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</si>
  <si>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</si>
  <si>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</si>
  <si>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</si>
  <si>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</si>
  <si>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</si>
  <si>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</si>
  <si>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</si>
  <si>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</si>
  <si>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</si>
  <si>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</si>
  <si>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</si>
  <si>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</si>
  <si>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</si>
  <si>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</si>
  <si>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</si>
  <si>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</si>
  <si>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</si>
  <si>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</si>
  <si>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</si>
  <si>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</si>
  <si>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</si>
  <si>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</si>
  <si>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</si>
  <si>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</si>
  <si>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</si>
  <si>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</si>
  <si>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</si>
  <si>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</si>
  <si>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</si>
  <si>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</si>
  <si>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</si>
  <si>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BADAN PERTIMBANGAN JABATAN NASIONAL (BAPERJANAS)</t>
  </si>
  <si>
    <t>00540</t>
  </si>
  <si>
    <t>BADAN PERTIMBANGAN KEPEGAWAIAN (BAPEK)</t>
  </si>
  <si>
    <t>00541</t>
  </si>
  <si>
    <t>BANK INDONESIA</t>
  </si>
  <si>
    <t>00547</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</si>
  <si>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</si>
  <si>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</si>
  <si>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</si>
  <si>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</si>
  <si>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</si>
  <si>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</si>
  <si>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</si>
  <si>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</si>
  <si>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</si>
  <si>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</si>
  <si>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</si>
  <si>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</si>
  <si>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</si>
  <si>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</si>
  <si>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</si>
  <si>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</si>
  <si>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</si>
  <si>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</si>
  <si>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</si>
  <si>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</si>
  <si>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</si>
  <si>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</si>
  <si>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</si>
  <si>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</si>
  <si>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</si>
  <si>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</si>
  <si>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</si>
  <si>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</si>
  <si>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</si>
  <si>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</si>
  <si>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</si>
  <si>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</si>
  <si>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</si>
  <si>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</si>
  <si>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</si>
  <si>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</si>
  <si>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</si>
  <si>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</si>
  <si>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</si>
  <si>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</si>
  <si>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</si>
  <si>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</si>
  <si>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</si>
  <si>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</si>
  <si>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</si>
  <si>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</si>
  <si>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</si>
  <si>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</si>
  <si>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</si>
  <si>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</si>
  <si>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</si>
  <si>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</si>
  <si>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</si>
  <si>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</si>
  <si>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</si>
  <si>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</si>
  <si>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</si>
  <si>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</si>
  <si>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</si>
  <si>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</si>
  <si>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</si>
  <si>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</si>
  <si>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</si>
  <si>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</si>
  <si>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</si>
  <si>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</si>
  <si>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</si>
  <si>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</si>
  <si>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</si>
  <si>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</si>
  <si>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</si>
  <si>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</si>
  <si>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</si>
  <si>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</si>
  <si>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</si>
  <si>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</si>
  <si>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ISTAKA KARYA(PERSERO)</t>
  </si>
  <si>
    <t>00734</t>
  </si>
  <si>
    <t>PT JASA MARGA (PERSERO) TBK</t>
  </si>
  <si>
    <t>00736</t>
  </si>
  <si>
    <t>PT KAWASAN BERIKAT NUSANTARA (PERSERO)</t>
  </si>
  <si>
    <t>00737</t>
  </si>
  <si>
    <t>KEMENTERIAN PERTANIAN</t>
  </si>
  <si>
    <t>00628</t>
  </si>
  <si>
    <t>KOMISI KEJAKSAAN REPUBLIK INDONESIA</t>
  </si>
  <si>
    <t>00636</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</si>
  <si>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</si>
  <si>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</si>
  <si>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</si>
  <si>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</si>
  <si>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</si>
  <si>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</si>
  <si>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</si>
  <si>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</si>
  <si>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</si>
  <si>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</si>
  <si>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</si>
  <si>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</si>
  <si>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</si>
  <si>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</si>
  <si>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</si>
  <si>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</si>
  <si>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</si>
  <si>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</si>
  <si>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</si>
  <si>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</si>
  <si>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</si>
  <si>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</si>
  <si>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</si>
  <si>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</si>
  <si>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</si>
  <si>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</si>
  <si>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</si>
  <si>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</si>
  <si>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</si>
  <si>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</si>
  <si>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</si>
  <si>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</si>
  <si>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</si>
  <si>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</si>
  <si>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</si>
  <si>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</si>
  <si>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</si>
  <si>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</si>
  <si>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</si>
  <si>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</si>
  <si>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PENDAYAGUNAAN APARATUR NEGARA</t>
  </si>
  <si>
    <t>00618</t>
  </si>
  <si>
    <t>BUPATI/KABUPATEN</t>
  </si>
  <si>
    <t>00550</t>
  </si>
  <si>
    <t>DINAS  PENDAPATAN DAERAH</t>
  </si>
  <si>
    <t>00561</t>
  </si>
  <si>
    <t>DINAS KEHUTANAN</t>
  </si>
  <si>
    <t>00563</t>
  </si>
  <si>
    <t>DINAS PEKERJAAN UMUM</t>
  </si>
  <si>
    <t>00568</t>
  </si>
  <si>
    <t>DINAS PERTAMBANGAN DAN ENERGI</t>
  </si>
  <si>
    <t>00573</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</si>
  <si>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</si>
  <si>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</si>
  <si>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</si>
  <si>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</si>
  <si>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</si>
  <si>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</si>
  <si>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</si>
  <si>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</si>
  <si>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</si>
  <si>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</si>
  <si>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</si>
  <si>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</si>
  <si>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</si>
  <si>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</si>
  <si>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</si>
  <si>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</si>
  <si>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</si>
  <si>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</si>
  <si>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</si>
  <si>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</si>
  <si>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</si>
  <si>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</si>
  <si>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</si>
  <si>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</si>
  <si>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</si>
  <si>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</si>
  <si>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</si>
  <si>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</si>
  <si>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</si>
  <si>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</si>
  <si>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</si>
  <si>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</si>
  <si>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</si>
  <si>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</si>
  <si>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</si>
  <si>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</si>
  <si>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</si>
  <si>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</si>
  <si>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</si>
  <si>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</si>
  <si>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</si>
  <si>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</si>
  <si>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</si>
  <si>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</si>
  <si>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</si>
  <si>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</si>
  <si>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</si>
  <si>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</si>
  <si>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</si>
  <si>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</si>
  <si>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</si>
  <si>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</si>
  <si>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</si>
  <si>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</si>
  <si>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</si>
  <si>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</si>
  <si>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</si>
  <si>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</si>
  <si>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</si>
  <si>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</si>
  <si>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</si>
  <si>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</si>
  <si>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</si>
  <si>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</si>
  <si>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</si>
  <si>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</si>
  <si>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</si>
  <si>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</si>
  <si>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</si>
  <si>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</si>
  <si>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</si>
  <si>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</si>
  <si>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</si>
  <si>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</si>
  <si>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</si>
  <si>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</si>
  <si>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</si>
  <si>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</si>
  <si>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</si>
  <si>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</si>
  <si>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</si>
  <si>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</si>
  <si>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</si>
  <si>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</si>
  <si>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</si>
  <si>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</si>
  <si>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</si>
  <si>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</si>
  <si>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</si>
  <si>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</si>
  <si>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</si>
  <si>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</si>
  <si>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</si>
  <si>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</si>
  <si>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</si>
  <si>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</si>
  <si>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</si>
  <si>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</si>
  <si>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</si>
  <si>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</si>
  <si>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</si>
  <si>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</si>
  <si>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</si>
  <si>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</si>
  <si>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</si>
  <si>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</si>
  <si>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</si>
  <si>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</si>
  <si>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PERHUTANI(PERSERO)</t>
  </si>
  <si>
    <t>00674</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</si>
  <si>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</si>
  <si>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</si>
  <si>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</si>
  <si>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</si>
  <si>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</si>
  <si>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</si>
  <si>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</si>
  <si>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</si>
  <si>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</si>
  <si>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</si>
  <si>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</si>
  <si>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</si>
  <si>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</si>
  <si>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</si>
  <si>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</si>
  <si>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</si>
  <si>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</si>
  <si>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</si>
  <si>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</si>
  <si>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</si>
  <si>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</si>
  <si>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</si>
  <si>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</si>
  <si>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</si>
  <si>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</si>
  <si>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</si>
  <si>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</si>
  <si>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</si>
  <si>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</si>
  <si>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</si>
  <si>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</si>
  <si>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</si>
  <si>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</si>
  <si>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</si>
  <si>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</si>
  <si>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</si>
  <si>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</si>
  <si>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</si>
  <si>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</si>
  <si>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</si>
  <si>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</si>
  <si>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</si>
  <si>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</si>
  <si>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</si>
  <si>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</si>
  <si>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</si>
  <si>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</si>
  <si>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</si>
  <si>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</si>
  <si>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</si>
  <si>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</si>
  <si>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</si>
  <si>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</si>
  <si>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</si>
  <si>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</si>
  <si>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</si>
  <si>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</si>
  <si>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</si>
  <si>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</si>
  <si>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</si>
  <si>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</si>
  <si>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</si>
  <si>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</si>
  <si>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</si>
  <si>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</si>
  <si>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</si>
  <si>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</si>
  <si>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</si>
  <si>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</si>
  <si>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</si>
  <si>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</si>
  <si>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</si>
  <si>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</si>
  <si>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</si>
  <si>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</si>
  <si>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</si>
  <si>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</si>
  <si>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</si>
  <si>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</si>
  <si>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</si>
  <si>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</si>
  <si>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</si>
  <si>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</si>
  <si>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</si>
  <si>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</si>
  <si>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</si>
  <si>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</si>
  <si>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</si>
  <si>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</si>
  <si>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</si>
  <si>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</si>
  <si>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</si>
  <si>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</si>
  <si>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</si>
  <si>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</si>
  <si>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</si>
  <si>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</si>
  <si>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</si>
  <si>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</si>
  <si>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</si>
  <si>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</si>
  <si>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</si>
  <si>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</si>
  <si>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</si>
  <si>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</si>
  <si>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</si>
  <si>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</si>
  <si>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</si>
  <si>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</si>
  <si>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</si>
  <si>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</si>
  <si>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</si>
  <si>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</si>
  <si>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</si>
  <si>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</si>
  <si>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</si>
  <si>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</si>
  <si>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</si>
  <si>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</si>
  <si>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</si>
  <si>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</si>
  <si>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</si>
  <si>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</si>
  <si>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</si>
  <si>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</si>
  <si>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</si>
  <si>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</si>
  <si>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</si>
  <si>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</si>
  <si>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</si>
  <si>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</si>
  <si>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</si>
  <si>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</si>
  <si>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</si>
  <si>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</si>
  <si>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</si>
  <si>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</si>
  <si>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</si>
  <si>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</si>
  <si>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</si>
  <si>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</si>
  <si>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</si>
  <si>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</si>
  <si>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</si>
  <si>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</si>
  <si>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</si>
  <si>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</si>
  <si>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</si>
  <si>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</si>
  <si>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</si>
  <si>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</si>
  <si>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</si>
  <si>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</si>
  <si>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</si>
  <si>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</si>
  <si>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</si>
  <si>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</si>
  <si>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</si>
  <si>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</si>
  <si>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</si>
  <si>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</si>
  <si>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</si>
  <si>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</si>
  <si>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</si>
  <si>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</si>
  <si>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</si>
  <si>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</si>
  <si>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</si>
  <si>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</si>
  <si>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</si>
  <si>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</si>
  <si>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</si>
  <si>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</si>
  <si>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</si>
  <si>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</si>
  <si>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</si>
  <si>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</si>
  <si>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</si>
  <si>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</si>
  <si>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</si>
  <si>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</si>
  <si>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</si>
  <si>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</si>
  <si>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</si>
  <si>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</si>
  <si>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</si>
  <si>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</si>
  <si>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</si>
  <si>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</si>
  <si>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</si>
  <si>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</si>
  <si>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</si>
  <si>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</si>
  <si>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</si>
  <si>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</si>
  <si>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</si>
  <si>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</si>
  <si>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</si>
  <si>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</si>
  <si>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</si>
  <si>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</si>
  <si>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</si>
  <si>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</si>
  <si>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</si>
  <si>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</si>
  <si>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</si>
  <si>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</si>
  <si>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</si>
  <si>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</si>
  <si>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</si>
  <si>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</si>
  <si>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</si>
  <si>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</si>
  <si>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</si>
  <si>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</si>
  <si>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</si>
  <si>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</si>
  <si>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</si>
  <si>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</si>
  <si>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</si>
  <si>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</si>
  <si>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</si>
  <si>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</si>
  <si>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</si>
  <si>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</si>
  <si>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</si>
  <si>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</si>
  <si>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</si>
  <si>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</si>
  <si>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</si>
  <si>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</si>
  <si>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</si>
  <si>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</si>
  <si>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</si>
  <si>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</si>
  <si>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</si>
  <si>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</si>
  <si>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</si>
  <si>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</si>
  <si>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</si>
  <si>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</si>
  <si>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</si>
  <si>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</si>
  <si>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</si>
  <si>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</si>
  <si>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</si>
  <si>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</si>
  <si>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</si>
  <si>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</si>
  <si>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</si>
  <si>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</si>
  <si>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</si>
  <si>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</si>
  <si>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</si>
  <si>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</si>
  <si>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</si>
  <si>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</si>
  <si>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</si>
  <si>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</si>
  <si>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</si>
  <si>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</si>
  <si>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</si>
  <si>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</si>
  <si>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</si>
  <si>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</si>
  <si>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</si>
  <si>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</si>
  <si>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</si>
  <si>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</si>
  <si>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</si>
  <si>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</si>
  <si>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</si>
  <si>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</si>
  <si>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</si>
  <si>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</si>
  <si>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</si>
  <si>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</si>
  <si>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</si>
  <si>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</si>
  <si>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</si>
  <si>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</si>
  <si>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</si>
  <si>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</si>
  <si>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</si>
  <si>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</si>
  <si>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</si>
  <si>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</si>
  <si>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</si>
  <si>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</si>
  <si>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</si>
  <si>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</si>
  <si>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</si>
  <si>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</si>
  <si>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</si>
  <si>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</si>
  <si>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</si>
  <si>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</si>
  <si>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</si>
  <si>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</si>
  <si>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</si>
  <si>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</si>
  <si>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</si>
  <si>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</si>
  <si>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</si>
  <si>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</si>
  <si>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</si>
  <si>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</si>
  <si>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</si>
  <si>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</si>
  <si>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</si>
  <si>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</si>
  <si>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</si>
  <si>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</si>
  <si>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</si>
  <si>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</si>
  <si>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</si>
  <si>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</si>
  <si>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</si>
  <si>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</si>
  <si>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</si>
  <si>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</si>
  <si>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</si>
  <si>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</si>
  <si>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</si>
  <si>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</si>
  <si>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</si>
  <si>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</si>
  <si>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</si>
  <si>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</si>
  <si>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</si>
  <si>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</si>
  <si>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</si>
  <si>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</si>
  <si>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</si>
  <si>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</si>
  <si>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</si>
  <si>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</si>
  <si>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</si>
  <si>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</si>
  <si>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</si>
  <si>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</si>
  <si>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</si>
  <si>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</si>
  <si>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</si>
  <si>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</si>
  <si>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</si>
  <si>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</si>
  <si>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</si>
  <si>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</si>
  <si>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</si>
  <si>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</si>
  <si>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</si>
  <si>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</si>
  <si>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</si>
  <si>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</si>
  <si>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</si>
  <si>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</si>
  <si>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</si>
  <si>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</si>
  <si>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</si>
  <si>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</si>
  <si>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</si>
  <si>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</si>
  <si>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</si>
  <si>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</si>
  <si>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</si>
  <si>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</si>
  <si>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</si>
  <si>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</si>
  <si>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</si>
  <si>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</si>
  <si>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</si>
  <si>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</si>
  <si>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</si>
  <si>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</si>
  <si>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</si>
  <si>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</si>
  <si>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</si>
  <si>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</si>
  <si>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</si>
  <si>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</si>
  <si>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</si>
  <si>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</si>
  <si>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</si>
  <si>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</si>
  <si>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</si>
  <si>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</si>
  <si>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</si>
  <si>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</si>
  <si>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</si>
  <si>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</si>
  <si>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</si>
  <si>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</si>
  <si>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</si>
  <si>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</si>
  <si>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</si>
  <si>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</si>
  <si>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</si>
  <si>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</si>
  <si>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</si>
  <si>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</si>
  <si>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</si>
  <si>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</si>
  <si>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</si>
  <si>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</si>
  <si>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</si>
  <si>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</si>
  <si>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</si>
  <si>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</si>
  <si>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</si>
  <si>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</si>
  <si>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</si>
  <si>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</si>
  <si>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</si>
  <si>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</si>
  <si>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</si>
  <si>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</si>
  <si>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</si>
  <si>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</si>
  <si>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</si>
  <si>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</si>
  <si>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</si>
  <si>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FAMILY</t>
  </si>
  <si>
    <t>DINAS</t>
  </si>
  <si>
    <t>KPR</t>
  </si>
  <si>
    <t>OWNED</t>
  </si>
  <si>
    <t>RENTED</t>
  </si>
  <si>
    <t>Family</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</si>
  <si>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</si>
  <si>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</si>
  <si>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</si>
  <si>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</si>
  <si>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</si>
  <si>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</si>
  <si>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</si>
  <si>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</si>
  <si>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</si>
  <si>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</si>
  <si>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</si>
  <si>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</si>
  <si>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</si>
  <si>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</si>
  <si>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</si>
  <si>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</si>
  <si>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</si>
  <si>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</si>
  <si>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</si>
  <si>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</si>
  <si>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</si>
  <si>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</si>
  <si>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</si>
  <si>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</si>
  <si>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</si>
  <si>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</si>
  <si>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</si>
  <si>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</si>
  <si>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</si>
  <si>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</si>
  <si>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</si>
  <si>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</si>
  <si>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</si>
  <si>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</si>
  <si>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</si>
  <si>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</si>
  <si>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</si>
  <si>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</si>
  <si>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</si>
  <si>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</si>
  <si>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</si>
  <si>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</si>
  <si>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</si>
  <si>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</si>
  <si>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</si>
  <si>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</si>
  <si>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</si>
  <si>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</si>
  <si>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</si>
  <si>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</si>
  <si>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</si>
  <si>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</si>
  <si>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</si>
  <si>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</si>
  <si>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</si>
  <si>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</si>
  <si>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</si>
  <si>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</si>
  <si>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</si>
  <si>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</si>
  <si>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</si>
  <si>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</si>
  <si>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</si>
  <si>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</si>
  <si>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</si>
  <si>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</si>
  <si>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</si>
  <si>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</si>
  <si>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</si>
  <si>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</si>
  <si>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</si>
  <si>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</si>
  <si>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</si>
  <si>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</si>
  <si>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</si>
  <si>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</si>
  <si>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</si>
  <si>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</si>
  <si>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</si>
  <si>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</si>
  <si>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</si>
  <si>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</si>
  <si>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</si>
  <si>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</si>
  <si>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</si>
  <si>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</si>
  <si>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</si>
  <si>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</si>
  <si>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</si>
  <si>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</si>
  <si>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</si>
  <si>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</si>
  <si>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</si>
  <si>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</si>
  <si>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</si>
  <si>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</si>
  <si>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</si>
  <si>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</si>
  <si>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</si>
  <si>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</si>
  <si>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</si>
  <si>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</si>
  <si>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</si>
  <si>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</si>
  <si>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</si>
  <si>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</si>
  <si>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</si>
  <si>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</si>
  <si>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</si>
  <si>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</si>
  <si>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</si>
  <si>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</si>
  <si>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</si>
  <si>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</si>
  <si>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</si>
  <si>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</si>
  <si>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</si>
  <si>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</si>
  <si>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</si>
  <si>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</si>
  <si>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</si>
  <si>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</si>
  <si>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</si>
  <si>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</si>
  <si>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</si>
  <si>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</si>
  <si>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</si>
  <si>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</si>
  <si>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</si>
  <si>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</si>
  <si>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</si>
  <si>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</si>
  <si>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</si>
  <si>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</si>
  <si>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</si>
  <si>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</si>
  <si>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</si>
  <si>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</si>
  <si>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</si>
  <si>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</si>
  <si>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</si>
  <si>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</si>
  <si>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</si>
  <si>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</si>
  <si>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</si>
  <si>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</si>
  <si>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</si>
  <si>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</si>
  <si>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</si>
  <si>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</si>
  <si>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</si>
  <si>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</si>
  <si>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</si>
  <si>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</si>
  <si>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</si>
  <si>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</si>
  <si>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</si>
  <si>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</si>
  <si>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</si>
  <si>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</si>
  <si>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</si>
  <si>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</si>
  <si>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</si>
  <si>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</si>
  <si>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</si>
  <si>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</si>
  <si>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</si>
  <si>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</si>
  <si>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</si>
  <si>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</si>
  <si>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</si>
  <si>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</si>
  <si>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</si>
  <si>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</si>
  <si>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</si>
  <si>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</si>
  <si>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</si>
  <si>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</si>
  <si>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</si>
  <si>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</si>
  <si>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</si>
  <si>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</si>
  <si>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</si>
  <si>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</si>
  <si>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</si>
  <si>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</si>
  <si>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</si>
  <si>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</si>
  <si>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</si>
  <si>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</si>
  <si>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</si>
  <si>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</si>
  <si>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</si>
  <si>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</si>
  <si>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</si>
  <si>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</si>
  <si>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</si>
  <si>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</si>
  <si>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</si>
  <si>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</si>
  <si>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</si>
  <si>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</si>
  <si>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</si>
  <si>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</si>
  <si>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</si>
  <si>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</si>
  <si>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</si>
  <si>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</si>
  <si>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</si>
  <si>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</si>
  <si>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</si>
  <si>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</si>
  <si>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</si>
  <si>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</si>
  <si>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</si>
  <si>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</si>
  <si>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</si>
  <si>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</si>
  <si>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</si>
  <si>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</si>
  <si>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</si>
  <si>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</si>
  <si>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</si>
  <si>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</si>
  <si>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</si>
  <si>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</si>
  <si>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</si>
  <si>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</si>
  <si>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</si>
  <si>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</si>
  <si>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</si>
  <si>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</si>
  <si>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</si>
  <si>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</si>
  <si>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</si>
  <si>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</si>
  <si>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</si>
  <si>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</si>
  <si>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</si>
  <si>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</si>
  <si>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</si>
  <si>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</si>
  <si>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</si>
  <si>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</si>
  <si>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</si>
  <si>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</si>
  <si>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</si>
  <si>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</si>
  <si>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</si>
  <si>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</si>
  <si>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</si>
  <si>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</si>
  <si>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TESTING</t>
  </si>
  <si>
    <t>REGI01</t>
  </si>
  <si>
    <t>Industri Regresi SIT 001</t>
  </si>
  <si>
    <t>SMPLIND</t>
  </si>
  <si>
    <t>Sample Industry fa</t>
  </si>
  <si>
    <t>Test</t>
  </si>
  <si>
    <t>I001</t>
  </si>
  <si>
    <t>TEST1234</t>
  </si>
  <si>
    <t>Baju</t>
  </si>
  <si>
    <t>TEST CALV 1</t>
  </si>
  <si>
    <t>Ini Calvin punya</t>
  </si>
  <si>
    <t>0002IT20210901603</t>
  </si>
  <si>
    <t>INDUSTRY BERAS</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</si>
  <si>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</si>
  <si>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</si>
  <si>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</si>
  <si>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</si>
  <si>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</si>
  <si>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</si>
  <si>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</si>
  <si>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</si>
  <si>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</si>
  <si>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</si>
  <si>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</si>
  <si>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</si>
  <si>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</si>
  <si>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</si>
  <si>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</si>
  <si>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</si>
  <si>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</si>
  <si>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</si>
  <si>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</si>
  <si>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</si>
  <si>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</si>
  <si>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</si>
  <si>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</si>
  <si>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</si>
  <si>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</si>
  <si>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</si>
  <si>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</si>
  <si>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</si>
  <si>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</si>
  <si>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</si>
  <si>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</si>
  <si>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</si>
  <si>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</si>
  <si>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</si>
  <si>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</si>
  <si>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</si>
  <si>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</si>
  <si>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</si>
  <si>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</si>
  <si>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</si>
  <si>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</si>
  <si>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</si>
  <si>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</si>
  <si>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</si>
  <si>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</si>
  <si>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</si>
  <si>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</si>
  <si>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</si>
  <si>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</si>
  <si>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</si>
  <si>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</si>
  <si>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</si>
  <si>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</si>
  <si>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</si>
  <si>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</si>
  <si>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</si>
  <si>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</si>
  <si>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</si>
  <si>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</si>
  <si>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</si>
  <si>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</si>
  <si>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</si>
  <si>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</si>
  <si>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</si>
  <si>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</si>
  <si>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</si>
  <si>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</si>
  <si>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</si>
  <si>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</si>
  <si>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</si>
  <si>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</si>
  <si>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</si>
  <si>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</si>
  <si>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</si>
  <si>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</si>
  <si>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</si>
  <si>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</si>
  <si>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</si>
  <si>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</si>
  <si>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</si>
  <si>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</si>
  <si>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</si>
  <si>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</si>
  <si>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</si>
  <si>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</si>
  <si>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</si>
  <si>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</si>
  <si>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</si>
  <si>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</si>
  <si>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</si>
  <si>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</si>
  <si>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</si>
  <si>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</si>
  <si>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</si>
  <si>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</si>
  <si>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</si>
  <si>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</si>
  <si>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</si>
  <si>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</si>
  <si>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</si>
  <si>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</si>
  <si>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</si>
  <si>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</si>
  <si>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</si>
  <si>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</si>
  <si>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</si>
  <si>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</si>
  <si>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</si>
  <si>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</si>
  <si>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</si>
  <si>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</si>
  <si>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</si>
  <si>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</si>
  <si>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</si>
  <si>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</si>
  <si>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</si>
  <si>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</si>
  <si>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</si>
  <si>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</si>
  <si>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</si>
  <si>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</si>
  <si>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</si>
  <si>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</si>
  <si>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</si>
  <si>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</si>
  <si>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</si>
  <si>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</si>
  <si>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</si>
  <si>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</si>
  <si>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</si>
  <si>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</si>
  <si>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</si>
  <si>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</si>
  <si>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</si>
  <si>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</si>
  <si>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</si>
  <si>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</si>
  <si>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</si>
  <si>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</si>
  <si>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</si>
  <si>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</si>
  <si>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</si>
  <si>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</si>
  <si>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</si>
  <si>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</si>
  <si>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</si>
  <si>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</si>
  <si>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</si>
  <si>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</si>
  <si>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</si>
  <si>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</si>
  <si>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</si>
  <si>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</si>
  <si>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</si>
  <si>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</si>
  <si>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</si>
  <si>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</si>
  <si>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</si>
  <si>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</si>
  <si>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</si>
  <si>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</si>
  <si>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</si>
  <si>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</si>
  <si>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</si>
  <si>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</si>
  <si>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</si>
  <si>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</si>
  <si>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</si>
  <si>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</si>
  <si>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</si>
  <si>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</si>
  <si>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</si>
  <si>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</si>
  <si>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</si>
  <si>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</si>
  <si>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</si>
  <si>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</si>
  <si>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</si>
  <si>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</si>
  <si>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</si>
  <si>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</si>
  <si>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</si>
  <si>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</si>
  <si>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</si>
  <si>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</si>
  <si>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</si>
  <si>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</si>
  <si>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</si>
  <si>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</si>
  <si>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</si>
  <si>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</si>
  <si>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</si>
  <si>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</si>
  <si>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</si>
  <si>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</si>
  <si>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</si>
  <si>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</si>
  <si>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</si>
  <si>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</si>
  <si>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</si>
  <si>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</si>
  <si>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</si>
  <si>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</si>
  <si>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</si>
  <si>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</si>
  <si>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</si>
  <si>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</si>
  <si>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</si>
  <si>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</si>
  <si>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</si>
  <si>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</si>
  <si>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</si>
  <si>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</si>
  <si>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</si>
  <si>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</si>
  <si>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</si>
  <si>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</si>
  <si>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</si>
  <si>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</si>
  <si>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</si>
  <si>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</si>
  <si>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</si>
  <si>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</si>
  <si>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</si>
  <si>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</si>
  <si>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</si>
  <si>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</si>
  <si>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</si>
  <si>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</si>
  <si>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</si>
  <si>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</si>
  <si>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</si>
  <si>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</si>
  <si>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</si>
  <si>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</si>
  <si>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</si>
  <si>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</si>
  <si>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</si>
  <si>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</si>
  <si>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</si>
  <si>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</si>
  <si>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</si>
  <si>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</si>
  <si>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</si>
  <si>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</si>
  <si>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</si>
  <si>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</si>
  <si>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</si>
  <si>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</si>
  <si>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</si>
  <si>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</si>
  <si>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</si>
  <si>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</si>
  <si>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</si>
  <si>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</si>
  <si>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</si>
  <si>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</si>
  <si>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</si>
  <si>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</si>
  <si>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</si>
  <si>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</si>
  <si>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</si>
  <si>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</si>
  <si>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</si>
  <si>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</si>
  <si>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</si>
  <si>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</si>
  <si>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</si>
  <si>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</si>
  <si>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</si>
  <si>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</si>
  <si>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</si>
  <si>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</si>
  <si>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t>
  </si>
  <si>
    <t>2</t>
  </si>
  <si>
    <t>23904</t>
  </si>
  <si>
    <t>3791</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</si>
  <si>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</si>
  <si>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</si>
  <si>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</si>
  <si>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</si>
  <si>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</si>
  <si>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</si>
  <si>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</si>
  <si>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</si>
  <si>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</si>
  <si>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</si>
  <si>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</si>
  <si>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</si>
  <si>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</si>
  <si>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</si>
  <si>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</si>
  <si>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</si>
  <si>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</si>
  <si>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</si>
  <si>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</si>
  <si>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</si>
  <si>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</si>
  <si>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</si>
  <si>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</si>
  <si>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</si>
  <si>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</si>
  <si>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</si>
  <si>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</si>
  <si>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</si>
  <si>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</si>
  <si>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</si>
  <si>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</si>
  <si>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</si>
  <si>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</si>
  <si>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</si>
  <si>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</si>
  <si>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</si>
  <si>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</si>
  <si>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</si>
  <si>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</si>
  <si>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</si>
  <si>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</si>
  <si>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</si>
  <si>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</si>
  <si>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</si>
  <si>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</si>
  <si>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</si>
  <si>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</si>
  <si>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</si>
  <si>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</si>
  <si>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</si>
  <si>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</si>
  <si>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</si>
  <si>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</si>
  <si>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</si>
  <si>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</si>
  <si>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</si>
  <si>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</si>
  <si>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</si>
  <si>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</si>
  <si>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</si>
  <si>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</si>
  <si>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</si>
  <si>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</si>
  <si>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</si>
  <si>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</si>
  <si>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</si>
  <si>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</si>
  <si>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</si>
  <si>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</si>
  <si>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</si>
  <si>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</si>
  <si>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</si>
  <si>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</si>
  <si>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</si>
  <si>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</si>
  <si>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</si>
  <si>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</si>
  <si>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</si>
  <si>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</si>
  <si>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</si>
  <si>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</si>
  <si>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</si>
  <si>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</si>
  <si>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</si>
  <si>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</si>
  <si>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</si>
  <si>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</si>
  <si>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</si>
  <si>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</si>
  <si>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</si>
  <si>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</si>
  <si>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</si>
  <si>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</si>
  <si>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</si>
  <si>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</si>
  <si>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</si>
  <si>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</si>
  <si>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</si>
  <si>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</si>
  <si>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</si>
  <si>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</si>
  <si>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</si>
  <si>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</si>
  <si>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</si>
  <si>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</si>
  <si>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</si>
  <si>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</si>
  <si>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</si>
  <si>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</si>
  <si>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</si>
  <si>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</si>
  <si>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</si>
  <si>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</si>
  <si>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</si>
  <si>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</si>
  <si>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</si>
  <si>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</si>
  <si>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</si>
  <si>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</si>
  <si>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</si>
  <si>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</si>
  <si>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</si>
  <si>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</si>
  <si>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</si>
  <si>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</si>
  <si>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</si>
  <si>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</si>
  <si>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</si>
  <si>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</si>
  <si>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</si>
  <si>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</si>
  <si>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</si>
  <si>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</si>
  <si>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</si>
  <si>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</si>
  <si>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</si>
  <si>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</si>
  <si>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</si>
  <si>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</si>
  <si>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</si>
  <si>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</si>
  <si>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</si>
  <si>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</si>
  <si>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</si>
  <si>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</si>
  <si>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</si>
  <si>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</si>
  <si>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</si>
  <si>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</si>
  <si>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</si>
  <si>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</si>
  <si>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</si>
  <si>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</si>
  <si>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</si>
  <si>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</si>
  <si>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</si>
  <si>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</si>
  <si>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</si>
  <si>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</si>
  <si>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</si>
  <si>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</si>
  <si>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</si>
  <si>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</si>
  <si>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</si>
  <si>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</si>
  <si>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</si>
  <si>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</si>
  <si>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</si>
  <si>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</si>
  <si>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</si>
  <si>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</si>
  <si>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</si>
  <si>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</si>
  <si>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</si>
  <si>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</si>
  <si>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</si>
  <si>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</si>
  <si>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</si>
  <si>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</si>
  <si>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</si>
  <si>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</si>
  <si>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</si>
  <si>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</si>
  <si>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</si>
  <si>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</si>
  <si>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</si>
  <si>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</si>
  <si>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</si>
  <si>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</si>
  <si>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</si>
  <si>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</si>
  <si>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</si>
  <si>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</si>
  <si>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</si>
  <si>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</si>
  <si>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</si>
  <si>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</si>
  <si>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</si>
  <si>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</si>
  <si>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</si>
  <si>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</si>
  <si>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</si>
  <si>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</si>
  <si>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</si>
  <si>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</si>
  <si>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</si>
  <si>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</si>
  <si>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</si>
  <si>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</si>
  <si>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</si>
  <si>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</si>
  <si>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</si>
  <si>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</si>
  <si>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</si>
  <si>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</si>
  <si>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</si>
  <si>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</si>
  <si>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</si>
  <si>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</si>
  <si>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</si>
  <si>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</si>
  <si>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</si>
  <si>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</si>
  <si>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</si>
  <si>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</si>
  <si>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</si>
  <si>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</si>
  <si>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</si>
  <si>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</si>
  <si>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</si>
  <si>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</si>
  <si>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</si>
  <si>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</si>
  <si>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</si>
  <si>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</si>
  <si>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</si>
  <si>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</si>
  <si>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</si>
  <si>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</si>
  <si>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</si>
  <si>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</si>
  <si>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</si>
  <si>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</si>
  <si>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</si>
  <si>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</si>
  <si>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</si>
  <si>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</si>
  <si>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</si>
  <si>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</si>
  <si>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</si>
  <si>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</si>
  <si>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</si>
  <si>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</si>
  <si>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</si>
  <si>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</si>
  <si>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</si>
  <si>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</si>
  <si>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</si>
  <si>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</si>
  <si>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</si>
  <si>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</si>
  <si>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</si>
  <si>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</si>
  <si>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</si>
  <si>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</si>
  <si>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</si>
  <si>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</si>
  <si>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</si>
  <si>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</si>
  <si>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</si>
  <si>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</si>
  <si>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</si>
  <si>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</si>
  <si>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</si>
  <si>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</si>
  <si>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</si>
  <si>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</si>
  <si>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</si>
  <si>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</si>
  <si>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</si>
  <si>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</si>
  <si>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</si>
  <si>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</si>
  <si>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</si>
  <si>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</si>
  <si>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</si>
  <si>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</si>
  <si>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</si>
  <si>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</si>
  <si>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</si>
  <si>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</si>
  <si>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</si>
  <si>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</si>
  <si>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</si>
  <si>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</si>
  <si>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</si>
  <si>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</si>
  <si>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</si>
  <si>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</si>
  <si>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</si>
  <si>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</si>
  <si>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</si>
  <si>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</si>
  <si>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</si>
  <si>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</si>
  <si>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</si>
  <si>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</si>
  <si>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</si>
  <si>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</si>
  <si>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</si>
  <si>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</si>
  <si>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</si>
  <si>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</si>
  <si>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</si>
  <si>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</si>
  <si>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</si>
  <si>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</si>
  <si>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</si>
  <si>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</si>
  <si>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</si>
  <si>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</si>
  <si>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</si>
  <si>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</si>
  <si>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</si>
  <si>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</si>
  <si>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</si>
  <si>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</si>
  <si>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</si>
  <si>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</si>
  <si>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</si>
  <si>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</si>
  <si>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</si>
  <si>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</si>
  <si>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</si>
  <si>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</si>
  <si>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</si>
  <si>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</si>
  <si>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</si>
  <si>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</si>
  <si>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</si>
  <si>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</si>
  <si>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</si>
  <si>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</si>
  <si>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</si>
  <si>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</si>
  <si>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</si>
  <si>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</si>
  <si>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</si>
  <si>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</si>
  <si>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</si>
  <si>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</si>
  <si>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</si>
  <si>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</si>
  <si>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</si>
  <si>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</si>
  <si>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</si>
  <si>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</si>
  <si>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</si>
  <si>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</si>
  <si>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</si>
  <si>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</si>
  <si>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</si>
  <si>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</si>
  <si>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</si>
  <si>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</si>
  <si>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</si>
  <si>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</si>
  <si>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</si>
  <si>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</si>
  <si>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</si>
  <si>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</si>
  <si>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</si>
  <si>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</si>
  <si>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</si>
  <si>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</si>
  <si>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</si>
  <si>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</si>
  <si>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</si>
  <si>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</si>
  <si>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</si>
  <si>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</si>
  <si>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</si>
  <si>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</si>
  <si>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</si>
  <si>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</si>
  <si>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</si>
  <si>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</si>
  <si>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</si>
  <si>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</si>
  <si>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</si>
  <si>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</si>
  <si>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</si>
  <si>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</si>
  <si>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</si>
  <si>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</si>
  <si>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</si>
  <si>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</si>
  <si>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</si>
  <si>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</si>
  <si>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</si>
  <si>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</si>
  <si>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</si>
  <si>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</si>
  <si>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</si>
  <si>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</si>
  <si>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</si>
  <si>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</si>
  <si>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</si>
  <si>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</si>
  <si>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</si>
  <si>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</si>
  <si>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</si>
  <si>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</si>
  <si>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</si>
  <si>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</si>
  <si>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</si>
  <si>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</si>
  <si>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</si>
  <si>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</si>
  <si>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</si>
  <si>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</si>
  <si>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</si>
  <si>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</si>
  <si>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</si>
  <si>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</si>
  <si>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</si>
  <si>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</si>
  <si>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</si>
  <si>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</si>
  <si>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</si>
  <si>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</si>
  <si>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</si>
  <si>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</si>
  <si>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</si>
  <si>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</si>
  <si>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</si>
  <si>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</si>
  <si>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</si>
  <si>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</si>
  <si>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</si>
  <si>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</si>
  <si>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</si>
  <si>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</si>
  <si>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</si>
  <si>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</si>
  <si>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</si>
  <si>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</si>
  <si>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</si>
  <si>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</si>
  <si>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</si>
  <si>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</si>
  <si>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</si>
  <si>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</si>
  <si>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</si>
  <si>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</si>
  <si>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</si>
  <si>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</si>
  <si>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</si>
  <si>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</si>
  <si>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</si>
  <si>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</si>
  <si>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</si>
  <si>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</si>
  <si>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</si>
  <si>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</si>
  <si>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</si>
  <si>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</si>
  <si>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</si>
  <si>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</si>
  <si>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</si>
  <si>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</si>
  <si>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</si>
  <si>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</si>
  <si>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</si>
  <si>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</si>
  <si>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</si>
  <si>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</si>
  <si>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</si>
  <si>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</si>
  <si>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</si>
  <si>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</si>
  <si>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</si>
  <si>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</si>
  <si>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</si>
  <si>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</si>
  <si>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</si>
  <si>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</si>
  <si>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</si>
  <si>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</si>
  <si>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</si>
  <si>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</si>
  <si>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</si>
  <si>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</si>
  <si>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</si>
  <si>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</si>
  <si>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</si>
  <si>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</si>
  <si>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</si>
  <si>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</si>
  <si>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</si>
  <si>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</si>
  <si>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</si>
  <si>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</si>
  <si>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</si>
  <si>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</si>
  <si>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</si>
  <si>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</si>
  <si>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</si>
  <si>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</si>
  <si>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</si>
  <si>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</si>
  <si>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</si>
  <si>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</si>
  <si>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</si>
  <si>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</si>
  <si>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</si>
  <si>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</si>
  <si>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</si>
  <si>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</si>
  <si>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</si>
  <si>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</si>
  <si>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</si>
  <si>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</si>
  <si>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</si>
  <si>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</si>
  <si>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</si>
  <si>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</si>
  <si>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</si>
  <si>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</si>
  <si>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</si>
  <si>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</si>
  <si>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</si>
  <si>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</si>
  <si>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</si>
  <si>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</si>
  <si>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</si>
  <si>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</si>
  <si>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</si>
  <si>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</si>
  <si>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</si>
  <si>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</si>
  <si>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</si>
  <si>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</si>
  <si>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</si>
  <si>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</si>
  <si>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LUBUK PANDAN</t>
  </si>
  <si>
    <t>PADANG PARIAMAN</t>
  </si>
  <si>
    <t>03/01/2022</t>
  </si>
  <si>
    <t>S1</t>
  </si>
  <si>
    <t>PENDUDUK/RESIDENT.SEKTOR PEMERINTAH.PEMERINTAH PUSAT.KEMENTERIAN KEUANGAN</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</si>
  <si>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</si>
  <si>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</si>
  <si>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</si>
  <si>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</si>
  <si>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</si>
  <si>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</si>
  <si>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</si>
  <si>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</si>
  <si>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</si>
  <si>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</si>
  <si>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</si>
  <si>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</si>
  <si>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</si>
  <si>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</si>
  <si>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</si>
  <si>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</si>
  <si>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</si>
  <si>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</si>
  <si>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</si>
  <si>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</si>
  <si>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</si>
  <si>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</si>
  <si>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</si>
  <si>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</si>
  <si>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</si>
  <si>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</si>
  <si>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</si>
  <si>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</si>
  <si>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</si>
  <si>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</si>
  <si>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</si>
  <si>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</si>
  <si>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</si>
  <si>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</si>
  <si>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</si>
  <si>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</si>
  <si>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JL TWICE NO 92</t>
  </si>
  <si>
    <t>4 X 11 ENAM LINGKUNG</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</si>
  <si>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</si>
  <si>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</si>
  <si>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</si>
  <si>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</si>
  <si>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</si>
  <si>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</si>
  <si>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</si>
  <si>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</si>
  <si>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</si>
  <si>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</si>
  <si>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</si>
  <si>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</si>
  <si>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</si>
  <si>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</si>
  <si>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</si>
  <si>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</si>
  <si>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</si>
  <si>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</si>
  <si>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</si>
  <si>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</si>
  <si>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</si>
  <si>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</si>
  <si>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</si>
  <si>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</si>
  <si>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</si>
  <si>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</si>
  <si>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</si>
  <si>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</si>
  <si>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</si>
  <si>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</si>
  <si>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</si>
  <si>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</si>
  <si>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</si>
  <si>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</si>
  <si>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</si>
  <si>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</si>
  <si>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</si>
  <si>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</si>
  <si>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</si>
  <si>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</si>
  <si>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</si>
  <si>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</si>
  <si>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</si>
  <si>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</si>
  <si>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</si>
  <si>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</si>
  <si>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</si>
  <si>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</si>
  <si>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</si>
  <si>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</si>
  <si>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</si>
  <si>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</si>
  <si>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</si>
  <si>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</si>
  <si>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</si>
  <si>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</si>
  <si>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</si>
  <si>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</si>
  <si>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</si>
  <si>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</si>
  <si>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</si>
  <si>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</si>
  <si>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</si>
  <si>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</si>
  <si>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Non Professional</t>
  </si>
  <si>
    <t>Customer Model</t>
  </si>
  <si>
    <t>Customer Name</t>
  </si>
  <si>
    <t>Add Asset</t>
  </si>
  <si>
    <t>;</t>
  </si>
  <si>
    <t>Appno</t>
  </si>
  <si>
    <t>branch 1</t>
  </si>
  <si>
    <t>name 1</t>
  </si>
  <si>
    <t>2138712937</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</si>
  <si>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</si>
  <si>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</si>
  <si>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</si>
  <si>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</si>
  <si>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</si>
  <si>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</si>
  <si>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</si>
  <si>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</si>
  <si>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</si>
  <si>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</si>
  <si>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</si>
  <si>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</si>
  <si>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</si>
  <si>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</si>
  <si>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KEBON JERUK</t>
  </si>
  <si>
    <t>Mobil</t>
  </si>
  <si>
    <t>-</t>
  </si>
  <si>
    <t>FT ANDI</t>
  </si>
  <si>
    <t>JOKO</t>
  </si>
  <si>
    <t>1;1</t>
  </si>
  <si>
    <t>FT SURYA</t>
  </si>
  <si>
    <t>LOS-012</t>
  </si>
  <si>
    <t>LOS-013</t>
  </si>
  <si>
    <t>LOS-014</t>
  </si>
  <si>
    <t>LOS-015</t>
  </si>
  <si>
    <t>LOS-016</t>
  </si>
  <si>
    <t>app12</t>
  </si>
  <si>
    <t>app13</t>
  </si>
  <si>
    <t>app14</t>
  </si>
  <si>
    <t>app15</t>
  </si>
  <si>
    <t>app16</t>
  </si>
  <si>
    <t>Atlet/Olahragawan</t>
  </si>
  <si>
    <t>TESTP</t>
  </si>
  <si>
    <t>TESTP1</t>
  </si>
  <si>
    <t>TESTE</t>
  </si>
  <si>
    <t>TESTS</t>
  </si>
  <si>
    <t>UDIN PROF</t>
  </si>
  <si>
    <t>UDIN-PROF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</si>
</sst>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6" fillId="0" borderId="0" applyNumberFormat="0" applyFill="0" applyBorder="0" applyAlignment="0" applyProtection="0"/>
  </cellStyleXfs>
  <cellXfs count="65">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3" borderId="8" xfId="0" applyFill="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91">
    <dxf>
      <numFmt numFmtId="0" formatCode="General"/>
    </dxf>
    <dxf>
      <numFmt numFmtId="0" formatCode="Genera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dxf>
    <dxf>
      <numFmt numFmtId="0" formatCode="General"/>
    </dxf>
    <dxf>
      <numFmt numFmtId="0" formatCode="Genera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1"/>
      <queryTableField id="2" name="COUNTRY CODE" tableColumnId="2"/>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1"/>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90" dataDxfId="88" headerRowBorderDxfId="89" tableBorderDxfId="87" totalsRowBorderDxfId="86">
  <autoFilter ref="J1:K149"/>
  <tableColumns count="2">
    <tableColumn id="1" uniqueName="1" name="BANK NAME" queryTableFieldId="1" dataDxfId="85"/>
    <tableColumn id="2" uniqueName="2" name="BANK CODE" queryTableFieldId="2" dataDxfId="84"/>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5" tableType="queryTable" insertRowShift="1" totalsRowShown="0" headerRowDxfId="83" dataDxfId="82">
  <autoFilter ref="A1:B105"/>
  <tableColumns count="2">
    <tableColumn id="1" uniqueName="1" name="JOB PROFESSION NAME" queryTableFieldId="1" dataDxfId="41"/>
    <tableColumn id="2" uniqueName="2" name="JOB POSITION CODE" queryTableFieldId="2" dataDxfId="40"/>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29" tableType="queryTable" totalsRowShown="0" headerRowDxfId="81">
  <autoFilter ref="E1:E29"/>
  <tableColumns count="1">
    <tableColumn id="1" uniqueName="1" name="JOB POSITION NAME" queryTableFieldId="1" dataDxfId="39"/>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80">
  <autoFilter ref="H1:H14"/>
  <tableColumns count="1">
    <tableColumn id="1" uniqueName="1" name="Customer Relationship" queryTableFieldId="1" dataDxfId="22"/>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79" dataDxfId="78">
  <autoFilter ref="M1:N315"/>
  <tableColumns count="2">
    <tableColumn id="1" uniqueName="1" name="DEBTOR GROUP NAME" queryTableFieldId="1" dataDxfId="77"/>
    <tableColumn id="2" uniqueName="2" name="DEBTOR GROUP CODE" queryTableFieldId="2" dataDxfId="76"/>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75" dataDxfId="74">
  <autoFilter ref="P1:Q6"/>
  <tableColumns count="2">
    <tableColumn id="3" uniqueName="3" name="Debtor Business Scale Description" queryTableFieldId="1" dataDxfId="73"/>
    <tableColumn id="4" uniqueName="4" name="Debtor Group Code" queryTableFieldId="2" dataDxfId="72"/>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71" dataDxfId="70">
  <autoFilter ref="S1:T175"/>
  <tableColumns count="2">
    <tableColumn id="1" uniqueName="1" name="Counterpart Category" queryTableFieldId="1" dataDxfId="69"/>
    <tableColumn id="2" uniqueName="2" name="LBPP CODE" queryTableFieldId="2" dataDxfId="68"/>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67" dataDxfId="66">
  <autoFilter ref="V1:W14"/>
  <tableColumns count="2">
    <tableColumn id="1" uniqueName="1" name="Sustainable Financial Business" queryTableFieldId="1" dataDxfId="65"/>
    <tableColumn id="2" uniqueName="2" name="LBPP Code" queryTableFieldId="2" dataDxfId="64"/>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63" dataDxfId="62">
  <autoFilter ref="Y1:Z193"/>
  <tableColumns count="2">
    <tableColumn id="1" uniqueName="1" name="DEBTOR GROUP SLIK" queryTableFieldId="1" dataDxfId="32"/>
    <tableColumn id="2" uniqueName="2" name="DEBTOR GROUP SLIK CODE" queryTableFieldId="2" dataDxfId="3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61" dataDxfId="60">
  <autoFilter ref="AB1:AC16"/>
  <tableColumns count="2">
    <tableColumn id="1" uniqueName="1" name="AFFILIATE WITH MULTIFINANCE SLIK" queryTableFieldId="1" dataDxfId="24"/>
    <tableColumn id="2" uniqueName="2" name="CODE" queryTableFieldId="2" dataDxfId="23"/>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278" tableType="queryTable" insertRowShift="1" totalsRowShown="0" headerRowDxfId="59" dataDxfId="58">
  <autoFilter ref="AE1:AF278"/>
  <tableColumns count="2">
    <tableColumn id="1" uniqueName="1" name="DEPARTMENT AML" queryTableFieldId="1" dataDxfId="30"/>
    <tableColumn id="2" uniqueName="2" name="DEPARTMENT AML CODE" queryTableFieldId="2" dataDxfId="29"/>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57" dataDxfId="56">
  <autoFilter ref="AH1:AI10"/>
  <tableColumns count="2">
    <tableColumn id="1" uniqueName="1" name="CSP/USL SOURCE AML" queryTableFieldId="1" dataDxfId="34"/>
    <tableColumn id="2" uniqueName="2" name="CSP/USL SOURCE AML CODE" queryTableFieldId="2" dataDxfId="3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55" dataDxfId="54">
  <autoFilter ref="AK1:AL3"/>
  <tableColumns count="2">
    <tableColumn id="1" uniqueName="1" name="PAYMENT TYPE AML" queryTableFieldId="1" dataDxfId="38"/>
    <tableColumn id="2" uniqueName="2" name="CODE" queryTableFieldId="2" dataDxfId="37"/>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53" dataDxfId="52">
  <autoFilter ref="AN1:AO9"/>
  <tableColumns count="2">
    <tableColumn id="1" uniqueName="1" name="AUTHORITY AML" queryTableFieldId="1" dataDxfId="21"/>
    <tableColumn id="2" uniqueName="2" name="AUTHORITY AML2" queryTableFieldId="2" dataDxfId="20"/>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51" dataDxfId="50">
  <autoFilter ref="AQ1:AR2"/>
  <tableColumns count="2">
    <tableColumn id="1" uniqueName="1" name="BUSINESS SOURCE AML" queryTableFieldId="1" dataDxfId="26"/>
    <tableColumn id="2" uniqueName="2" name="CODE" queryTableFieldId="2" dataDxfId="25"/>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6" tableType="queryTable" insertRowShift="1" totalsRowShown="0" headerRowDxfId="49" dataDxfId="48">
  <autoFilter ref="AT1:AU6"/>
  <tableColumns count="2">
    <tableColumn id="1" uniqueName="1" name="BUILDING" queryTableFieldId="1" dataDxfId="28"/>
    <tableColumn id="2" uniqueName="2" name="BUILDING CODE" queryTableFieldId="2" dataDxfId="2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50" tableType="queryTable" insertRowShift="1" totalsRowShown="0" headerRowDxfId="47" dataDxfId="46">
  <autoFilter ref="AW1:AX250"/>
  <tableColumns count="2">
    <tableColumn id="1" uniqueName="1" name="INDUSTRY TYPE NAME" queryTableFieldId="1" dataDxfId="36"/>
    <tableColumn id="2" uniqueName="2" name="INDUSTRY TYPE CODE" queryTableFieldId="2" dataDxfId="35"/>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45">
  <autoFilter ref="BA1:BB242"/>
  <tableColumns count="2">
    <tableColumn id="1" uniqueName="1" name="COUNTRY NAME" queryTableFieldId="1" dataDxfId="19"/>
    <tableColumn id="2" uniqueName="2" name="COUNTRY CODE" queryTableFieldId="2" dataDxfId="18"/>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44">
  <autoFilter ref="BE1:BE10"/>
  <tableColumns count="1">
    <tableColumn id="1" uniqueName="1" name="Copy Address" queryTableFieldId="1" dataDxfId="17"/>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7" tableType="queryTable" totalsRowShown="0" headerRowDxfId="43">
  <autoFilter ref="BG1:BG7"/>
  <tableColumns count="1">
    <tableColumn id="1" uniqueName="1" name="ID TYPE" queryTableFieldId="1" dataDxfId="1"/>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42">
  <autoFilter ref="BI1:BI3"/>
  <tableColumns count="1">
    <tableColumn id="1" uniqueName="1"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6" Type="http://schemas.openxmlformats.org/officeDocument/2006/relationships/printerSettings" Target="../printerSettings/printerSettings3.bin"/><Relationship Id="rId5" Type="http://schemas.openxmlformats.org/officeDocument/2006/relationships/hyperlink" Target="mailto:yuzi@gmail.com" TargetMode="External"/><Relationship Id="rId4"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topLeftCell="A13" workbookViewId="0">
      <selection activeCell="B3" sqref="B3:F3"/>
    </sheetView>
  </sheetViews>
  <sheetFormatPr defaultRowHeight="15" x14ac:dyDescent="0.25"/>
  <cols>
    <col min="1" max="1" width="29.7109375" bestFit="1" customWidth="1" collapsed="1"/>
    <col min="2" max="2" width="34.28515625" bestFit="1" customWidth="1" collapsed="1"/>
    <col min="3" max="5" width="19.85546875" bestFit="1" customWidth="1" collapsed="1"/>
    <col min="6" max="6" width="12.7109375" bestFit="1" customWidth="1"/>
  </cols>
  <sheetData>
    <row r="1" spans="1:11" s="1" customFormat="1" x14ac:dyDescent="0.25">
      <c r="A1" s="1" t="s">
        <v>12</v>
      </c>
      <c r="B1" t="s">
        <v>2851</v>
      </c>
      <c r="C1" t="s">
        <v>2851</v>
      </c>
      <c r="D1" s="1" t="s">
        <v>2851</v>
      </c>
      <c r="E1" s="1" t="s">
        <v>2851</v>
      </c>
      <c r="F1" s="1" t="s">
        <v>2851</v>
      </c>
    </row>
    <row r="2" spans="1:11" s="1" customFormat="1" x14ac:dyDescent="0.25">
      <c r="A2" s="1" t="s">
        <v>3698</v>
      </c>
      <c r="B2" s="1" t="s">
        <v>3794</v>
      </c>
      <c r="C2" s="1" t="s">
        <v>3794</v>
      </c>
      <c r="D2" s="1" t="s">
        <v>3794</v>
      </c>
      <c r="E2" s="1" t="s">
        <v>3794</v>
      </c>
      <c r="F2" s="1" t="s">
        <v>3794</v>
      </c>
    </row>
    <row r="3" spans="1:11" s="1" customFormat="1" x14ac:dyDescent="0.25">
      <c r="A3" s="1" t="s">
        <v>3699</v>
      </c>
      <c r="B3" t="s">
        <v>3799</v>
      </c>
      <c r="C3" t="s">
        <v>3800</v>
      </c>
      <c r="D3" t="s">
        <v>3801</v>
      </c>
      <c r="E3" t="s">
        <v>3802</v>
      </c>
      <c r="F3" t="s">
        <v>3803</v>
      </c>
    </row>
    <row r="4" spans="1:11" s="1" customFormat="1" x14ac:dyDescent="0.25">
      <c r="A4" s="1" t="s">
        <v>3712</v>
      </c>
      <c r="B4" s="1">
        <f>COUNTIFS($A$14:$A$29, "*$*",B14:B29,"")+IF(B18="Yes",COUNTIFS($A$23, "*$*",B23,""),0)</f>
        <v>0</v>
      </c>
      <c r="C4" s="1">
        <f t="shared" ref="C4:F4" si="0">COUNTIFS($A$14:$A$29, "*$*",C14:C29,"")+IF(C18="Yes",COUNTIFS($A$23, "*$*",C23,""),0)</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5" customFormat="1" x14ac:dyDescent="0.25">
      <c r="B11" s="54"/>
      <c r="C11" s="54"/>
    </row>
    <row r="12" spans="1:11" s="1" customFormat="1" x14ac:dyDescent="0.25">
      <c r="A12" s="47" t="s">
        <v>3120</v>
      </c>
      <c r="B12" s="1" t="s">
        <v>3804</v>
      </c>
      <c r="C12" s="1" t="s">
        <v>3805</v>
      </c>
      <c r="D12" s="1" t="s">
        <v>3806</v>
      </c>
      <c r="E12" s="1" t="s">
        <v>3807</v>
      </c>
      <c r="F12" s="1" t="s">
        <v>3808</v>
      </c>
    </row>
    <row r="13" spans="1:11" s="1" customFormat="1" x14ac:dyDescent="0.25">
      <c r="A13" s="47" t="s">
        <v>0</v>
      </c>
      <c r="B13" t="s">
        <v>3795</v>
      </c>
      <c r="C13" t="s">
        <v>3798</v>
      </c>
      <c r="D13" t="s">
        <v>3796</v>
      </c>
      <c r="E13" t="s">
        <v>3697</v>
      </c>
      <c r="F13" t="s">
        <v>3795</v>
      </c>
    </row>
    <row r="14" spans="1:11" s="1" customFormat="1" x14ac:dyDescent="0.25">
      <c r="A14" s="1" t="s">
        <v>9</v>
      </c>
    </row>
    <row r="15" spans="1:11" s="1" customFormat="1" x14ac:dyDescent="0.25">
      <c r="A15" s="1" t="s">
        <v>2</v>
      </c>
      <c r="B15" s="2">
        <v>0</v>
      </c>
      <c r="C15" s="2">
        <v>0</v>
      </c>
      <c r="D15" s="2"/>
      <c r="E15" s="2"/>
      <c r="F15" s="2">
        <v>0</v>
      </c>
      <c r="G15" s="2"/>
      <c r="H15" s="2"/>
      <c r="I15" s="2"/>
      <c r="J15" s="2"/>
      <c r="K15" s="2"/>
    </row>
    <row r="16" spans="1:11" s="1" customFormat="1" x14ac:dyDescent="0.25">
      <c r="A16" s="1" t="s">
        <v>3</v>
      </c>
      <c r="B16" s="2">
        <v>0</v>
      </c>
      <c r="C16" s="2">
        <v>0</v>
      </c>
      <c r="D16" s="2"/>
      <c r="E16" s="2"/>
      <c r="F16" s="2">
        <v>0</v>
      </c>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3713</v>
      </c>
      <c r="B18" s="1" t="s">
        <v>5</v>
      </c>
      <c r="C18" s="1" t="s">
        <v>5</v>
      </c>
      <c r="D18" s="1" t="s">
        <v>5</v>
      </c>
      <c r="E18" s="1" t="s">
        <v>5</v>
      </c>
      <c r="F18" s="1" t="s">
        <v>5</v>
      </c>
    </row>
    <row r="19" spans="1:11" s="1" customFormat="1" x14ac:dyDescent="0.25">
      <c r="A19" s="1" t="s">
        <v>3714</v>
      </c>
      <c r="B19" s="1" t="s">
        <v>5</v>
      </c>
      <c r="C19" s="1" t="s">
        <v>5</v>
      </c>
      <c r="D19" s="1" t="s">
        <v>5</v>
      </c>
      <c r="E19" s="1" t="s">
        <v>5</v>
      </c>
      <c r="F19" s="1" t="s">
        <v>5</v>
      </c>
    </row>
    <row r="20" spans="1:11" s="1" customFormat="1" x14ac:dyDescent="0.25">
      <c r="A20" s="1" t="s">
        <v>3715</v>
      </c>
      <c r="B20" s="1" t="s">
        <v>5</v>
      </c>
      <c r="C20" s="1" t="s">
        <v>5</v>
      </c>
      <c r="D20" s="1" t="s">
        <v>5</v>
      </c>
      <c r="E20" s="1" t="s">
        <v>5</v>
      </c>
      <c r="F20" s="1" t="s">
        <v>5</v>
      </c>
    </row>
    <row r="21" spans="1:11" s="1" customFormat="1" x14ac:dyDescent="0.25">
      <c r="A21" s="1" t="s">
        <v>7</v>
      </c>
    </row>
    <row r="22" spans="1:11" s="1" customFormat="1" x14ac:dyDescent="0.25">
      <c r="A22" s="37" t="s">
        <v>3705</v>
      </c>
      <c r="B22" s="1" t="s">
        <v>8</v>
      </c>
      <c r="C22" s="1" t="s">
        <v>8</v>
      </c>
      <c r="D22" s="1" t="s">
        <v>8</v>
      </c>
      <c r="E22" s="1" t="s">
        <v>8</v>
      </c>
      <c r="F22" s="1" t="s">
        <v>8</v>
      </c>
    </row>
    <row r="23" spans="1:11" s="1" customFormat="1" x14ac:dyDescent="0.25">
      <c r="A23" s="1" t="s">
        <v>1</v>
      </c>
    </row>
    <row r="24" spans="1:11" s="1" customFormat="1" x14ac:dyDescent="0.25">
      <c r="A24" s="1" t="s">
        <v>10</v>
      </c>
    </row>
    <row r="25" spans="1:11" s="1" customFormat="1" x14ac:dyDescent="0.25">
      <c r="A25" s="37" t="s">
        <v>3706</v>
      </c>
      <c r="B25" s="1" t="s">
        <v>11</v>
      </c>
      <c r="C25" s="1" t="s">
        <v>11</v>
      </c>
      <c r="D25" s="1" t="s">
        <v>11</v>
      </c>
      <c r="E25" s="1" t="s">
        <v>11</v>
      </c>
      <c r="F25" s="1" t="s">
        <v>11</v>
      </c>
    </row>
    <row r="26" spans="1:11" s="1" customFormat="1" x14ac:dyDescent="0.25">
      <c r="A26" s="38" t="s">
        <v>3707</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row>
    <row r="27" spans="1:11" s="1" customFormat="1" x14ac:dyDescent="0.25">
      <c r="A27" s="36" t="s">
        <v>3708</v>
      </c>
      <c r="B27" s="2" t="s">
        <v>3134</v>
      </c>
      <c r="C27" s="2" t="s">
        <v>3134</v>
      </c>
      <c r="D27" s="2" t="s">
        <v>3134</v>
      </c>
      <c r="E27" s="2" t="s">
        <v>3134</v>
      </c>
      <c r="F27" s="2" t="s">
        <v>3134</v>
      </c>
      <c r="G27" s="2"/>
      <c r="H27" s="2"/>
      <c r="I27" s="2"/>
      <c r="J27" s="2"/>
      <c r="K27" s="2"/>
    </row>
    <row r="28" spans="1:11" s="1" customFormat="1" x14ac:dyDescent="0.25">
      <c r="A28" s="37" t="s">
        <v>3709</v>
      </c>
      <c r="B28" s="1" t="s">
        <v>3665</v>
      </c>
      <c r="C28" s="1" t="s">
        <v>3700</v>
      </c>
      <c r="D28" s="1" t="s">
        <v>3701</v>
      </c>
      <c r="E28" s="1" t="s">
        <v>3702</v>
      </c>
      <c r="F28" s="1" t="s">
        <v>3665</v>
      </c>
    </row>
    <row r="29" spans="1:11" s="1" customFormat="1" x14ac:dyDescent="0.25">
      <c r="A29" s="37" t="s">
        <v>3710</v>
      </c>
      <c r="B29" s="1" t="s">
        <v>3661</v>
      </c>
      <c r="C29" s="1" t="s">
        <v>3661</v>
      </c>
      <c r="D29" s="1" t="s">
        <v>3661</v>
      </c>
      <c r="E29" s="1" t="s">
        <v>3661</v>
      </c>
      <c r="F29" s="1" t="s">
        <v>3661</v>
      </c>
    </row>
    <row r="30" spans="1:11" s="1" customFormat="1" x14ac:dyDescent="0.25">
      <c r="A30" s="36" t="s">
        <v>3711</v>
      </c>
      <c r="B30" s="2"/>
      <c r="C30" s="2"/>
      <c r="D30" s="2"/>
      <c r="E30" s="2"/>
      <c r="F30" s="2"/>
      <c r="G30" s="2"/>
      <c r="H30" s="2"/>
      <c r="I30" s="2"/>
      <c r="J30" s="2"/>
      <c r="K30" s="2"/>
    </row>
  </sheetData>
  <conditionalFormatting sqref="A30:E30 G30:XFD30">
    <cfRule type="expression" dxfId="16" priority="4">
      <formula>A$19="No"</formula>
    </cfRule>
  </conditionalFormatting>
  <conditionalFormatting sqref="B26:E27 G26:XFD27">
    <cfRule type="expression" dxfId="15" priority="3">
      <formula>AND(B$25&lt;&gt;"Foreigner",B$25&lt;&gt;"",B$25&lt;&gt;"Nationality")</formula>
    </cfRule>
  </conditionalFormatting>
  <conditionalFormatting sqref="F30">
    <cfRule type="expression" dxfId="14" priority="2">
      <formula>F$19="No"</formula>
    </cfRule>
  </conditionalFormatting>
  <conditionalFormatting sqref="F26:F27">
    <cfRule type="expression" dxfId="13" priority="1">
      <formula>AND(F$25&lt;&gt;"Foreigner",F$25&lt;&gt;"",F$25&lt;&gt;"Nationality")</formula>
    </cfRule>
  </conditionalFormatting>
  <dataValidations count="15">
    <dataValidation type="list" allowBlank="1" showInputMessage="1" showErrorMessage="1" sqref="G29:K29">
      <formula1>"Buddha, Catholic, Christian, Hindu, Islam, Kong Hu Cu"</formula1>
    </dataValidation>
    <dataValidation type="list" allowBlank="1" showInputMessage="1" showErrorMessage="1" sqref="G28:K28">
      <formula1>"S1, S2, S3, SD, SMP, SMA"</formula1>
    </dataValidation>
    <dataValidation showInputMessage="1" showErrorMessage="1" sqref="B21:K21"/>
    <dataValidation type="list" showInputMessage="1" showErrorMessage="1" sqref="G18:K20">
      <formula1>"Yes, No"</formula1>
    </dataValidation>
    <dataValidation type="list" showInputMessage="1" showErrorMessage="1" sqref="G25:K25">
      <formula1>"Local, Foreigner"</formula1>
    </dataValidation>
    <dataValidation type="list" showInputMessage="1" showErrorMessage="1" sqref="G22:K22">
      <formula1>"Mr, Mrs, Ms"</formula1>
    </dataValidation>
    <dataValidation type="custom" allowBlank="1" showInputMessage="1" showErrorMessage="1" sqref="B26:F26">
      <formula1>B$25="Foreigner"</formula1>
    </dataValidation>
    <dataValidation type="custom" allowBlank="1" showInputMessage="1" showErrorMessage="1" sqref="B30:F30">
      <formula1>B$19="Yes"</formula1>
    </dataValidation>
    <dataValidation type="whole" allowBlank="1" showInputMessage="1" showErrorMessage="1" sqref="B15:F16">
      <formula1>0</formula1>
      <formula2>9.99999999999999E+26</formula2>
    </dataValidation>
    <dataValidation type="list" allowBlank="1" showInputMessage="1" showErrorMessage="1" sqref="B27:F27">
      <formula1>IF(B$25="Foreigner",ListCountry)</formula1>
    </dataValidation>
    <dataValidation type="list" errorStyle="information" showInputMessage="1" showErrorMessage="1" sqref="B18:F20">
      <formula1>"Yes, No"</formula1>
    </dataValidation>
    <dataValidation type="list" errorStyle="information" allowBlank="1" showInputMessage="1" showErrorMessage="1" sqref="B22:F22">
      <formula1>"Mr, Mrs, Ms"</formula1>
    </dataValidation>
    <dataValidation type="list" errorStyle="information" allowBlank="1" showInputMessage="1" showErrorMessage="1" sqref="B25:F25">
      <formula1>"Local, Foreigner"</formula1>
    </dataValidation>
    <dataValidation type="list" errorStyle="information" allowBlank="1" showInputMessage="1" showErrorMessage="1" sqref="B28:F28">
      <formula1>"S1, S2, S3, SD, SMP, SMA, D3"</formula1>
    </dataValidation>
    <dataValidation type="list" errorStyle="information" allowBlank="1" showInputMessage="1" showErrorMessage="1" sqref="B29:F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F12" sqref="F12:F32"/>
    </sheetView>
  </sheetViews>
  <sheetFormatPr defaultRowHeight="15" x14ac:dyDescent="0.25"/>
  <cols>
    <col min="1" max="1" width="18.28515625" bestFit="1" customWidth="1" collapsed="1"/>
    <col min="2" max="5" width="23.140625" bestFit="1" customWidth="1" collapsed="1"/>
    <col min="6" max="6" width="23.140625" bestFit="1" customWidth="1"/>
  </cols>
  <sheetData>
    <row r="1" spans="1:11" s="1" customFormat="1" x14ac:dyDescent="0.25">
      <c r="A1" s="1" t="s">
        <v>12</v>
      </c>
      <c r="B1" t="s">
        <v>2851</v>
      </c>
      <c r="C1" t="s">
        <v>2851</v>
      </c>
      <c r="D1" s="1" t="s">
        <v>2851</v>
      </c>
      <c r="E1" s="1" t="s">
        <v>2851</v>
      </c>
      <c r="F1" s="1" t="s">
        <v>2851</v>
      </c>
    </row>
    <row r="2" spans="1:11" s="1" customFormat="1" x14ac:dyDescent="0.25">
      <c r="A2" s="1" t="s">
        <v>3698</v>
      </c>
      <c r="B2" s="1" t="s">
        <v>3794</v>
      </c>
      <c r="C2" s="1" t="s">
        <v>3794</v>
      </c>
      <c r="D2" s="1" t="s">
        <v>3794</v>
      </c>
      <c r="E2" s="1" t="s">
        <v>3794</v>
      </c>
      <c r="F2" s="1" t="s">
        <v>3794</v>
      </c>
    </row>
    <row r="3" spans="1:11" s="1" customFormat="1" x14ac:dyDescent="0.25">
      <c r="A3" s="1" t="s">
        <v>3699</v>
      </c>
      <c r="B3" s="1" t="str">
        <f>'1.CustomerDetail'!B3</f>
        <v>LOS-012</v>
      </c>
      <c r="C3" s="1" t="str">
        <f>'1.CustomerDetail'!C3</f>
        <v>LOS-013</v>
      </c>
      <c r="D3" s="1" t="str">
        <f>'1.CustomerDetail'!D3</f>
        <v>LOS-014</v>
      </c>
      <c r="E3" s="1" t="str">
        <f>'1.CustomerDetail'!E3</f>
        <v>LOS-015</v>
      </c>
      <c r="F3" s="1" t="str">
        <f>'1.CustomerDetail'!F3</f>
        <v>LOS-016</v>
      </c>
    </row>
    <row r="4" spans="1:11" s="1" customFormat="1" x14ac:dyDescent="0.25">
      <c r="A4" s="1" t="s">
        <v>3712</v>
      </c>
      <c r="B4" s="1">
        <f>IF(B13="",COUNTIFS($A$12:$A$32, "*$*",B12:B32,""),0)</f>
        <v>0</v>
      </c>
      <c r="C4" s="1">
        <f>IF(C13="",COUNTIFS($A$12:$A$32, "*$*",C12:C32,""),0)</f>
        <v>0</v>
      </c>
      <c r="D4" s="1">
        <f>IF(D13="",COUNTIFS($A$12:$A$32, "*$*",D12:D32,""),0)</f>
        <v>0</v>
      </c>
      <c r="E4" s="1">
        <f t="shared" ref="E4:F4" si="0">IF(E13="",COUNTIFS($A$12:$A$32, "*$*",E12:E32,""),0)</f>
        <v>0</v>
      </c>
      <c r="F4" s="1">
        <f t="shared" si="0"/>
        <v>0</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3120</v>
      </c>
      <c r="B9" s="1" t="str">
        <f>'1.CustomerDetail'!B12</f>
        <v>app12</v>
      </c>
      <c r="C9" s="1" t="str">
        <f>'1.CustomerDetail'!C12</f>
        <v>app13</v>
      </c>
      <c r="D9" s="1" t="str">
        <f>'1.CustomerDetail'!D12</f>
        <v>app14</v>
      </c>
      <c r="E9" s="1" t="str">
        <f>'1.CustomerDetail'!E12</f>
        <v>app15</v>
      </c>
      <c r="F9" s="1" t="str">
        <f>'1.CustomerDetail'!F12</f>
        <v>app16</v>
      </c>
    </row>
    <row r="10" spans="1:11" s="1" customFormat="1" x14ac:dyDescent="0.25">
      <c r="A10" s="1" t="s">
        <v>3771</v>
      </c>
      <c r="B10" s="1" t="str">
        <f>'1.CustomerDetail'!B13</f>
        <v>FT ANDI</v>
      </c>
      <c r="C10" s="1" t="str">
        <f>'1.CustomerDetail'!C13</f>
        <v>asddsa</v>
      </c>
      <c r="D10" s="1" t="str">
        <f>'1.CustomerDetail'!D13</f>
        <v>JOKO</v>
      </c>
      <c r="E10" s="1" t="str">
        <f>'1.CustomerDetail'!E13</f>
        <v>hendry</v>
      </c>
      <c r="F10" s="1" t="str">
        <f>'1.CustomerDetail'!F13</f>
        <v>FT ANDI</v>
      </c>
    </row>
    <row r="11" spans="1:11" s="53" customFormat="1" x14ac:dyDescent="0.25">
      <c r="B11" s="54"/>
      <c r="C11" s="54"/>
    </row>
    <row r="12" spans="1:11" s="1" customFormat="1" x14ac:dyDescent="0.25">
      <c r="A12" s="37" t="s">
        <v>3716</v>
      </c>
      <c r="B12" s="1" t="s">
        <v>13</v>
      </c>
      <c r="C12" s="1" t="s">
        <v>13</v>
      </c>
      <c r="D12" s="1" t="s">
        <v>13</v>
      </c>
      <c r="E12" s="1" t="s">
        <v>13</v>
      </c>
      <c r="F12" s="1" t="s">
        <v>13</v>
      </c>
    </row>
    <row r="13" spans="1:11" s="1" customFormat="1" x14ac:dyDescent="0.25">
      <c r="A13" s="1" t="s">
        <v>14</v>
      </c>
    </row>
    <row r="14" spans="1:11" s="1" customFormat="1" x14ac:dyDescent="0.25">
      <c r="A14" s="37" t="s">
        <v>3717</v>
      </c>
      <c r="B14" s="1" t="s">
        <v>16</v>
      </c>
      <c r="C14" s="1" t="s">
        <v>17</v>
      </c>
      <c r="D14" s="1" t="s">
        <v>3792</v>
      </c>
      <c r="E14" s="1" t="s">
        <v>18</v>
      </c>
      <c r="F14" s="1" t="s">
        <v>18</v>
      </c>
    </row>
    <row r="15" spans="1:11" s="1" customFormat="1" x14ac:dyDescent="0.25">
      <c r="A15" s="37" t="s">
        <v>3718</v>
      </c>
      <c r="B15" s="2">
        <v>23</v>
      </c>
      <c r="C15" s="2">
        <v>23</v>
      </c>
      <c r="D15" s="2">
        <v>23</v>
      </c>
      <c r="E15" s="2">
        <v>23</v>
      </c>
      <c r="F15" s="2">
        <v>23</v>
      </c>
      <c r="G15" s="2"/>
      <c r="H15" s="2"/>
      <c r="I15" s="2"/>
      <c r="J15" s="2"/>
      <c r="K15" s="2"/>
    </row>
    <row r="16" spans="1:11" s="1" customFormat="1" x14ac:dyDescent="0.25">
      <c r="A16" s="37" t="s">
        <v>3719</v>
      </c>
      <c r="B16" s="2">
        <v>12</v>
      </c>
      <c r="C16" s="2">
        <v>12</v>
      </c>
      <c r="D16" s="2">
        <v>12</v>
      </c>
      <c r="E16" s="2">
        <v>12</v>
      </c>
      <c r="F16" s="2">
        <v>12</v>
      </c>
      <c r="G16" s="2"/>
      <c r="H16" s="2"/>
      <c r="I16" s="2"/>
      <c r="J16" s="2"/>
      <c r="K16" s="2"/>
    </row>
    <row r="17" spans="1:11" s="1" customFormat="1" x14ac:dyDescent="0.25">
      <c r="A17" s="37" t="s">
        <v>3720</v>
      </c>
      <c r="B17" s="2">
        <v>11530</v>
      </c>
      <c r="C17" s="2">
        <v>11530</v>
      </c>
      <c r="D17" s="2">
        <v>11530</v>
      </c>
      <c r="E17" s="2">
        <v>11530</v>
      </c>
      <c r="F17" s="2">
        <v>11530</v>
      </c>
      <c r="G17" s="2"/>
      <c r="H17" s="2"/>
      <c r="I17" s="2"/>
      <c r="J17" s="2"/>
      <c r="K17" s="2"/>
    </row>
    <row r="18" spans="1:11" s="1" customFormat="1" x14ac:dyDescent="0.25">
      <c r="A18" s="37" t="s">
        <v>3721</v>
      </c>
      <c r="B18" s="1" t="s">
        <v>23</v>
      </c>
      <c r="C18" s="1" t="s">
        <v>23</v>
      </c>
      <c r="D18" s="1" t="s">
        <v>23</v>
      </c>
      <c r="E18" s="1" t="s">
        <v>23</v>
      </c>
      <c r="F18" s="1" t="s">
        <v>23</v>
      </c>
    </row>
    <row r="19" spans="1:11" s="1" customFormat="1" x14ac:dyDescent="0.25">
      <c r="A19" s="37" t="s">
        <v>3722</v>
      </c>
      <c r="B19" s="1" t="s">
        <v>23</v>
      </c>
      <c r="C19" s="1" t="s">
        <v>23</v>
      </c>
      <c r="D19" s="1" t="s">
        <v>23</v>
      </c>
      <c r="E19" s="1" t="s">
        <v>23</v>
      </c>
      <c r="F19" s="1" t="s">
        <v>23</v>
      </c>
    </row>
    <row r="20" spans="1:11" s="1" customFormat="1" x14ac:dyDescent="0.25">
      <c r="A20" s="37" t="s">
        <v>3723</v>
      </c>
      <c r="B20" s="1" t="s">
        <v>250</v>
      </c>
      <c r="C20" s="1" t="s">
        <v>250</v>
      </c>
      <c r="D20" s="1" t="s">
        <v>250</v>
      </c>
      <c r="E20" s="1" t="s">
        <v>250</v>
      </c>
      <c r="F20" s="1" t="s">
        <v>250</v>
      </c>
    </row>
    <row r="21" spans="1:11" s="1" customFormat="1" x14ac:dyDescent="0.25">
      <c r="A21" s="37" t="s">
        <v>3724</v>
      </c>
      <c r="B21" s="2">
        <v>123</v>
      </c>
      <c r="C21" s="2">
        <v>123</v>
      </c>
      <c r="D21" s="2">
        <v>321</v>
      </c>
      <c r="E21" s="2">
        <v>321</v>
      </c>
      <c r="F21" s="2">
        <v>321</v>
      </c>
      <c r="G21" s="2"/>
      <c r="H21" s="2"/>
      <c r="I21" s="2"/>
      <c r="J21" s="2"/>
      <c r="K21" s="2"/>
    </row>
    <row r="22" spans="1:11" s="1" customFormat="1" x14ac:dyDescent="0.25">
      <c r="A22" s="37" t="s">
        <v>3725</v>
      </c>
      <c r="B22" s="2">
        <v>4124</v>
      </c>
      <c r="C22" s="2">
        <v>4124</v>
      </c>
      <c r="D22" s="2">
        <v>6484</v>
      </c>
      <c r="E22" s="2">
        <v>6484</v>
      </c>
      <c r="F22" s="2">
        <v>6484</v>
      </c>
      <c r="G22" s="2"/>
      <c r="H22" s="2"/>
      <c r="I22" s="2"/>
      <c r="J22" s="2"/>
      <c r="K22" s="2"/>
    </row>
    <row r="23" spans="1:11" s="1" customFormat="1" x14ac:dyDescent="0.25">
      <c r="A23" s="2" t="s">
        <v>253</v>
      </c>
      <c r="B23" s="2"/>
      <c r="C23" s="2"/>
      <c r="D23" s="2"/>
      <c r="E23" s="2"/>
      <c r="F23" s="2"/>
      <c r="G23" s="2"/>
      <c r="H23" s="2"/>
      <c r="I23" s="2"/>
      <c r="J23" s="2"/>
      <c r="K23" s="2"/>
    </row>
    <row r="24" spans="1:11" s="1" customFormat="1" x14ac:dyDescent="0.25">
      <c r="A24" s="1" t="s">
        <v>254</v>
      </c>
      <c r="B24" s="2"/>
      <c r="C24" s="2"/>
      <c r="D24" s="2"/>
      <c r="E24" s="2"/>
      <c r="F24" s="2"/>
      <c r="G24" s="2"/>
      <c r="H24" s="2"/>
      <c r="I24" s="2"/>
      <c r="J24" s="2"/>
      <c r="K24" s="2"/>
    </row>
    <row r="25" spans="1:11" s="1" customFormat="1" x14ac:dyDescent="0.25">
      <c r="A25" s="1" t="s">
        <v>255</v>
      </c>
      <c r="B25" s="2"/>
      <c r="C25" s="2"/>
      <c r="D25" s="2"/>
      <c r="E25" s="2"/>
      <c r="F25" s="2"/>
      <c r="G25" s="2"/>
      <c r="H25" s="2"/>
      <c r="I25" s="2"/>
      <c r="J25" s="2"/>
      <c r="K25" s="2"/>
    </row>
    <row r="26" spans="1:11" s="1" customFormat="1" x14ac:dyDescent="0.25">
      <c r="A26" s="1" t="s">
        <v>256</v>
      </c>
      <c r="B26" s="2"/>
      <c r="C26" s="2"/>
      <c r="D26" s="2"/>
      <c r="E26" s="2"/>
      <c r="F26" s="2"/>
      <c r="G26" s="2"/>
      <c r="H26" s="2"/>
      <c r="I26" s="2"/>
      <c r="J26" s="2"/>
      <c r="K26" s="2"/>
    </row>
    <row r="27" spans="1:11" s="1" customFormat="1" x14ac:dyDescent="0.25">
      <c r="A27" s="1" t="s">
        <v>257</v>
      </c>
      <c r="B27" s="2"/>
      <c r="C27" s="2"/>
      <c r="D27" s="2"/>
      <c r="E27" s="2"/>
      <c r="F27" s="2"/>
      <c r="G27" s="2"/>
      <c r="H27" s="2"/>
      <c r="I27" s="2"/>
      <c r="J27" s="2"/>
      <c r="K27" s="2"/>
    </row>
    <row r="28" spans="1:11" s="1" customFormat="1" x14ac:dyDescent="0.25">
      <c r="A28" s="1" t="s">
        <v>258</v>
      </c>
      <c r="B28" s="2"/>
      <c r="C28" s="2"/>
      <c r="D28" s="2"/>
      <c r="E28" s="2"/>
      <c r="F28" s="2"/>
      <c r="G28" s="2"/>
      <c r="H28" s="2"/>
      <c r="I28" s="2"/>
      <c r="J28" s="2"/>
      <c r="K28" s="2"/>
    </row>
    <row r="29" spans="1:11" s="1" customFormat="1" x14ac:dyDescent="0.25">
      <c r="A29" s="1" t="s">
        <v>259</v>
      </c>
      <c r="B29" s="2"/>
      <c r="C29" s="2"/>
      <c r="D29" s="2"/>
      <c r="E29" s="2"/>
      <c r="F29" s="2"/>
      <c r="G29" s="2"/>
      <c r="H29" s="2"/>
      <c r="I29" s="2"/>
      <c r="J29" s="2"/>
      <c r="K29" s="2"/>
    </row>
    <row r="30" spans="1:11" s="1" customFormat="1" x14ac:dyDescent="0.25">
      <c r="A30" s="1" t="s">
        <v>260</v>
      </c>
      <c r="B30" s="2"/>
      <c r="C30" s="2"/>
      <c r="D30" s="2"/>
      <c r="E30" s="2"/>
      <c r="F30" s="2"/>
      <c r="G30" s="2"/>
      <c r="H30" s="2"/>
      <c r="I30" s="2"/>
      <c r="J30" s="2"/>
      <c r="K30" s="2"/>
    </row>
    <row r="31" spans="1:11" s="1" customFormat="1" x14ac:dyDescent="0.25">
      <c r="A31" s="1" t="s">
        <v>261</v>
      </c>
      <c r="B31" s="2"/>
      <c r="C31" s="2"/>
      <c r="D31" s="2"/>
      <c r="E31" s="2"/>
      <c r="F31" s="2"/>
      <c r="G31" s="2"/>
      <c r="H31" s="2"/>
      <c r="I31" s="2"/>
      <c r="J31" s="2"/>
      <c r="K31" s="2"/>
    </row>
    <row r="32" spans="1:11" s="1" customFormat="1" x14ac:dyDescent="0.25">
      <c r="A32" s="37" t="s">
        <v>3726</v>
      </c>
      <c r="B32" s="1" t="s">
        <v>2575</v>
      </c>
      <c r="C32" s="1" t="s">
        <v>2575</v>
      </c>
      <c r="D32" s="1" t="s">
        <v>2575</v>
      </c>
      <c r="E32" s="1" t="s">
        <v>2575</v>
      </c>
      <c r="F32" s="1" t="s">
        <v>2575</v>
      </c>
    </row>
  </sheetData>
  <conditionalFormatting sqref="B14:E20 G14:XFD20">
    <cfRule type="expression" dxfId="12" priority="3">
      <formula>AND(B$13&lt;&gt;"",B$13&lt;&gt;"Copy Address From")</formula>
    </cfRule>
  </conditionalFormatting>
  <conditionalFormatting sqref="A14:A20">
    <cfRule type="expression" dxfId="11" priority="2">
      <formula>AND(A$13&lt;&gt;"",A$13&lt;&gt;"Copy Address From")</formula>
    </cfRule>
  </conditionalFormatting>
  <conditionalFormatting sqref="F14:F20">
    <cfRule type="expression" dxfId="10" priority="1">
      <formula>AND(F$13&lt;&gt;"",F$13&lt;&gt;"Copy Address From")</formula>
    </cfRule>
  </conditionalFormatting>
  <dataValidations count="6">
    <dataValidation type="list" showInputMessage="1" showErrorMessage="1" sqref="G32:K32">
      <formula1>"Dinas, Family, KPR, Rented, Self - Owned"</formula1>
    </dataValidation>
    <dataValidation type="list" showInputMessage="1" showErrorMessage="1" sqref="G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F20">
      <formula1>ISBLANK(B$13)</formula1>
    </dataValidation>
    <dataValidation type="list" errorStyle="information" showInputMessage="1" showErrorMessage="1" sqref="B12:F12">
      <formula1>"Legal, Mailing, Residence, Residence 2"</formula1>
    </dataValidation>
    <dataValidation type="list" errorStyle="information" showInputMessage="1" showErrorMessage="1" sqref="B32:F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G13:H13</xm:sqref>
        </x14:dataValidation>
        <x14:dataValidation type="list" errorStyle="information" allowBlank="1" showInputMessage="1" showErrorMessage="1">
          <x14:formula1>
            <xm:f>Master!$BE$2:$BE$20</xm:f>
          </x14:formula1>
          <xm:sqref>B13:F13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F22" sqref="F22"/>
    </sheetView>
  </sheetViews>
  <sheetFormatPr defaultRowHeight="15" x14ac:dyDescent="0.25"/>
  <cols>
    <col min="1" max="1" width="39.28515625" bestFit="1" customWidth="1" collapsed="1"/>
    <col min="2" max="6" width="24" bestFit="1" customWidth="1" collapsed="1"/>
  </cols>
  <sheetData>
    <row r="1" spans="1:11" s="1" customFormat="1" x14ac:dyDescent="0.25">
      <c r="A1" s="1" t="s">
        <v>12</v>
      </c>
      <c r="B1" s="1" t="s">
        <v>2851</v>
      </c>
      <c r="C1" s="1" t="s">
        <v>2851</v>
      </c>
      <c r="D1" s="1" t="s">
        <v>2851</v>
      </c>
      <c r="E1" s="1" t="s">
        <v>2851</v>
      </c>
      <c r="F1" s="1" t="s">
        <v>2851</v>
      </c>
    </row>
    <row r="2" spans="1:11" s="1" customFormat="1" x14ac:dyDescent="0.25">
      <c r="A2" s="1" t="s">
        <v>3698</v>
      </c>
      <c r="B2" s="1" t="s">
        <v>3794</v>
      </c>
      <c r="C2" s="1" t="s">
        <v>3794</v>
      </c>
      <c r="D2" s="1" t="s">
        <v>3794</v>
      </c>
      <c r="E2" s="1" t="s">
        <v>3794</v>
      </c>
      <c r="F2" s="1" t="s">
        <v>3794</v>
      </c>
    </row>
    <row r="3" spans="1:11" s="1" customFormat="1" x14ac:dyDescent="0.25">
      <c r="A3" s="1" t="s">
        <v>3699</v>
      </c>
      <c r="B3" s="1" t="str">
        <f>'1.CustomerDetail'!B$3</f>
        <v>LOS-012</v>
      </c>
      <c r="C3" s="1" t="str">
        <f>'1.CustomerDetail'!C$3</f>
        <v>LOS-013</v>
      </c>
      <c r="D3" s="1" t="str">
        <f>'1.CustomerDetail'!D$3</f>
        <v>LOS-014</v>
      </c>
      <c r="E3" s="1" t="str">
        <f>'1.CustomerDetail'!E$3</f>
        <v>LOS-015</v>
      </c>
      <c r="F3" s="1" t="str">
        <f>'1.CustomerDetail'!F$3</f>
        <v>LOS-016</v>
      </c>
    </row>
    <row r="4" spans="1:11" s="1" customFormat="1" x14ac:dyDescent="0.25">
      <c r="A4" s="1" t="s">
        <v>3712</v>
      </c>
      <c r="B4" s="1">
        <f t="shared" ref="B4:C4" si="0">IF(B12="Employee",COUNTIFS($A$14:$A$26,"*$*",B14:B26,"")+COUNTIFS($A$55:$A$61,"*$*",B55:B61,""),IF(B12="Professional",COUNTIFS($A$28:$A$36,"*$*",B28:B36,"")+COUNTIFS($A$55:$A$61,"*$*",B55:B61,""),IF(B12="Non Professional",COUNTIFS($A$38:$A$40,"*$*",B38:B40,"")+COUNTIFS($A$55:$A$61,"*$*",B55:B61,""),IF(B12="Small Medium Enterprise",COUNTIFS($A$42:$A$53,"*$*",B42:B53,"")+COUNTIFS($A$55:$A$61,"*$*",B55:B61,"")))))</f>
        <v>0</v>
      </c>
      <c r="C4" s="1">
        <f t="shared" si="0"/>
        <v>0</v>
      </c>
      <c r="D4" s="1">
        <f t="shared" ref="D4" si="1">IF(D12="Employee",COUNTIFS($A$14:$A$26,"*$*",D14:D26,"")+COUNTIFS($A$55:$A$61,"*$*",D55:D61,""),IF(D12="Professional",COUNTIFS($A$28:$A$36,"*$*",D28:D36,"")+COUNTIFS($A$55:$A$61,"*$*",D55:D61,""),IF(D12="Non Professional",COUNTIFS($A$38:$A$40,"*$*",D38:D40,"")+COUNTIFS($A$55:$A$61,"*$*",D55:D61,""),IF(D12="Small Medium Enterprise",COUNTIFS($A$42:$A$53,"*$*",D42:D53,"")+COUNTIFS($A$55:$A$61,"*$*",D55:D61,"")))))</f>
        <v>0</v>
      </c>
      <c r="E4" s="1">
        <f t="shared" ref="E4:F4" si="2">IF(E12="Employee",COUNTIFS($A$14:$A$26,"*$*",E14:E26,"")+COUNTIFS($A$55:$A$61,"*$*",E55:E61,""),IF(E12="Professional",COUNTIFS($A$28:$A$36,"*$*",E28:E36,"")+COUNTIFS($A$55:$A$61,"*$*",E55:E61,""),IF(E12="Non Professional",COUNTIFS($A$38:$A$40,"*$*",E38:E40,"")+COUNTIFS($A$55:$A$61,"*$*",E55:E61,""),IF(E12="Small Medium Enterprise",COUNTIFS($A$42:$A$53,"*$*",E42:E53,"")+COUNTIFS($A$55:$A$61,"*$*",E55:E61,"")))))</f>
        <v>0</v>
      </c>
      <c r="F4" s="1">
        <f t="shared" si="2"/>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3120</v>
      </c>
      <c r="B10" s="1" t="str">
        <f>'1.CustomerDetail'!B$12</f>
        <v>app12</v>
      </c>
      <c r="C10" s="1" t="str">
        <f>'1.CustomerDetail'!C$12</f>
        <v>app13</v>
      </c>
      <c r="D10" s="1" t="str">
        <f>'1.CustomerDetail'!D$12</f>
        <v>app14</v>
      </c>
      <c r="E10" s="1" t="str">
        <f>'1.CustomerDetail'!E$12</f>
        <v>app15</v>
      </c>
      <c r="F10" s="1" t="str">
        <f>'1.CustomerDetail'!F$12</f>
        <v>app16</v>
      </c>
    </row>
    <row r="11" spans="1:11" s="64" customFormat="1" x14ac:dyDescent="0.25">
      <c r="A11" s="61" t="s">
        <v>3770</v>
      </c>
      <c r="B11" s="62"/>
      <c r="C11" s="62"/>
      <c r="D11" s="62"/>
      <c r="E11" s="62"/>
      <c r="F11" s="62"/>
      <c r="G11" s="62"/>
      <c r="H11" s="62"/>
      <c r="I11" s="62"/>
      <c r="J11" s="62"/>
      <c r="K11" s="63"/>
    </row>
    <row r="12" spans="1:11" s="1" customFormat="1" x14ac:dyDescent="0.25">
      <c r="A12" s="1" t="s">
        <v>3770</v>
      </c>
      <c r="B12" s="1" t="s">
        <v>3769</v>
      </c>
      <c r="C12" s="1" t="s">
        <v>3769</v>
      </c>
      <c r="D12" s="1" t="s">
        <v>3769</v>
      </c>
      <c r="E12" s="1" t="s">
        <v>3769</v>
      </c>
      <c r="F12" s="1" t="s">
        <v>3769</v>
      </c>
    </row>
    <row r="13" spans="1:11" s="64" customFormat="1" x14ac:dyDescent="0.25">
      <c r="A13" s="61" t="s">
        <v>3121</v>
      </c>
      <c r="B13" s="62"/>
      <c r="C13" s="62"/>
      <c r="D13" s="62"/>
      <c r="E13" s="62"/>
      <c r="F13" s="62"/>
      <c r="G13" s="62"/>
      <c r="H13" s="62"/>
      <c r="I13" s="62"/>
      <c r="J13" s="62"/>
      <c r="K13" s="63"/>
    </row>
    <row r="14" spans="1:11" s="1" customFormat="1" x14ac:dyDescent="0.25">
      <c r="A14" s="38" t="s">
        <v>3760</v>
      </c>
      <c r="B14" s="3" t="str">
        <f>VLOOKUP(B15,Master!$A$1:$B$105,2,FALSE)</f>
        <v>001</v>
      </c>
      <c r="C14" s="3" t="str">
        <f>VLOOKUP(C15,Master!$A$1:$B$105,2,FALSE)</f>
        <v>001</v>
      </c>
      <c r="D14" s="3" t="str">
        <f>VLOOKUP(D15,Master!$A$1:$B$105,2,FALSE)</f>
        <v>001</v>
      </c>
      <c r="E14" s="3" t="str">
        <f>VLOOKUP(E15,Master!$A$1:$B$105,2,FALSE)</f>
        <v>001</v>
      </c>
      <c r="F14" s="3" t="str">
        <f>VLOOKUP(F15,Master!$A$1:$B$105,2,FALSE)</f>
        <v>001</v>
      </c>
      <c r="G14" s="3"/>
      <c r="H14" s="3"/>
      <c r="I14" s="3"/>
      <c r="J14" s="3"/>
      <c r="K14" s="3"/>
    </row>
    <row r="15" spans="1:11" s="1" customFormat="1" x14ac:dyDescent="0.25">
      <c r="A15" s="37" t="s">
        <v>3761</v>
      </c>
      <c r="B15" s="3" t="s">
        <v>63</v>
      </c>
      <c r="C15" s="3" t="s">
        <v>63</v>
      </c>
      <c r="D15" s="3" t="s">
        <v>63</v>
      </c>
      <c r="E15" s="3" t="s">
        <v>63</v>
      </c>
      <c r="F15" s="3" t="s">
        <v>63</v>
      </c>
      <c r="G15" s="3"/>
      <c r="H15" s="3"/>
      <c r="I15" s="3"/>
      <c r="J15" s="3"/>
      <c r="K15" s="3"/>
    </row>
    <row r="16" spans="1:11" s="1" customFormat="1" x14ac:dyDescent="0.25">
      <c r="A16" s="37" t="s">
        <v>3762</v>
      </c>
      <c r="B16" s="3" t="s">
        <v>263</v>
      </c>
      <c r="C16" s="3" t="s">
        <v>263</v>
      </c>
      <c r="D16" s="3" t="s">
        <v>263</v>
      </c>
      <c r="E16" s="3" t="s">
        <v>263</v>
      </c>
      <c r="F16" s="3" t="s">
        <v>263</v>
      </c>
      <c r="G16" s="3"/>
      <c r="H16" s="3"/>
      <c r="I16" s="3"/>
      <c r="J16" s="3"/>
      <c r="K16" s="3"/>
    </row>
    <row r="17" spans="1:11" s="1" customFormat="1" x14ac:dyDescent="0.25">
      <c r="A17" s="37" t="s">
        <v>3763</v>
      </c>
      <c r="B17" s="3" t="s">
        <v>34</v>
      </c>
      <c r="C17" s="3" t="s">
        <v>34</v>
      </c>
      <c r="D17" s="3" t="s">
        <v>34</v>
      </c>
      <c r="E17" s="3" t="s">
        <v>34</v>
      </c>
      <c r="F17" s="3" t="s">
        <v>34</v>
      </c>
      <c r="G17" s="3"/>
      <c r="H17" s="3"/>
      <c r="I17" s="3"/>
      <c r="J17" s="3"/>
      <c r="K17" s="3"/>
    </row>
    <row r="18" spans="1:11" s="1" customFormat="1" x14ac:dyDescent="0.25">
      <c r="A18" s="1" t="s">
        <v>35</v>
      </c>
      <c r="B18" s="1" t="s">
        <v>6</v>
      </c>
      <c r="C18" s="1" t="s">
        <v>6</v>
      </c>
      <c r="D18" s="1" t="s">
        <v>6</v>
      </c>
      <c r="E18" s="1" t="s">
        <v>6</v>
      </c>
      <c r="F18" s="1" t="s">
        <v>6</v>
      </c>
    </row>
    <row r="19" spans="1:11" s="1" customFormat="1" x14ac:dyDescent="0.25">
      <c r="A19" s="1" t="s">
        <v>36</v>
      </c>
      <c r="B19" s="1" t="s">
        <v>5</v>
      </c>
      <c r="C19" s="1" t="s">
        <v>5</v>
      </c>
      <c r="D19" s="1" t="s">
        <v>5</v>
      </c>
      <c r="E19" s="1" t="s">
        <v>5</v>
      </c>
      <c r="F19" s="1" t="s">
        <v>5</v>
      </c>
    </row>
    <row r="20" spans="1:11" s="1" customFormat="1" x14ac:dyDescent="0.25">
      <c r="A20" s="37" t="s">
        <v>3764</v>
      </c>
      <c r="B20" s="1" t="s">
        <v>37</v>
      </c>
      <c r="C20" s="1" t="s">
        <v>37</v>
      </c>
      <c r="D20" s="1" t="s">
        <v>37</v>
      </c>
      <c r="E20" s="1" t="s">
        <v>37</v>
      </c>
      <c r="F20" s="1" t="s">
        <v>37</v>
      </c>
    </row>
    <row r="21" spans="1:11" s="1" customFormat="1" x14ac:dyDescent="0.25">
      <c r="A21" s="38" t="s">
        <v>3765</v>
      </c>
      <c r="B21" s="1" t="str">
        <f>VLOOKUP(B22,Master!$AW:$AX,2,FALSE)</f>
        <v>1115</v>
      </c>
      <c r="C21" s="1" t="str">
        <f>VLOOKUP(C22,Master!$AW:$AX,2,FALSE)</f>
        <v>1117</v>
      </c>
      <c r="D21" s="1" t="str">
        <f>VLOOKUP(D22,Master!$AW:$AX,2,FALSE)</f>
        <v>1130</v>
      </c>
      <c r="E21" s="1" t="str">
        <f>VLOOKUP(E22,Master!$AW:$AX,2,FALSE)</f>
        <v>1119</v>
      </c>
      <c r="F21" s="1" t="str">
        <f>VLOOKUP(F22,Master!$AW:$AX,2,FALSE)</f>
        <v>1130</v>
      </c>
    </row>
    <row r="22" spans="1:11" s="1" customFormat="1" x14ac:dyDescent="0.25">
      <c r="A22" s="37" t="s">
        <v>3766</v>
      </c>
      <c r="B22" s="1" t="s">
        <v>2889</v>
      </c>
      <c r="C22" s="1" t="s">
        <v>2893</v>
      </c>
      <c r="D22" s="1" t="s">
        <v>2897</v>
      </c>
      <c r="E22" s="1" t="s">
        <v>2895</v>
      </c>
      <c r="F22" s="1" t="s">
        <v>2897</v>
      </c>
    </row>
    <row r="23" spans="1:11" s="1" customFormat="1" x14ac:dyDescent="0.25">
      <c r="A23" s="1" t="s">
        <v>38</v>
      </c>
    </row>
    <row r="24" spans="1:11" s="1" customFormat="1" x14ac:dyDescent="0.25">
      <c r="A24" s="37" t="s">
        <v>3767</v>
      </c>
      <c r="B24" s="41">
        <v>43959</v>
      </c>
      <c r="C24" s="41">
        <v>43959</v>
      </c>
      <c r="D24" s="41">
        <v>43959</v>
      </c>
      <c r="E24" s="41">
        <v>43959</v>
      </c>
      <c r="F24" s="41">
        <v>43959</v>
      </c>
      <c r="G24" s="8"/>
      <c r="H24" s="8"/>
      <c r="I24" s="8"/>
      <c r="J24" s="8"/>
      <c r="K24" s="8"/>
    </row>
    <row r="25" spans="1:11" s="1" customFormat="1" x14ac:dyDescent="0.25">
      <c r="A25" s="1" t="s">
        <v>243</v>
      </c>
      <c r="B25" s="2"/>
      <c r="C25" s="2"/>
      <c r="D25" s="2"/>
      <c r="E25" s="2"/>
      <c r="F25" s="2"/>
      <c r="G25" s="2"/>
      <c r="H25" s="2"/>
      <c r="I25" s="2"/>
      <c r="J25" s="2"/>
      <c r="K25" s="2"/>
    </row>
    <row r="26" spans="1:11" s="1" customFormat="1" x14ac:dyDescent="0.25">
      <c r="A26" s="1" t="s">
        <v>40</v>
      </c>
      <c r="B26" s="2"/>
      <c r="C26" s="2"/>
      <c r="D26" s="2"/>
      <c r="E26" s="2"/>
      <c r="F26" s="2"/>
      <c r="G26" s="2"/>
      <c r="H26" s="2"/>
      <c r="I26" s="2"/>
      <c r="J26" s="2"/>
      <c r="K26" s="2"/>
    </row>
    <row r="27" spans="1:11" s="56" customFormat="1" x14ac:dyDescent="0.25">
      <c r="A27" s="56" t="s">
        <v>3625</v>
      </c>
    </row>
    <row r="28" spans="1:11" s="1" customFormat="1" x14ac:dyDescent="0.25">
      <c r="A28" s="1" t="s">
        <v>29</v>
      </c>
      <c r="B28" s="3" t="str">
        <f>VLOOKUP(B29,Master!$A$1:$B$105,2,FALSE)</f>
        <v>ARCHT</v>
      </c>
      <c r="C28" s="3" t="str">
        <f>VLOOKUP(C29,Master!$A$1:$B$105,2,FALSE)</f>
        <v>ARCHT</v>
      </c>
      <c r="D28" s="3" t="str">
        <f>VLOOKUP(D29,Master!$A$1:$B$105,2,FALSE)</f>
        <v>ARCHT</v>
      </c>
      <c r="E28" s="3" t="str">
        <f>VLOOKUP(E29,Master!$A$1:$B$105,2,FALSE)</f>
        <v>ARCHT</v>
      </c>
      <c r="F28" s="3" t="str">
        <f>VLOOKUP(F29,Master!$A$1:$B$105,2,FALSE)</f>
        <v>ARCHT</v>
      </c>
    </row>
    <row r="29" spans="1:11" s="1" customFormat="1" x14ac:dyDescent="0.25">
      <c r="A29" s="1" t="s">
        <v>62</v>
      </c>
      <c r="B29" s="3" t="s">
        <v>207</v>
      </c>
      <c r="C29" s="3" t="s">
        <v>207</v>
      </c>
      <c r="D29" s="3" t="s">
        <v>207</v>
      </c>
      <c r="E29" s="3" t="s">
        <v>207</v>
      </c>
      <c r="F29" s="3" t="s">
        <v>207</v>
      </c>
    </row>
    <row r="30" spans="1:11" s="1" customFormat="1" x14ac:dyDescent="0.25">
      <c r="A30" s="1" t="s">
        <v>36</v>
      </c>
      <c r="B30" s="1" t="s">
        <v>5</v>
      </c>
      <c r="C30" s="1" t="s">
        <v>5</v>
      </c>
      <c r="D30" s="1" t="s">
        <v>5</v>
      </c>
      <c r="E30" s="1" t="s">
        <v>5</v>
      </c>
      <c r="F30" s="1" t="s">
        <v>5</v>
      </c>
    </row>
    <row r="31" spans="1:11" s="1" customFormat="1" x14ac:dyDescent="0.25">
      <c r="A31" s="1" t="s">
        <v>242</v>
      </c>
      <c r="B31" s="1" t="s">
        <v>3623</v>
      </c>
      <c r="C31" s="1" t="s">
        <v>3623</v>
      </c>
      <c r="D31" s="1" t="s">
        <v>3623</v>
      </c>
      <c r="E31" s="1" t="s">
        <v>3623</v>
      </c>
      <c r="F31" s="1" t="s">
        <v>3623</v>
      </c>
    </row>
    <row r="32" spans="1:11" s="1" customFormat="1" x14ac:dyDescent="0.25">
      <c r="A32" s="1" t="s">
        <v>3626</v>
      </c>
      <c r="B32" s="1" t="str">
        <f>VLOOKUP(B33,Master!$AW:$AX,2,FALSE)</f>
        <v>1380</v>
      </c>
      <c r="C32" s="1" t="str">
        <f>VLOOKUP(C33,Master!$AW:$AX,2,FALSE)</f>
        <v>1380</v>
      </c>
      <c r="D32" s="1" t="str">
        <f>VLOOKUP(D33,Master!$AW:$AX,2,FALSE)</f>
        <v>1380</v>
      </c>
      <c r="E32" s="1" t="str">
        <f>VLOOKUP(E33,Master!$AW:$AX,2,FALSE)</f>
        <v>1380</v>
      </c>
      <c r="F32" s="1" t="str">
        <f>VLOOKUP(F33,Master!$AW:$AX,2,FALSE)</f>
        <v>1380</v>
      </c>
    </row>
    <row r="33" spans="1:6" s="1" customFormat="1" x14ac:dyDescent="0.25">
      <c r="A33" s="1" t="s">
        <v>3627</v>
      </c>
      <c r="B33" s="1" t="s">
        <v>3628</v>
      </c>
      <c r="C33" s="1" t="s">
        <v>3628</v>
      </c>
      <c r="D33" s="1" t="s">
        <v>3628</v>
      </c>
      <c r="E33" s="1" t="s">
        <v>3628</v>
      </c>
      <c r="F33" s="1" t="s">
        <v>3628</v>
      </c>
    </row>
    <row r="34" spans="1:6" s="1" customFormat="1" x14ac:dyDescent="0.25">
      <c r="A34" s="1" t="s">
        <v>3629</v>
      </c>
      <c r="B34" s="1">
        <v>1823612695</v>
      </c>
      <c r="C34" s="1">
        <v>1823612695</v>
      </c>
      <c r="D34" s="1">
        <v>1823612695</v>
      </c>
      <c r="E34" s="1">
        <v>1823612695</v>
      </c>
      <c r="F34" s="1">
        <v>1823612695</v>
      </c>
    </row>
    <row r="35" spans="1:6" s="1" customFormat="1" x14ac:dyDescent="0.25">
      <c r="A35" s="1" t="s">
        <v>3630</v>
      </c>
      <c r="B35" s="42">
        <v>44444</v>
      </c>
      <c r="C35" s="42">
        <v>44444</v>
      </c>
      <c r="D35" s="42">
        <v>44444</v>
      </c>
      <c r="E35" s="42">
        <v>44444</v>
      </c>
      <c r="F35" s="42">
        <v>44444</v>
      </c>
    </row>
    <row r="36" spans="1:6" s="1" customFormat="1" x14ac:dyDescent="0.25">
      <c r="A36" s="1" t="s">
        <v>243</v>
      </c>
      <c r="B36" s="1" t="s">
        <v>271</v>
      </c>
      <c r="C36" s="1" t="s">
        <v>271</v>
      </c>
      <c r="D36" s="1" t="s">
        <v>271</v>
      </c>
      <c r="E36" s="1" t="s">
        <v>271</v>
      </c>
      <c r="F36" s="1" t="s">
        <v>271</v>
      </c>
    </row>
    <row r="37" spans="1:6" s="56" customFormat="1" x14ac:dyDescent="0.25">
      <c r="A37" s="56" t="s">
        <v>3631</v>
      </c>
    </row>
    <row r="38" spans="1:6" s="1" customFormat="1" x14ac:dyDescent="0.25">
      <c r="A38" s="1" t="s">
        <v>3760</v>
      </c>
      <c r="B38" s="3" t="str">
        <f>VLOOKUP(B39,Master!$A$1:$B$105,2,FALSE)</f>
        <v>SMPLPR</v>
      </c>
      <c r="C38" s="3" t="str">
        <f>VLOOKUP(C39,Master!$A$1:$B$105,2,FALSE)</f>
        <v>SMPLPR</v>
      </c>
      <c r="D38" s="3" t="str">
        <f>VLOOKUP(D39,Master!$A$1:$B$105,2,FALSE)</f>
        <v>SMPLPR</v>
      </c>
      <c r="E38" s="3" t="str">
        <f>VLOOKUP(E39,Master!$A$1:$B$105,2,FALSE)</f>
        <v>SMPLPR</v>
      </c>
      <c r="F38" s="3" t="str">
        <f>VLOOKUP(F39,Master!$A$1:$B$105,2,FALSE)</f>
        <v>SMPLPR</v>
      </c>
    </row>
    <row r="39" spans="1:6" s="1" customFormat="1" x14ac:dyDescent="0.25">
      <c r="A39" s="1" t="s">
        <v>3761</v>
      </c>
      <c r="B39" s="3" t="s">
        <v>3632</v>
      </c>
      <c r="C39" s="3" t="s">
        <v>3632</v>
      </c>
      <c r="D39" s="3" t="s">
        <v>3632</v>
      </c>
      <c r="E39" s="3" t="s">
        <v>3632</v>
      </c>
      <c r="F39" s="3" t="s">
        <v>3632</v>
      </c>
    </row>
    <row r="40" spans="1:6" s="1" customFormat="1" x14ac:dyDescent="0.25">
      <c r="A40" s="1" t="s">
        <v>3768</v>
      </c>
      <c r="B40" s="1" t="s">
        <v>3660</v>
      </c>
      <c r="C40" s="1" t="s">
        <v>3660</v>
      </c>
      <c r="D40" s="1" t="s">
        <v>3660</v>
      </c>
      <c r="E40" s="1" t="s">
        <v>3660</v>
      </c>
      <c r="F40" s="1" t="s">
        <v>3660</v>
      </c>
    </row>
    <row r="41" spans="1:6" s="56" customFormat="1" x14ac:dyDescent="0.25">
      <c r="A41" s="56" t="s">
        <v>3633</v>
      </c>
    </row>
    <row r="42" spans="1:6" s="1" customFormat="1" x14ac:dyDescent="0.25">
      <c r="A42" s="1" t="s">
        <v>29</v>
      </c>
      <c r="B42" s="3" t="str">
        <f>VLOOKUP(B43,Master!$A$1:$B$105,2,FALSE)</f>
        <v>PO</v>
      </c>
      <c r="C42" s="3" t="str">
        <f>VLOOKUP(C43,Master!$A$1:$B$105,2,FALSE)</f>
        <v>PO</v>
      </c>
      <c r="D42" s="3" t="str">
        <f>VLOOKUP(D43,Master!$A$1:$B$105,2,FALSE)</f>
        <v>PO</v>
      </c>
      <c r="E42" s="3" t="str">
        <f>VLOOKUP(E43,Master!$A$1:$B$105,2,FALSE)</f>
        <v>PO</v>
      </c>
      <c r="F42" s="3" t="str">
        <f>VLOOKUP(F43,Master!$A$1:$B$105,2,FALSE)</f>
        <v>PO</v>
      </c>
    </row>
    <row r="43" spans="1:6" s="1" customFormat="1" x14ac:dyDescent="0.25">
      <c r="A43" s="1" t="s">
        <v>62</v>
      </c>
      <c r="B43" s="3" t="s">
        <v>233</v>
      </c>
      <c r="C43" s="3" t="s">
        <v>233</v>
      </c>
      <c r="D43" s="3" t="s">
        <v>233</v>
      </c>
      <c r="E43" s="3" t="s">
        <v>233</v>
      </c>
      <c r="F43" s="3" t="s">
        <v>233</v>
      </c>
    </row>
    <row r="44" spans="1:6" s="1" customFormat="1" x14ac:dyDescent="0.25">
      <c r="A44" s="1" t="s">
        <v>31</v>
      </c>
      <c r="B44" s="3" t="s">
        <v>272</v>
      </c>
      <c r="C44" s="3" t="s">
        <v>272</v>
      </c>
      <c r="D44" s="3" t="s">
        <v>272</v>
      </c>
      <c r="E44" s="3" t="s">
        <v>272</v>
      </c>
      <c r="F44" s="3" t="s">
        <v>272</v>
      </c>
    </row>
    <row r="45" spans="1:6" s="1" customFormat="1" x14ac:dyDescent="0.25">
      <c r="A45" s="1" t="s">
        <v>36</v>
      </c>
      <c r="B45" s="1" t="s">
        <v>5</v>
      </c>
      <c r="C45" s="1" t="s">
        <v>5</v>
      </c>
      <c r="D45" s="1" t="s">
        <v>5</v>
      </c>
      <c r="E45" s="1" t="s">
        <v>5</v>
      </c>
      <c r="F45" s="1" t="s">
        <v>5</v>
      </c>
    </row>
    <row r="46" spans="1:6" s="1" customFormat="1" x14ac:dyDescent="0.25">
      <c r="A46" s="1" t="s">
        <v>242</v>
      </c>
      <c r="B46" s="1" t="s">
        <v>3634</v>
      </c>
      <c r="C46" s="1" t="s">
        <v>3634</v>
      </c>
      <c r="D46" s="1" t="s">
        <v>3634</v>
      </c>
      <c r="E46" s="1" t="s">
        <v>3634</v>
      </c>
      <c r="F46" s="1" t="s">
        <v>3634</v>
      </c>
    </row>
    <row r="47" spans="1:6" s="1" customFormat="1" x14ac:dyDescent="0.25">
      <c r="A47" s="1" t="s">
        <v>3626</v>
      </c>
      <c r="B47" s="1" t="str">
        <f>VLOOKUP(B48,Master!$AW:$AX,2,FALSE)</f>
        <v>1115</v>
      </c>
      <c r="C47" s="1" t="str">
        <f>VLOOKUP(C48,Master!$AW:$AX,2,FALSE)</f>
        <v>1115</v>
      </c>
      <c r="D47" s="1" t="str">
        <f>VLOOKUP(D48,Master!$AW:$AX,2,FALSE)</f>
        <v>1115</v>
      </c>
      <c r="E47" s="1" t="str">
        <f>VLOOKUP(E48,Master!$AW:$AX,2,FALSE)</f>
        <v>1115</v>
      </c>
      <c r="F47" s="1" t="str">
        <f>VLOOKUP(F48,Master!$AW:$AX,2,FALSE)</f>
        <v>1115</v>
      </c>
    </row>
    <row r="48" spans="1:6" s="1" customFormat="1" x14ac:dyDescent="0.25">
      <c r="A48" s="1" t="s">
        <v>3627</v>
      </c>
      <c r="B48" s="1" t="s">
        <v>2889</v>
      </c>
      <c r="C48" s="1" t="s">
        <v>2889</v>
      </c>
      <c r="D48" s="1" t="s">
        <v>2889</v>
      </c>
      <c r="E48" s="1" t="s">
        <v>2889</v>
      </c>
      <c r="F48" s="1" t="s">
        <v>2889</v>
      </c>
    </row>
    <row r="49" spans="1:11" s="1" customFormat="1" x14ac:dyDescent="0.25">
      <c r="A49" s="1" t="s">
        <v>3635</v>
      </c>
      <c r="B49" s="1" t="s">
        <v>39</v>
      </c>
      <c r="C49" s="1" t="s">
        <v>39</v>
      </c>
      <c r="D49" s="1" t="s">
        <v>39</v>
      </c>
      <c r="E49" s="1" t="s">
        <v>39</v>
      </c>
      <c r="F49" s="1" t="s">
        <v>39</v>
      </c>
    </row>
    <row r="50" spans="1:11" s="1" customFormat="1" x14ac:dyDescent="0.25">
      <c r="A50" s="1" t="s">
        <v>3636</v>
      </c>
      <c r="B50" s="41">
        <v>43959</v>
      </c>
      <c r="C50" s="41">
        <v>43959</v>
      </c>
      <c r="D50" s="41">
        <v>43959</v>
      </c>
      <c r="E50" s="41">
        <v>43959</v>
      </c>
      <c r="F50" s="41">
        <v>43959</v>
      </c>
    </row>
    <row r="51" spans="1:11" s="1" customFormat="1" x14ac:dyDescent="0.25">
      <c r="A51" s="1" t="s">
        <v>243</v>
      </c>
      <c r="B51" s="2" t="s">
        <v>33</v>
      </c>
      <c r="C51" s="2" t="s">
        <v>33</v>
      </c>
      <c r="D51" s="2" t="s">
        <v>33</v>
      </c>
      <c r="E51" s="2" t="s">
        <v>33</v>
      </c>
      <c r="F51" s="2" t="s">
        <v>33</v>
      </c>
    </row>
    <row r="52" spans="1:11" s="1" customFormat="1" x14ac:dyDescent="0.25">
      <c r="A52" s="1" t="s">
        <v>40</v>
      </c>
      <c r="B52" s="2">
        <v>102</v>
      </c>
      <c r="C52" s="2">
        <v>102</v>
      </c>
      <c r="D52" s="2">
        <v>102</v>
      </c>
      <c r="E52" s="2">
        <v>102</v>
      </c>
      <c r="F52" s="2">
        <v>102</v>
      </c>
    </row>
    <row r="53" spans="1:11" s="1" customFormat="1" x14ac:dyDescent="0.25">
      <c r="A53" s="1" t="s">
        <v>3637</v>
      </c>
      <c r="B53" s="1" t="s">
        <v>3638</v>
      </c>
      <c r="C53" s="1" t="s">
        <v>3638</v>
      </c>
      <c r="D53" s="1" t="s">
        <v>3638</v>
      </c>
      <c r="E53" s="1" t="s">
        <v>3638</v>
      </c>
      <c r="F53" s="1" t="s">
        <v>3638</v>
      </c>
    </row>
    <row r="54" spans="1:11" s="56" customFormat="1" x14ac:dyDescent="0.25">
      <c r="A54" s="57" t="s">
        <v>3122</v>
      </c>
      <c r="B54" s="58"/>
      <c r="C54" s="58"/>
      <c r="D54" s="58"/>
      <c r="E54" s="58"/>
      <c r="F54" s="58"/>
      <c r="G54" s="58"/>
      <c r="H54" s="58"/>
      <c r="I54" s="58"/>
      <c r="J54" s="58"/>
      <c r="K54" s="59"/>
    </row>
    <row r="55" spans="1:11" s="1" customFormat="1" x14ac:dyDescent="0.25">
      <c r="A55" s="37" t="s">
        <v>3717</v>
      </c>
      <c r="B55" s="1" t="s">
        <v>3703</v>
      </c>
      <c r="C55" s="1" t="s">
        <v>3703</v>
      </c>
      <c r="D55" s="1" t="s">
        <v>3703</v>
      </c>
      <c r="E55" s="1" t="s">
        <v>3703</v>
      </c>
      <c r="F55" s="1" t="s">
        <v>3703</v>
      </c>
    </row>
    <row r="56" spans="1:11" s="1" customFormat="1" x14ac:dyDescent="0.25">
      <c r="A56" s="37" t="s">
        <v>3718</v>
      </c>
      <c r="B56" s="3" t="s">
        <v>57</v>
      </c>
      <c r="C56" s="3" t="s">
        <v>57</v>
      </c>
      <c r="D56" s="3" t="s">
        <v>57</v>
      </c>
      <c r="E56" s="3" t="s">
        <v>57</v>
      </c>
      <c r="F56" s="3" t="s">
        <v>57</v>
      </c>
      <c r="G56" s="2"/>
      <c r="H56" s="2"/>
      <c r="I56" s="2"/>
      <c r="J56" s="2"/>
      <c r="K56" s="2"/>
    </row>
    <row r="57" spans="1:11" s="1" customFormat="1" x14ac:dyDescent="0.25">
      <c r="A57" s="37" t="s">
        <v>3719</v>
      </c>
      <c r="B57" s="3" t="s">
        <v>58</v>
      </c>
      <c r="C57" s="3" t="s">
        <v>58</v>
      </c>
      <c r="D57" s="3" t="s">
        <v>58</v>
      </c>
      <c r="E57" s="3" t="s">
        <v>58</v>
      </c>
      <c r="F57" s="3" t="s">
        <v>58</v>
      </c>
      <c r="G57" s="2"/>
      <c r="H57" s="2"/>
      <c r="I57" s="2"/>
      <c r="J57" s="2"/>
      <c r="K57" s="2"/>
    </row>
    <row r="58" spans="1:11" s="1" customFormat="1" x14ac:dyDescent="0.25">
      <c r="A58" s="37" t="s">
        <v>3720</v>
      </c>
      <c r="B58" s="1">
        <v>25586</v>
      </c>
      <c r="C58" s="1">
        <v>25586</v>
      </c>
      <c r="D58" s="1">
        <v>25586</v>
      </c>
      <c r="E58" s="1">
        <v>25586</v>
      </c>
      <c r="F58" s="1">
        <v>25586</v>
      </c>
      <c r="G58" s="2"/>
      <c r="H58" s="2"/>
      <c r="I58" s="2"/>
      <c r="J58" s="2"/>
      <c r="K58" s="2"/>
    </row>
    <row r="59" spans="1:11" s="1" customFormat="1" x14ac:dyDescent="0.25">
      <c r="A59" s="37" t="s">
        <v>3722</v>
      </c>
      <c r="B59" s="1" t="s">
        <v>3662</v>
      </c>
      <c r="C59" s="1" t="s">
        <v>3662</v>
      </c>
      <c r="D59" s="1" t="s">
        <v>3662</v>
      </c>
      <c r="E59" s="1" t="s">
        <v>3662</v>
      </c>
      <c r="F59" s="1" t="s">
        <v>3662</v>
      </c>
    </row>
    <row r="60" spans="1:11" s="1" customFormat="1" x14ac:dyDescent="0.25">
      <c r="A60" s="37" t="s">
        <v>3721</v>
      </c>
      <c r="B60" s="1" t="s">
        <v>3704</v>
      </c>
      <c r="C60" s="1" t="s">
        <v>3704</v>
      </c>
      <c r="D60" s="1" t="s">
        <v>3704</v>
      </c>
      <c r="E60" s="1" t="s">
        <v>3704</v>
      </c>
      <c r="F60" s="1" t="s">
        <v>3704</v>
      </c>
    </row>
    <row r="61" spans="1:11" s="1" customFormat="1" x14ac:dyDescent="0.25">
      <c r="A61" s="37" t="s">
        <v>3723</v>
      </c>
      <c r="B61" s="1" t="s">
        <v>3663</v>
      </c>
      <c r="C61" s="1" t="s">
        <v>3663</v>
      </c>
      <c r="D61" s="1" t="s">
        <v>3663</v>
      </c>
      <c r="E61" s="1" t="s">
        <v>3663</v>
      </c>
      <c r="F61" s="1" t="s">
        <v>3663</v>
      </c>
    </row>
    <row r="62" spans="1:11" s="1" customFormat="1" x14ac:dyDescent="0.25">
      <c r="A62" s="2" t="s">
        <v>26</v>
      </c>
    </row>
    <row r="63" spans="1:11" s="1" customFormat="1" x14ac:dyDescent="0.25">
      <c r="A63" s="1" t="s">
        <v>251</v>
      </c>
      <c r="B63" s="2"/>
      <c r="C63" s="2"/>
      <c r="D63" s="2"/>
      <c r="E63" s="2"/>
      <c r="F63" s="2"/>
      <c r="G63" s="2"/>
      <c r="H63" s="2"/>
      <c r="I63" s="2"/>
      <c r="J63" s="2"/>
      <c r="K63" s="2"/>
    </row>
    <row r="64" spans="1:11" s="1" customFormat="1" x14ac:dyDescent="0.25">
      <c r="A64" s="1" t="s">
        <v>252</v>
      </c>
      <c r="B64" s="2"/>
      <c r="C64" s="2"/>
      <c r="D64" s="2"/>
      <c r="E64" s="2"/>
      <c r="F64" s="2"/>
      <c r="G64" s="2"/>
      <c r="H64" s="2"/>
      <c r="I64" s="2"/>
      <c r="J64" s="2"/>
      <c r="K64" s="2"/>
    </row>
    <row r="65" spans="1:11" s="1" customFormat="1" x14ac:dyDescent="0.25">
      <c r="A65" s="1" t="s">
        <v>253</v>
      </c>
      <c r="B65" s="2"/>
      <c r="C65" s="2"/>
      <c r="D65" s="2"/>
      <c r="E65" s="2"/>
      <c r="F65" s="2"/>
      <c r="G65" s="2"/>
      <c r="H65" s="2"/>
      <c r="I65" s="2"/>
      <c r="J65" s="2"/>
      <c r="K65" s="2"/>
    </row>
    <row r="66" spans="1:11" s="1" customFormat="1" x14ac:dyDescent="0.25">
      <c r="A66" s="1" t="s">
        <v>254</v>
      </c>
      <c r="B66" s="2"/>
      <c r="C66" s="2"/>
      <c r="D66" s="2"/>
      <c r="E66" s="2"/>
      <c r="F66" s="2"/>
      <c r="G66" s="2"/>
      <c r="H66" s="2"/>
      <c r="I66" s="2"/>
      <c r="J66" s="2"/>
      <c r="K66" s="2"/>
    </row>
    <row r="67" spans="1:11" s="1" customFormat="1" x14ac:dyDescent="0.25">
      <c r="A67" s="1" t="s">
        <v>255</v>
      </c>
      <c r="B67" s="2"/>
      <c r="C67" s="2"/>
      <c r="D67" s="2"/>
      <c r="E67" s="2"/>
      <c r="F67" s="2"/>
      <c r="G67" s="2"/>
      <c r="H67" s="2"/>
      <c r="I67" s="2"/>
      <c r="J67" s="2"/>
      <c r="K67" s="2"/>
    </row>
    <row r="68" spans="1:11" s="1" customFormat="1" x14ac:dyDescent="0.25">
      <c r="A68" s="1" t="s">
        <v>256</v>
      </c>
      <c r="B68" s="2"/>
      <c r="C68" s="2"/>
      <c r="D68" s="2"/>
      <c r="E68" s="2"/>
      <c r="F68" s="2"/>
      <c r="G68" s="2"/>
      <c r="H68" s="2"/>
      <c r="I68" s="2"/>
      <c r="J68" s="2"/>
      <c r="K68" s="2"/>
    </row>
    <row r="69" spans="1:11" s="1" customFormat="1" x14ac:dyDescent="0.25">
      <c r="A69" s="1" t="s">
        <v>257</v>
      </c>
      <c r="B69" s="2"/>
      <c r="C69" s="2"/>
      <c r="D69" s="2"/>
      <c r="E69" s="2"/>
      <c r="F69" s="2"/>
      <c r="G69" s="2"/>
      <c r="H69" s="2"/>
      <c r="I69" s="2"/>
      <c r="J69" s="2"/>
      <c r="K69" s="2"/>
    </row>
    <row r="70" spans="1:11" s="1" customFormat="1" x14ac:dyDescent="0.25">
      <c r="A70" s="1" t="s">
        <v>258</v>
      </c>
      <c r="B70" s="2"/>
      <c r="C70" s="2"/>
      <c r="D70" s="2"/>
      <c r="E70" s="2"/>
      <c r="F70" s="2"/>
      <c r="G70" s="2"/>
      <c r="H70" s="2"/>
      <c r="I70" s="2"/>
      <c r="J70" s="2"/>
      <c r="K70" s="2"/>
    </row>
    <row r="71" spans="1:11" s="1" customFormat="1" x14ac:dyDescent="0.25">
      <c r="A71" s="1" t="s">
        <v>259</v>
      </c>
      <c r="B71" s="2"/>
      <c r="C71" s="2"/>
      <c r="D71" s="2"/>
      <c r="E71" s="2"/>
      <c r="F71" s="2"/>
      <c r="G71" s="2"/>
      <c r="H71" s="2"/>
      <c r="I71" s="2"/>
      <c r="J71" s="2"/>
      <c r="K71" s="2"/>
    </row>
    <row r="72" spans="1:11" s="1" customFormat="1" x14ac:dyDescent="0.25">
      <c r="A72" s="1" t="s">
        <v>260</v>
      </c>
      <c r="B72" s="2"/>
      <c r="C72" s="2"/>
      <c r="D72" s="2"/>
      <c r="E72" s="2"/>
      <c r="F72" s="2"/>
      <c r="G72" s="2"/>
      <c r="H72" s="2"/>
      <c r="I72" s="2"/>
      <c r="J72" s="2"/>
      <c r="K72" s="2"/>
    </row>
    <row r="73" spans="1:11" s="1" customFormat="1" x14ac:dyDescent="0.25">
      <c r="A73" s="1" t="s">
        <v>261</v>
      </c>
      <c r="B73" s="2"/>
      <c r="C73" s="2"/>
      <c r="D73" s="2"/>
      <c r="E73" s="2"/>
      <c r="F73" s="2"/>
      <c r="G73" s="2"/>
      <c r="H73" s="2"/>
      <c r="I73" s="2"/>
      <c r="J73" s="2"/>
      <c r="K73" s="2"/>
    </row>
    <row r="74" spans="1:11" s="1" customFormat="1" x14ac:dyDescent="0.25">
      <c r="A74" s="2" t="s">
        <v>27</v>
      </c>
      <c r="B74" s="1" t="s">
        <v>28</v>
      </c>
      <c r="C74" s="1" t="s">
        <v>28</v>
      </c>
      <c r="D74" s="1" t="s">
        <v>28</v>
      </c>
      <c r="E74" s="1" t="s">
        <v>28</v>
      </c>
      <c r="F74" s="1" t="s">
        <v>28</v>
      </c>
    </row>
    <row r="75" spans="1:11" s="56" customFormat="1" x14ac:dyDescent="0.25">
      <c r="A75" s="57" t="s">
        <v>3123</v>
      </c>
      <c r="B75" s="58"/>
      <c r="C75" s="58"/>
      <c r="D75" s="58"/>
      <c r="E75" s="58"/>
      <c r="F75" s="58"/>
      <c r="G75" s="58"/>
      <c r="H75" s="58"/>
      <c r="I75" s="58"/>
      <c r="J75" s="58"/>
      <c r="K75" s="59"/>
    </row>
    <row r="76" spans="1:11" s="1" customFormat="1" x14ac:dyDescent="0.25">
      <c r="A76" s="2" t="s">
        <v>244</v>
      </c>
    </row>
    <row r="77" spans="1:11" s="1" customFormat="1" x14ac:dyDescent="0.25">
      <c r="A77" s="2" t="s">
        <v>245</v>
      </c>
      <c r="B77" s="42"/>
      <c r="C77" s="42"/>
      <c r="D77" s="42"/>
      <c r="E77" s="42"/>
      <c r="F77" s="42"/>
    </row>
    <row r="78" spans="1:11" s="56" customFormat="1" x14ac:dyDescent="0.25">
      <c r="A78" s="57" t="s">
        <v>3124</v>
      </c>
      <c r="B78" s="58"/>
      <c r="C78" s="58"/>
      <c r="D78" s="58"/>
      <c r="E78" s="58"/>
      <c r="F78" s="58"/>
      <c r="G78" s="58"/>
      <c r="H78" s="58"/>
      <c r="I78" s="58"/>
      <c r="J78" s="58"/>
      <c r="K78" s="59"/>
    </row>
    <row r="79" spans="1:11" s="1" customFormat="1" x14ac:dyDescent="0.25">
      <c r="A79" s="2" t="s">
        <v>305</v>
      </c>
    </row>
    <row r="80" spans="1:11" s="1" customFormat="1" x14ac:dyDescent="0.25">
      <c r="A80" s="2" t="s">
        <v>306</v>
      </c>
      <c r="B80" s="2"/>
      <c r="C80" s="2"/>
      <c r="D80" s="2"/>
      <c r="E80" s="2"/>
      <c r="F80" s="2"/>
      <c r="G80" s="2"/>
      <c r="H80" s="2"/>
      <c r="I80" s="2"/>
      <c r="J80" s="2"/>
      <c r="K80" s="2"/>
    </row>
    <row r="81" spans="1:11" s="1" customFormat="1" x14ac:dyDescent="0.25">
      <c r="A81" s="2" t="s">
        <v>307</v>
      </c>
      <c r="B81" s="2"/>
      <c r="C81" s="2"/>
      <c r="D81" s="2"/>
      <c r="E81" s="2"/>
      <c r="F81" s="2"/>
      <c r="G81" s="2"/>
      <c r="H81" s="2"/>
      <c r="I81" s="2"/>
      <c r="J81" s="2"/>
      <c r="K81" s="2"/>
    </row>
    <row r="82" spans="1:11" s="1" customFormat="1" x14ac:dyDescent="0.25">
      <c r="A82" s="2" t="s">
        <v>308</v>
      </c>
      <c r="B82" s="2"/>
      <c r="C82" s="2"/>
      <c r="D82" s="2"/>
      <c r="E82" s="2"/>
      <c r="F82" s="2"/>
      <c r="G82" s="2"/>
      <c r="H82" s="2"/>
      <c r="I82" s="2"/>
      <c r="J82" s="2"/>
      <c r="K82" s="2"/>
    </row>
    <row r="83" spans="1:11" s="1" customFormat="1" x14ac:dyDescent="0.25">
      <c r="A83" s="2" t="s">
        <v>309</v>
      </c>
    </row>
    <row r="84" spans="1:11" s="1" customFormat="1" x14ac:dyDescent="0.25">
      <c r="A84" s="2" t="s">
        <v>310</v>
      </c>
    </row>
    <row r="85" spans="1:11" s="1" customFormat="1" x14ac:dyDescent="0.25">
      <c r="A85" s="2" t="s">
        <v>311</v>
      </c>
    </row>
    <row r="86" spans="1:11" s="1" customFormat="1" x14ac:dyDescent="0.25">
      <c r="A86" s="2" t="s">
        <v>312</v>
      </c>
    </row>
    <row r="87" spans="1:11" s="1" customFormat="1" x14ac:dyDescent="0.25">
      <c r="A87" s="1" t="s">
        <v>313</v>
      </c>
      <c r="B87" s="2"/>
      <c r="C87" s="2"/>
      <c r="D87" s="2"/>
      <c r="E87" s="2"/>
      <c r="F87" s="2"/>
      <c r="G87" s="2"/>
      <c r="H87" s="2"/>
      <c r="I87" s="2"/>
      <c r="J87" s="2"/>
      <c r="K87" s="2"/>
    </row>
    <row r="88" spans="1:11" s="1" customFormat="1" x14ac:dyDescent="0.25">
      <c r="A88" s="1" t="s">
        <v>314</v>
      </c>
      <c r="B88" s="2"/>
      <c r="C88" s="2"/>
      <c r="D88" s="2"/>
      <c r="E88" s="2"/>
      <c r="F88" s="2"/>
      <c r="G88" s="2"/>
      <c r="H88" s="2"/>
      <c r="I88" s="2"/>
      <c r="J88" s="2"/>
      <c r="K88" s="2"/>
    </row>
    <row r="89" spans="1:11" s="1" customFormat="1" x14ac:dyDescent="0.25">
      <c r="A89" s="1" t="s">
        <v>315</v>
      </c>
      <c r="B89" s="2"/>
      <c r="C89" s="2"/>
      <c r="D89" s="2"/>
      <c r="E89" s="2"/>
      <c r="F89" s="2"/>
      <c r="G89" s="2"/>
      <c r="H89" s="2"/>
      <c r="I89" s="2"/>
      <c r="J89" s="2"/>
      <c r="K89" s="2"/>
    </row>
    <row r="90" spans="1:11" s="1" customFormat="1" x14ac:dyDescent="0.25">
      <c r="A90" s="1" t="s">
        <v>316</v>
      </c>
      <c r="B90" s="2"/>
      <c r="C90" s="2"/>
      <c r="D90" s="2"/>
      <c r="E90" s="2"/>
      <c r="F90" s="2"/>
      <c r="G90" s="2"/>
      <c r="H90" s="2"/>
      <c r="I90" s="2"/>
      <c r="J90" s="2"/>
      <c r="K90" s="2"/>
    </row>
    <row r="91" spans="1:11" s="1" customFormat="1" x14ac:dyDescent="0.25">
      <c r="A91" s="1" t="s">
        <v>317</v>
      </c>
      <c r="B91" s="2"/>
      <c r="C91" s="2"/>
      <c r="D91" s="2"/>
      <c r="E91" s="2"/>
      <c r="F91" s="2"/>
      <c r="G91" s="2"/>
      <c r="H91" s="2"/>
      <c r="I91" s="2"/>
      <c r="J91" s="2"/>
      <c r="K91" s="2"/>
    </row>
    <row r="92" spans="1:11" s="1" customFormat="1" x14ac:dyDescent="0.25">
      <c r="A92" s="1" t="s">
        <v>318</v>
      </c>
      <c r="B92" s="2"/>
      <c r="C92" s="2"/>
      <c r="D92" s="2"/>
      <c r="E92" s="2"/>
      <c r="F92" s="2"/>
      <c r="G92" s="2"/>
      <c r="H92" s="2"/>
      <c r="I92" s="2"/>
      <c r="J92" s="2"/>
      <c r="K92" s="2"/>
    </row>
    <row r="93" spans="1:11" s="1" customFormat="1" x14ac:dyDescent="0.25">
      <c r="A93" s="1" t="s">
        <v>319</v>
      </c>
      <c r="B93" s="2"/>
      <c r="C93" s="2"/>
      <c r="D93" s="2"/>
      <c r="E93" s="2"/>
      <c r="F93" s="2"/>
      <c r="G93" s="2"/>
      <c r="H93" s="2"/>
      <c r="I93" s="2"/>
      <c r="J93" s="2"/>
      <c r="K93" s="2"/>
    </row>
    <row r="94" spans="1:11" s="1" customFormat="1" x14ac:dyDescent="0.25">
      <c r="A94" s="1" t="s">
        <v>320</v>
      </c>
      <c r="B94" s="2"/>
      <c r="C94" s="2"/>
      <c r="D94" s="2"/>
      <c r="E94" s="2"/>
      <c r="F94" s="2"/>
      <c r="G94" s="2"/>
      <c r="H94" s="2"/>
      <c r="I94" s="2"/>
      <c r="J94" s="2"/>
      <c r="K94" s="2"/>
    </row>
    <row r="95" spans="1:11" s="1" customFormat="1" x14ac:dyDescent="0.25">
      <c r="A95" s="1" t="s">
        <v>321</v>
      </c>
      <c r="B95" s="2"/>
      <c r="C95" s="2"/>
      <c r="D95" s="2"/>
      <c r="E95" s="2"/>
      <c r="F95" s="2"/>
      <c r="G95" s="2"/>
      <c r="H95" s="2"/>
      <c r="I95" s="2"/>
      <c r="J95" s="2"/>
      <c r="K95" s="2"/>
    </row>
    <row r="96" spans="1:11" s="1" customFormat="1" x14ac:dyDescent="0.25">
      <c r="A96" s="1" t="s">
        <v>322</v>
      </c>
      <c r="B96" s="2"/>
      <c r="C96" s="2"/>
      <c r="D96" s="2"/>
      <c r="E96" s="2"/>
      <c r="F96" s="2"/>
      <c r="G96" s="2"/>
      <c r="H96" s="2"/>
      <c r="I96" s="2"/>
      <c r="J96" s="2"/>
      <c r="K96" s="2"/>
    </row>
    <row r="97" spans="1:11" s="1" customFormat="1" x14ac:dyDescent="0.25">
      <c r="A97" s="1" t="s">
        <v>323</v>
      </c>
      <c r="B97" s="2"/>
      <c r="C97" s="2"/>
      <c r="D97" s="2"/>
      <c r="E97" s="2"/>
      <c r="F97" s="2"/>
      <c r="G97" s="2"/>
      <c r="H97" s="2"/>
      <c r="I97" s="2"/>
      <c r="J97" s="2"/>
      <c r="K97" s="2"/>
    </row>
    <row r="98" spans="1:11" s="1" customFormat="1" x14ac:dyDescent="0.25">
      <c r="A98" s="2" t="s">
        <v>324</v>
      </c>
    </row>
    <row r="99" spans="1:11" s="56" customFormat="1" x14ac:dyDescent="0.25">
      <c r="A99" s="57" t="s">
        <v>3125</v>
      </c>
      <c r="B99" s="58"/>
      <c r="C99" s="58"/>
      <c r="D99" s="58"/>
      <c r="E99" s="58"/>
      <c r="F99" s="58"/>
      <c r="G99" s="58"/>
      <c r="H99" s="58"/>
      <c r="I99" s="58"/>
      <c r="J99" s="58"/>
      <c r="K99" s="59"/>
    </row>
    <row r="100" spans="1:11" s="1" customFormat="1" x14ac:dyDescent="0.25">
      <c r="A100" s="2" t="s">
        <v>246</v>
      </c>
    </row>
    <row r="101" spans="1:11" s="1" customFormat="1" x14ac:dyDescent="0.25">
      <c r="A101" s="2" t="s">
        <v>247</v>
      </c>
    </row>
    <row r="102" spans="1:11" s="1" customFormat="1" x14ac:dyDescent="0.25">
      <c r="A102" s="2" t="s">
        <v>284</v>
      </c>
    </row>
    <row r="103" spans="1:11" s="1" customFormat="1" x14ac:dyDescent="0.25">
      <c r="A103" s="2" t="s">
        <v>248</v>
      </c>
    </row>
    <row r="104" spans="1:11" s="1" customFormat="1" x14ac:dyDescent="0.25">
      <c r="A104" s="2" t="s">
        <v>249</v>
      </c>
      <c r="B104" s="42"/>
      <c r="C104" s="42"/>
      <c r="D104" s="42"/>
      <c r="E104" s="42"/>
      <c r="F104" s="42"/>
    </row>
    <row r="105" spans="1:11" s="56" customFormat="1" x14ac:dyDescent="0.25">
      <c r="A105" s="57" t="s">
        <v>3126</v>
      </c>
      <c r="B105" s="58"/>
      <c r="C105" s="58"/>
      <c r="D105" s="58"/>
      <c r="E105" s="58"/>
      <c r="F105" s="58"/>
      <c r="G105" s="58"/>
      <c r="H105" s="58"/>
      <c r="I105" s="58"/>
      <c r="J105" s="58"/>
      <c r="K105" s="59"/>
    </row>
    <row r="106" spans="1:11" s="1" customFormat="1" x14ac:dyDescent="0.25">
      <c r="A106" s="2" t="s">
        <v>285</v>
      </c>
    </row>
    <row r="107" spans="1:11" s="1" customFormat="1" x14ac:dyDescent="0.25">
      <c r="A107" s="2" t="s">
        <v>286</v>
      </c>
      <c r="B107" s="2"/>
      <c r="C107" s="2"/>
      <c r="D107" s="2"/>
      <c r="E107" s="2"/>
      <c r="F107" s="2"/>
      <c r="G107" s="2"/>
      <c r="H107" s="2"/>
      <c r="I107" s="2"/>
      <c r="J107" s="2"/>
      <c r="K107" s="2"/>
    </row>
    <row r="108" spans="1:11" s="1" customFormat="1" x14ac:dyDescent="0.25">
      <c r="A108" s="2" t="s">
        <v>287</v>
      </c>
      <c r="B108" s="2"/>
      <c r="C108" s="2"/>
      <c r="D108" s="2"/>
      <c r="E108" s="2"/>
      <c r="F108" s="2"/>
      <c r="G108" s="2"/>
      <c r="H108" s="2"/>
      <c r="I108" s="2"/>
      <c r="J108" s="2"/>
      <c r="K108" s="2"/>
    </row>
    <row r="109" spans="1:11" s="1" customFormat="1" x14ac:dyDescent="0.25">
      <c r="A109" s="2" t="s">
        <v>288</v>
      </c>
      <c r="B109" s="2"/>
      <c r="C109" s="2"/>
      <c r="D109" s="2"/>
      <c r="E109" s="2"/>
      <c r="F109" s="2"/>
      <c r="G109" s="2"/>
      <c r="H109" s="2"/>
      <c r="I109" s="2"/>
      <c r="J109" s="2"/>
      <c r="K109" s="2"/>
    </row>
    <row r="110" spans="1:11" s="1" customFormat="1" x14ac:dyDescent="0.25">
      <c r="A110" s="2" t="s">
        <v>289</v>
      </c>
    </row>
    <row r="111" spans="1:11" s="1" customFormat="1" x14ac:dyDescent="0.25">
      <c r="A111" s="2" t="s">
        <v>290</v>
      </c>
    </row>
    <row r="112" spans="1:11" s="1" customFormat="1" x14ac:dyDescent="0.25">
      <c r="A112" s="2" t="s">
        <v>291</v>
      </c>
    </row>
    <row r="113" spans="1:11" s="1" customFormat="1" x14ac:dyDescent="0.25">
      <c r="A113" s="2" t="s">
        <v>292</v>
      </c>
    </row>
    <row r="114" spans="1:11" s="1" customFormat="1" x14ac:dyDescent="0.25">
      <c r="A114" s="1" t="s">
        <v>293</v>
      </c>
      <c r="B114" s="2"/>
      <c r="C114" s="2"/>
      <c r="D114" s="2"/>
      <c r="E114" s="2"/>
      <c r="F114" s="2"/>
      <c r="G114" s="2"/>
      <c r="H114" s="2"/>
      <c r="I114" s="2"/>
      <c r="J114" s="2"/>
      <c r="K114" s="2"/>
    </row>
    <row r="115" spans="1:11" s="1" customFormat="1" x14ac:dyDescent="0.25">
      <c r="A115" s="1" t="s">
        <v>294</v>
      </c>
      <c r="B115" s="2"/>
      <c r="C115" s="2"/>
      <c r="D115" s="2"/>
      <c r="E115" s="2"/>
      <c r="F115" s="2"/>
      <c r="G115" s="2"/>
      <c r="H115" s="2"/>
      <c r="I115" s="2"/>
      <c r="J115" s="2"/>
      <c r="K115" s="2"/>
    </row>
    <row r="116" spans="1:11" s="1" customFormat="1" x14ac:dyDescent="0.25">
      <c r="A116" s="1" t="s">
        <v>295</v>
      </c>
      <c r="B116" s="2"/>
      <c r="C116" s="2"/>
      <c r="D116" s="2"/>
      <c r="E116" s="2"/>
      <c r="F116" s="2"/>
      <c r="G116" s="2"/>
      <c r="H116" s="2"/>
      <c r="I116" s="2"/>
      <c r="J116" s="2"/>
      <c r="K116" s="2"/>
    </row>
    <row r="117" spans="1:11" s="1" customFormat="1" x14ac:dyDescent="0.25">
      <c r="A117" s="1" t="s">
        <v>296</v>
      </c>
      <c r="B117" s="2"/>
      <c r="C117" s="2"/>
      <c r="D117" s="2"/>
      <c r="E117" s="2"/>
      <c r="F117" s="2"/>
      <c r="G117" s="2"/>
      <c r="H117" s="2"/>
      <c r="I117" s="2"/>
      <c r="J117" s="2"/>
      <c r="K117" s="2"/>
    </row>
    <row r="118" spans="1:11" s="1" customFormat="1" x14ac:dyDescent="0.25">
      <c r="A118" s="1" t="s">
        <v>297</v>
      </c>
      <c r="B118" s="2"/>
      <c r="C118" s="2"/>
      <c r="D118" s="2"/>
      <c r="E118" s="2"/>
      <c r="F118" s="2"/>
      <c r="G118" s="2"/>
      <c r="H118" s="2"/>
      <c r="I118" s="2"/>
      <c r="J118" s="2"/>
      <c r="K118" s="2"/>
    </row>
    <row r="119" spans="1:11" s="1" customFormat="1" x14ac:dyDescent="0.25">
      <c r="A119" s="1" t="s">
        <v>298</v>
      </c>
      <c r="B119" s="2"/>
      <c r="C119" s="2"/>
      <c r="D119" s="2"/>
      <c r="E119" s="2"/>
      <c r="F119" s="2"/>
      <c r="G119" s="2"/>
      <c r="H119" s="2"/>
      <c r="I119" s="2"/>
      <c r="J119" s="2"/>
      <c r="K119" s="2"/>
    </row>
    <row r="120" spans="1:11" s="1" customFormat="1" x14ac:dyDescent="0.25">
      <c r="A120" s="1" t="s">
        <v>299</v>
      </c>
      <c r="B120" s="2"/>
      <c r="C120" s="2"/>
      <c r="D120" s="2"/>
      <c r="E120" s="2"/>
      <c r="F120" s="2"/>
      <c r="G120" s="2"/>
      <c r="H120" s="2"/>
      <c r="I120" s="2"/>
      <c r="J120" s="2"/>
      <c r="K120" s="2"/>
    </row>
    <row r="121" spans="1:11" s="1" customFormat="1" x14ac:dyDescent="0.25">
      <c r="A121" s="1" t="s">
        <v>300</v>
      </c>
      <c r="B121" s="2"/>
      <c r="C121" s="2"/>
      <c r="D121" s="2"/>
      <c r="E121" s="2"/>
      <c r="F121" s="2"/>
      <c r="G121" s="2"/>
      <c r="H121" s="2"/>
      <c r="I121" s="2"/>
      <c r="J121" s="2"/>
      <c r="K121" s="2"/>
    </row>
    <row r="122" spans="1:11" s="1" customFormat="1" x14ac:dyDescent="0.25">
      <c r="A122" s="1" t="s">
        <v>301</v>
      </c>
      <c r="B122" s="2"/>
      <c r="C122" s="2"/>
      <c r="D122" s="2"/>
      <c r="E122" s="2"/>
      <c r="F122" s="2"/>
      <c r="G122" s="2"/>
      <c r="H122" s="2"/>
      <c r="I122" s="2"/>
      <c r="J122" s="2"/>
      <c r="K122" s="2"/>
    </row>
    <row r="123" spans="1:11" s="1" customFormat="1" x14ac:dyDescent="0.25">
      <c r="A123" s="1" t="s">
        <v>302</v>
      </c>
      <c r="B123" s="2"/>
      <c r="C123" s="2"/>
      <c r="D123" s="2"/>
      <c r="E123" s="2"/>
      <c r="F123" s="2"/>
      <c r="G123" s="2"/>
      <c r="H123" s="2"/>
      <c r="I123" s="2"/>
      <c r="J123" s="2"/>
      <c r="K123" s="2"/>
    </row>
    <row r="124" spans="1:11" s="1" customFormat="1" x14ac:dyDescent="0.25">
      <c r="A124" s="1" t="s">
        <v>303</v>
      </c>
      <c r="B124" s="2"/>
      <c r="C124" s="2"/>
      <c r="D124" s="2"/>
      <c r="E124" s="2"/>
      <c r="F124" s="2"/>
      <c r="G124" s="2"/>
      <c r="H124" s="2"/>
      <c r="I124" s="2"/>
      <c r="J124" s="2"/>
      <c r="K124" s="2"/>
    </row>
    <row r="125" spans="1:11" s="1" customFormat="1" x14ac:dyDescent="0.25">
      <c r="A125" s="2" t="s">
        <v>304</v>
      </c>
    </row>
  </sheetData>
  <mergeCells count="2">
    <mergeCell ref="A13:XFD13"/>
    <mergeCell ref="A11:XFD11"/>
  </mergeCells>
  <dataValidations count="13">
    <dataValidation type="list" allowBlank="1" showInputMessage="1" showErrorMessage="1" sqref="G18:K19 G22:K22">
      <formula1>"Yes, No"</formula1>
    </dataValidation>
    <dataValidation type="list" showInputMessage="1" showErrorMessage="1" sqref="G74:K74 G98:K98 G125:K125">
      <formula1>"Dinas, Family, KPR, Rented, Self - Owned"</formula1>
    </dataValidation>
    <dataValidation type="list" allowBlank="1" showInputMessage="1" showErrorMessage="1" sqref="G17:K17">
      <formula1>"Contract, Permanent"</formula1>
    </dataValidation>
    <dataValidation type="whole" errorStyle="information" allowBlank="1" showInputMessage="1" showErrorMessage="1" sqref="B26:F26">
      <formula1>0</formula1>
      <formula2>9.99999999999999E+22</formula2>
    </dataValidation>
    <dataValidation type="list" errorStyle="information" allowBlank="1" showInputMessage="1" showErrorMessage="1" sqref="B125:F125 B98:F98 B74:F74">
      <formula1>"Dinas, Family, KPR, Rented, Self - Owned"</formula1>
    </dataValidation>
    <dataValidation errorStyle="information" allowBlank="1" showInputMessage="1" showErrorMessage="1" sqref="B23:F25 B28:F28 B31:F32 B34:F36 B38:F38 B40:F40 B42:F42 B46:F47 B49:F51 B55:F61 B106:F124 B79:F85 B100:F104 B14:F14 B20:F21"/>
    <dataValidation type="list" errorStyle="information" allowBlank="1" showInputMessage="1" showErrorMessage="1" sqref="B39:F39 B43:F43 B15:F15 B29:F29">
      <formula1>ListJobProfession</formula1>
    </dataValidation>
    <dataValidation type="list" errorStyle="information" allowBlank="1" showInputMessage="1" showErrorMessage="1" sqref="B16:F16 B44:F44">
      <formula1>ListJobPosition</formula1>
    </dataValidation>
    <dataValidation type="list" errorStyle="information" allowBlank="1" showInputMessage="1" showErrorMessage="1" sqref="B17:F17">
      <formula1>"Contract, Permanent"</formula1>
    </dataValidation>
    <dataValidation type="list" errorStyle="information" allowBlank="1" showInputMessage="1" showErrorMessage="1" sqref="B45:F45 B18:F19 B30:F30">
      <formula1>"Yes, No"</formula1>
    </dataValidation>
    <dataValidation type="list" errorStyle="information" allowBlank="1" showInputMessage="1" showErrorMessage="1" sqref="B48:F48 B22:F22 B33:F33">
      <formula1>ListIndustryType</formula1>
    </dataValidation>
    <dataValidation type="whole" errorStyle="information" allowBlank="1" showInputMessage="1" showErrorMessage="1" sqref="B52:F52">
      <formula1>0</formula1>
      <formula2>999999999999999000000</formula2>
    </dataValidation>
    <dataValidation type="list" errorStyle="information" allowBlank="1" showInputMessage="1" showErrorMessage="1" sqref="B53:F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Master!$E$2:$E$28</xm:f>
          </x14:formula1>
          <xm:sqref>G16:K16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E1" sqref="E1:F1048576"/>
    </sheetView>
  </sheetViews>
  <sheetFormatPr defaultRowHeight="15" x14ac:dyDescent="0.25"/>
  <cols>
    <col min="1" max="1" width="32.7109375" bestFit="1" customWidth="1" collapsed="1"/>
    <col min="2" max="6" width="34.140625" bestFit="1" customWidth="1" collapsed="1"/>
  </cols>
  <sheetData>
    <row r="1" spans="1:11" s="1" customFormat="1" x14ac:dyDescent="0.25">
      <c r="A1" s="1" t="s">
        <v>12</v>
      </c>
      <c r="B1" t="s">
        <v>2851</v>
      </c>
      <c r="C1" t="s">
        <v>2851</v>
      </c>
      <c r="D1" t="s">
        <v>2851</v>
      </c>
      <c r="E1" t="s">
        <v>2851</v>
      </c>
      <c r="F1" t="s">
        <v>2851</v>
      </c>
    </row>
    <row r="2" spans="1:11" s="1" customFormat="1" x14ac:dyDescent="0.25">
      <c r="A2" s="1" t="s">
        <v>3698</v>
      </c>
      <c r="B2" s="1" t="s">
        <v>3794</v>
      </c>
      <c r="C2" s="1" t="s">
        <v>3794</v>
      </c>
      <c r="D2" s="1" t="s">
        <v>3794</v>
      </c>
      <c r="E2" s="1" t="s">
        <v>3794</v>
      </c>
      <c r="F2" s="1" t="s">
        <v>3794</v>
      </c>
    </row>
    <row r="3" spans="1:11" s="1" customFormat="1" x14ac:dyDescent="0.25">
      <c r="A3" s="1" t="s">
        <v>3699</v>
      </c>
      <c r="B3" s="1" t="str">
        <f>'1.CustomerDetail'!B$3</f>
        <v>LOS-012</v>
      </c>
      <c r="C3" s="1" t="str">
        <f>'1.CustomerDetail'!C$3</f>
        <v>LOS-013</v>
      </c>
      <c r="D3" s="1" t="str">
        <f>'1.CustomerDetail'!D$3</f>
        <v>LOS-014</v>
      </c>
      <c r="E3" s="1" t="str">
        <f>'1.CustomerDetail'!E$3</f>
        <v>LOS-015</v>
      </c>
      <c r="F3" s="1" t="str">
        <f>'1.CustomerDetail'!F$3</f>
        <v>LOS-016</v>
      </c>
    </row>
    <row r="4" spans="1:11" s="1" customFormat="1" x14ac:dyDescent="0.25">
      <c r="A4" s="1" t="s">
        <v>3712</v>
      </c>
      <c r="B4" s="1">
        <f>IF(B12="Input Data",COUNTIFS($A$15:$A$42,"*$*",B15:B42,""),COUNTIFS($A$13:$A$14,"*$*",B13:B14,""))</f>
        <v>0</v>
      </c>
      <c r="C4" s="1">
        <f>IF(C12="Input Data",COUNTIFS($A$15:$A$42,"*$*",C15:C42,""),COUNTIFS($A$13:$A$14,"*$*",C13:C14,""))</f>
        <v>0</v>
      </c>
      <c r="D4" s="1">
        <f>IF(D12="Input Data",COUNTIFS($A$15:$A$42,"*$*",D15:D42,""),COUNTIFS($A$13:$A$14,"*$*",D13:D14,""))</f>
        <v>0</v>
      </c>
      <c r="E4" s="1">
        <f t="shared" ref="E4:F4" si="0">IF(E12="Input Data",COUNTIFS($A$15:$A$42,"*$*",E15:E42,""),COUNTIFS($A$13:$A$14,"*$*",E13:E14,""))</f>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3120</v>
      </c>
      <c r="B10" s="1" t="str">
        <f>'1.CustomerDetail'!B$12</f>
        <v>app12</v>
      </c>
      <c r="C10" s="1" t="str">
        <f>'1.CustomerDetail'!C$12</f>
        <v>app13</v>
      </c>
      <c r="D10" s="1" t="str">
        <f>'1.CustomerDetail'!D$12</f>
        <v>app14</v>
      </c>
      <c r="E10" s="1" t="str">
        <f>'1.CustomerDetail'!E$12</f>
        <v>app15</v>
      </c>
      <c r="F10" s="1" t="str">
        <f>'1.CustomerDetail'!F$12</f>
        <v>app16</v>
      </c>
    </row>
    <row r="11" spans="1:11" s="53" customFormat="1" x14ac:dyDescent="0.25">
      <c r="B11" s="54"/>
      <c r="C11" s="54"/>
      <c r="D11" s="54"/>
      <c r="E11" s="54"/>
      <c r="F11" s="54"/>
    </row>
    <row r="12" spans="1:11" s="1" customFormat="1" x14ac:dyDescent="0.25">
      <c r="A12" s="1" t="s">
        <v>3667</v>
      </c>
      <c r="B12" s="50" t="s">
        <v>3668</v>
      </c>
      <c r="C12" s="50" t="s">
        <v>3668</v>
      </c>
      <c r="D12" s="50" t="s">
        <v>3668</v>
      </c>
      <c r="E12" s="50" t="s">
        <v>3668</v>
      </c>
      <c r="F12" s="50" t="s">
        <v>3668</v>
      </c>
    </row>
    <row r="13" spans="1:11" s="1" customFormat="1" x14ac:dyDescent="0.25">
      <c r="A13" s="37" t="s">
        <v>3727</v>
      </c>
      <c r="B13" s="4"/>
      <c r="C13" s="4"/>
      <c r="D13" s="4"/>
      <c r="E13" s="4"/>
      <c r="F13" s="4"/>
    </row>
    <row r="14" spans="1:11" s="1" customFormat="1" x14ac:dyDescent="0.25">
      <c r="A14" s="37" t="s">
        <v>3728</v>
      </c>
      <c r="G14" s="2"/>
      <c r="H14" s="2"/>
      <c r="I14" s="2"/>
      <c r="J14" s="2"/>
      <c r="K14" s="2"/>
    </row>
    <row r="15" spans="1:11" s="1" customFormat="1" x14ac:dyDescent="0.25">
      <c r="A15" s="37" t="s">
        <v>3729</v>
      </c>
      <c r="B15" s="1" t="s">
        <v>3688</v>
      </c>
      <c r="C15" s="1" t="s">
        <v>3688</v>
      </c>
      <c r="D15" s="1" t="s">
        <v>3688</v>
      </c>
      <c r="E15" s="1" t="s">
        <v>3688</v>
      </c>
      <c r="F15" s="1" t="s">
        <v>3688</v>
      </c>
      <c r="G15" s="8"/>
      <c r="H15" s="8"/>
      <c r="I15" s="8"/>
      <c r="J15" s="8"/>
      <c r="K15" s="8"/>
    </row>
    <row r="16" spans="1:11" s="1" customFormat="1" x14ac:dyDescent="0.25">
      <c r="A16" s="2" t="s">
        <v>3669</v>
      </c>
      <c r="B16" s="1" t="s">
        <v>3683</v>
      </c>
      <c r="C16" s="1" t="s">
        <v>3683</v>
      </c>
      <c r="D16" s="1" t="s">
        <v>3683</v>
      </c>
      <c r="E16" s="1" t="s">
        <v>3683</v>
      </c>
      <c r="F16" s="1" t="s">
        <v>3683</v>
      </c>
      <c r="G16" s="8"/>
      <c r="H16" s="8"/>
      <c r="I16" s="8"/>
      <c r="J16" s="8"/>
      <c r="K16" s="8"/>
    </row>
    <row r="17" spans="1:11" s="1" customFormat="1" x14ac:dyDescent="0.25">
      <c r="A17" s="37" t="s">
        <v>3670</v>
      </c>
      <c r="B17" s="3" t="s">
        <v>3689</v>
      </c>
      <c r="C17" s="3" t="s">
        <v>3689</v>
      </c>
      <c r="D17" s="3" t="s">
        <v>3689</v>
      </c>
      <c r="E17" s="3" t="s">
        <v>3689</v>
      </c>
      <c r="F17" s="3" t="s">
        <v>3689</v>
      </c>
      <c r="G17" s="8"/>
      <c r="H17" s="8"/>
      <c r="I17" s="8"/>
      <c r="J17" s="8"/>
      <c r="K17" s="8"/>
    </row>
    <row r="18" spans="1:11" s="1" customFormat="1" x14ac:dyDescent="0.25">
      <c r="A18" s="2" t="s">
        <v>3671</v>
      </c>
      <c r="G18" s="8"/>
      <c r="H18" s="8"/>
      <c r="I18" s="8"/>
      <c r="J18" s="8"/>
      <c r="K18" s="8"/>
    </row>
    <row r="19" spans="1:11" s="1" customFormat="1" x14ac:dyDescent="0.25">
      <c r="A19" s="51" t="s">
        <v>43</v>
      </c>
      <c r="B19" s="8" t="s">
        <v>335</v>
      </c>
      <c r="C19" s="8" t="s">
        <v>335</v>
      </c>
      <c r="D19" s="8" t="s">
        <v>335</v>
      </c>
      <c r="E19" s="8" t="s">
        <v>335</v>
      </c>
      <c r="F19" s="8" t="s">
        <v>335</v>
      </c>
      <c r="G19" s="8"/>
      <c r="H19" s="8"/>
      <c r="I19" s="8"/>
      <c r="J19" s="8"/>
      <c r="K19" s="8"/>
    </row>
    <row r="20" spans="1:11" s="1" customFormat="1" x14ac:dyDescent="0.25">
      <c r="A20" s="2" t="s">
        <v>3673</v>
      </c>
      <c r="B20" s="52" t="s">
        <v>3690</v>
      </c>
      <c r="C20" s="52" t="s">
        <v>3690</v>
      </c>
      <c r="D20" s="52" t="s">
        <v>3690</v>
      </c>
      <c r="E20" s="52" t="s">
        <v>3690</v>
      </c>
      <c r="F20" s="52" t="s">
        <v>3690</v>
      </c>
      <c r="G20" s="8"/>
      <c r="H20" s="8"/>
      <c r="I20" s="8"/>
      <c r="J20" s="8"/>
      <c r="K20" s="8"/>
    </row>
    <row r="21" spans="1:11" s="1" customFormat="1" x14ac:dyDescent="0.25">
      <c r="A21" s="37" t="s">
        <v>3674</v>
      </c>
      <c r="B21" s="1" t="s">
        <v>3686</v>
      </c>
      <c r="C21" s="1" t="s">
        <v>3686</v>
      </c>
      <c r="D21" s="1" t="s">
        <v>3686</v>
      </c>
      <c r="E21" s="1" t="s">
        <v>3686</v>
      </c>
      <c r="F21" s="1" t="s">
        <v>3686</v>
      </c>
      <c r="G21" s="8"/>
      <c r="H21" s="8"/>
      <c r="I21" s="8"/>
      <c r="J21" s="8"/>
      <c r="K21" s="8"/>
    </row>
    <row r="22" spans="1:11" s="1" customFormat="1" x14ac:dyDescent="0.25">
      <c r="A22" s="2" t="s">
        <v>3675</v>
      </c>
      <c r="B22" s="1" t="s">
        <v>3691</v>
      </c>
      <c r="C22" s="1" t="s">
        <v>3691</v>
      </c>
      <c r="D22" s="1" t="s">
        <v>3691</v>
      </c>
      <c r="E22" s="1" t="s">
        <v>3691</v>
      </c>
      <c r="F22" s="1" t="s">
        <v>3691</v>
      </c>
      <c r="G22" s="8"/>
      <c r="H22" s="8"/>
      <c r="I22" s="8"/>
      <c r="J22" s="8"/>
      <c r="K22" s="8"/>
    </row>
    <row r="23" spans="1:11" s="1" customFormat="1" x14ac:dyDescent="0.25">
      <c r="A23" s="2" t="s">
        <v>3676</v>
      </c>
      <c r="B23" s="3" t="s">
        <v>3693</v>
      </c>
      <c r="C23" s="3" t="s">
        <v>3693</v>
      </c>
      <c r="D23" s="3" t="s">
        <v>3693</v>
      </c>
      <c r="E23" s="3" t="s">
        <v>3693</v>
      </c>
      <c r="F23" s="3" t="s">
        <v>3693</v>
      </c>
      <c r="G23" s="8"/>
      <c r="H23" s="8"/>
      <c r="I23" s="8"/>
      <c r="J23" s="8"/>
      <c r="K23" s="8"/>
    </row>
    <row r="24" spans="1:11" s="1" customFormat="1" x14ac:dyDescent="0.25">
      <c r="A24" s="37" t="s">
        <v>3672</v>
      </c>
      <c r="B24" s="3" t="s">
        <v>3692</v>
      </c>
      <c r="C24" s="3" t="s">
        <v>3692</v>
      </c>
      <c r="D24" s="3" t="s">
        <v>3692</v>
      </c>
      <c r="E24" s="3" t="s">
        <v>3692</v>
      </c>
      <c r="F24" s="3" t="s">
        <v>3692</v>
      </c>
      <c r="G24" s="8"/>
      <c r="H24" s="8"/>
      <c r="I24" s="8"/>
      <c r="J24" s="8"/>
      <c r="K24" s="8"/>
    </row>
    <row r="25" spans="1:11" s="1" customFormat="1" x14ac:dyDescent="0.25">
      <c r="A25" s="2" t="s">
        <v>3677</v>
      </c>
      <c r="G25" s="8"/>
      <c r="H25" s="8"/>
      <c r="I25" s="8"/>
      <c r="J25" s="8"/>
      <c r="K25" s="8"/>
    </row>
    <row r="26" spans="1:11" s="1" customFormat="1" x14ac:dyDescent="0.25">
      <c r="A26" s="2" t="s">
        <v>14</v>
      </c>
      <c r="G26" s="2"/>
      <c r="H26" s="2"/>
      <c r="I26" s="2"/>
      <c r="J26" s="2"/>
      <c r="K26" s="2"/>
    </row>
    <row r="27" spans="1:11" s="1" customFormat="1" x14ac:dyDescent="0.25">
      <c r="A27" s="2" t="s">
        <v>15</v>
      </c>
      <c r="B27" s="1" t="s">
        <v>3694</v>
      </c>
      <c r="C27" s="1" t="s">
        <v>3694</v>
      </c>
      <c r="D27" s="1" t="s">
        <v>3694</v>
      </c>
      <c r="E27" s="1" t="s">
        <v>3694</v>
      </c>
      <c r="F27" s="1" t="s">
        <v>3694</v>
      </c>
    </row>
    <row r="28" spans="1:11" s="1" customFormat="1" x14ac:dyDescent="0.25">
      <c r="A28" s="2" t="s">
        <v>19</v>
      </c>
      <c r="B28" s="2">
        <v>23</v>
      </c>
      <c r="C28" s="2">
        <v>23</v>
      </c>
      <c r="D28" s="2">
        <v>23</v>
      </c>
      <c r="E28" s="2">
        <v>23</v>
      </c>
      <c r="F28" s="2">
        <v>23</v>
      </c>
    </row>
    <row r="29" spans="1:11" s="1" customFormat="1" x14ac:dyDescent="0.25">
      <c r="A29" s="2" t="s">
        <v>20</v>
      </c>
      <c r="B29" s="2">
        <v>22</v>
      </c>
      <c r="C29" s="2">
        <v>22</v>
      </c>
      <c r="D29" s="2">
        <v>22</v>
      </c>
      <c r="E29" s="2">
        <v>22</v>
      </c>
      <c r="F29" s="2">
        <v>22</v>
      </c>
    </row>
    <row r="30" spans="1:11" s="1" customFormat="1" x14ac:dyDescent="0.25">
      <c r="A30" s="2" t="s">
        <v>21</v>
      </c>
      <c r="B30" s="2">
        <v>11530</v>
      </c>
      <c r="C30" s="2">
        <v>11530</v>
      </c>
      <c r="D30" s="2">
        <v>11530</v>
      </c>
      <c r="E30" s="2">
        <v>11530</v>
      </c>
      <c r="F30" s="2">
        <v>11530</v>
      </c>
    </row>
    <row r="31" spans="1:11" s="1" customFormat="1" x14ac:dyDescent="0.25">
      <c r="A31" s="2" t="s">
        <v>24</v>
      </c>
      <c r="B31" s="2" t="s">
        <v>3695</v>
      </c>
      <c r="C31" s="2" t="s">
        <v>3695</v>
      </c>
      <c r="D31" s="2" t="s">
        <v>3695</v>
      </c>
      <c r="E31" s="2" t="s">
        <v>3695</v>
      </c>
      <c r="F31" s="2" t="s">
        <v>3695</v>
      </c>
    </row>
    <row r="32" spans="1:11" s="1" customFormat="1" x14ac:dyDescent="0.25">
      <c r="A32" s="2" t="s">
        <v>22</v>
      </c>
      <c r="B32" s="2" t="s">
        <v>3695</v>
      </c>
      <c r="C32" s="2" t="s">
        <v>3695</v>
      </c>
      <c r="D32" s="2" t="s">
        <v>3695</v>
      </c>
      <c r="E32" s="2" t="s">
        <v>3695</v>
      </c>
      <c r="F32" s="2" t="s">
        <v>3695</v>
      </c>
    </row>
    <row r="33" spans="1:6" s="1" customFormat="1" x14ac:dyDescent="0.25">
      <c r="A33" s="2" t="s">
        <v>25</v>
      </c>
      <c r="B33" s="2" t="s">
        <v>3696</v>
      </c>
      <c r="C33" s="2" t="s">
        <v>3696</v>
      </c>
      <c r="D33" s="2" t="s">
        <v>3696</v>
      </c>
      <c r="E33" s="2" t="s">
        <v>3696</v>
      </c>
      <c r="F33" s="2" t="s">
        <v>3696</v>
      </c>
    </row>
    <row r="34" spans="1:6" s="1" customFormat="1" x14ac:dyDescent="0.25">
      <c r="A34" s="2" t="s">
        <v>251</v>
      </c>
      <c r="B34" s="2"/>
      <c r="C34" s="2"/>
      <c r="D34" s="2"/>
      <c r="E34" s="2"/>
      <c r="F34" s="2"/>
    </row>
    <row r="35" spans="1:6" s="1" customFormat="1" x14ac:dyDescent="0.25">
      <c r="A35" s="2" t="s">
        <v>252</v>
      </c>
      <c r="B35" s="2"/>
      <c r="C35" s="2"/>
      <c r="D35" s="2"/>
      <c r="E35" s="2"/>
      <c r="F35" s="2"/>
    </row>
    <row r="36" spans="1:6" s="1" customFormat="1" x14ac:dyDescent="0.25">
      <c r="A36" s="2" t="s">
        <v>253</v>
      </c>
      <c r="B36" s="2"/>
      <c r="C36" s="2"/>
      <c r="D36" s="2"/>
      <c r="E36" s="2"/>
      <c r="F36" s="2"/>
    </row>
    <row r="37" spans="1:6" s="1" customFormat="1" x14ac:dyDescent="0.25">
      <c r="A37" s="2" t="s">
        <v>254</v>
      </c>
    </row>
    <row r="38" spans="1:6" s="1" customFormat="1" x14ac:dyDescent="0.25">
      <c r="A38" s="2" t="s">
        <v>255</v>
      </c>
    </row>
    <row r="39" spans="1:6" s="1" customFormat="1" x14ac:dyDescent="0.25">
      <c r="A39" s="2" t="s">
        <v>256</v>
      </c>
    </row>
    <row r="40" spans="1:6" s="1" customFormat="1" x14ac:dyDescent="0.25">
      <c r="A40" s="1" t="s">
        <v>257</v>
      </c>
      <c r="B40" s="2"/>
      <c r="C40" s="2"/>
      <c r="D40" s="2"/>
      <c r="E40" s="2"/>
      <c r="F40" s="2"/>
    </row>
    <row r="41" spans="1:6" s="1" customFormat="1" x14ac:dyDescent="0.25">
      <c r="A41" s="1" t="s">
        <v>258</v>
      </c>
      <c r="B41" s="2"/>
      <c r="C41" s="2"/>
      <c r="D41" s="2"/>
      <c r="E41" s="2"/>
      <c r="F41" s="2"/>
    </row>
    <row r="42" spans="1:6" s="1" customFormat="1" x14ac:dyDescent="0.25">
      <c r="A42" s="1" t="s">
        <v>259</v>
      </c>
      <c r="B42" s="2"/>
      <c r="C42" s="2"/>
      <c r="D42" s="2"/>
      <c r="E42" s="2"/>
      <c r="F42" s="2"/>
    </row>
  </sheetData>
  <conditionalFormatting sqref="B27:B39">
    <cfRule type="expression" dxfId="9" priority="8">
      <formula>AND(B$13&lt;&gt;"",B$13&lt;&gt;"Copy Address From")</formula>
    </cfRule>
  </conditionalFormatting>
  <conditionalFormatting sqref="B16">
    <cfRule type="expression" dxfId="8" priority="7">
      <formula>B$13="LookUp"</formula>
    </cfRule>
  </conditionalFormatting>
  <conditionalFormatting sqref="C27:C39">
    <cfRule type="expression" dxfId="7" priority="6">
      <formula>AND(C$13&lt;&gt;"",C$13&lt;&gt;"Copy Address From")</formula>
    </cfRule>
  </conditionalFormatting>
  <conditionalFormatting sqref="C16">
    <cfRule type="expression" dxfId="6" priority="5">
      <formula>C$13="LookUp"</formula>
    </cfRule>
  </conditionalFormatting>
  <conditionalFormatting sqref="D27:D39">
    <cfRule type="expression" dxfId="5" priority="4">
      <formula>AND(D$13&lt;&gt;"",D$13&lt;&gt;"Copy Address From")</formula>
    </cfRule>
  </conditionalFormatting>
  <conditionalFormatting sqref="D16">
    <cfRule type="expression" dxfId="4" priority="3">
      <formula>D$13="LookUp"</formula>
    </cfRule>
  </conditionalFormatting>
  <conditionalFormatting sqref="E27:F39">
    <cfRule type="expression" dxfId="3" priority="2">
      <formula>AND(E$13&lt;&gt;"",E$13&lt;&gt;"Copy Address From")</formula>
    </cfRule>
  </conditionalFormatting>
  <conditionalFormatting sqref="E16:F16">
    <cfRule type="expression" dxfId="2" priority="1">
      <formula>E$13="LookUp"</formula>
    </cfRule>
  </conditionalFormatting>
  <dataValidations count="9">
    <dataValidation type="list" showInputMessage="1" showErrorMessage="1" sqref="G14:K14">
      <formula1>"AKTA, CAT CAT, CAT IS A CAT, DESCRIPTION FOR AAA, DESCRIPTION FOR ASA, DESCRIPTION FOR KTP, E-KTP, KITAS, NPWP, SIM"</formula1>
    </dataValidation>
    <dataValidation type="custom" errorStyle="information" allowBlank="1" showInputMessage="1" showErrorMessage="1" sqref="B27:F27">
      <formula1>ISBLANK(B$26)</formula1>
    </dataValidation>
    <dataValidation type="list" errorStyle="information" allowBlank="1" showInputMessage="1" showErrorMessage="1" sqref="B19:F19">
      <formula1>ListCusRel</formula1>
    </dataValidation>
    <dataValidation type="custom" allowBlank="1" showInputMessage="1" showErrorMessage="1" sqref="B34:F39">
      <formula1>ISBLANK(B$13)</formula1>
    </dataValidation>
    <dataValidation type="list" errorStyle="information" allowBlank="1" showInputMessage="1" showErrorMessage="1" sqref="B12:F12">
      <formula1>"Input Data, LookUp"</formula1>
    </dataValidation>
    <dataValidation type="list" errorStyle="information" showInputMessage="1" showErrorMessage="1" sqref="B16:F16">
      <formula1>ListIdType</formula1>
    </dataValidation>
    <dataValidation errorStyle="information" allowBlank="1" showInputMessage="1" showErrorMessage="1" sqref="B17:F18 B20:F24"/>
    <dataValidation type="list" errorStyle="information" allowBlank="1" showInputMessage="1" showErrorMessage="1" sqref="B26:F26">
      <formula1>"Job, Legal, Residence"</formula1>
    </dataValidation>
    <dataValidation type="custom" errorStyle="information" allowBlank="1" showInputMessage="1" showErrorMessage="1" sqref="B28:F33">
      <formula1>ISBLANK(B$13)</formula1>
    </dataValidation>
  </dataValidations>
  <hyperlinks>
    <hyperlink ref="B20" r:id="rId1"/>
    <hyperlink ref="C20" r:id="rId2"/>
    <hyperlink ref="D20" r:id="rId3"/>
    <hyperlink ref="E20" r:id="rId4"/>
    <hyperlink ref="F20" r:id="rId5"/>
  </hyperlinks>
  <pageMargins left="0.7" right="0.7" top="0.75" bottom="0.75" header="0.3" footer="0.3"/>
  <pageSetup paperSize="9" orientation="portrait"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opLeftCell="A22" workbookViewId="0">
      <selection activeCell="F1" sqref="F1:F1048576"/>
    </sheetView>
  </sheetViews>
  <sheetFormatPr defaultRowHeight="15" x14ac:dyDescent="0.25"/>
  <cols>
    <col min="1" max="1" width="22" bestFit="1" customWidth="1" collapsed="1"/>
    <col min="2" max="4" width="19.85546875" bestFit="1" customWidth="1" collapsed="1"/>
    <col min="5" max="5" width="20" customWidth="1" collapsed="1"/>
    <col min="6" max="6" width="19.85546875" bestFit="1" customWidth="1" collapsed="1"/>
  </cols>
  <sheetData>
    <row r="1" spans="1:11" s="1" customFormat="1" x14ac:dyDescent="0.25">
      <c r="A1" s="1" t="s">
        <v>12</v>
      </c>
      <c r="B1" s="1" t="s">
        <v>2851</v>
      </c>
      <c r="C1" s="1" t="s">
        <v>2851</v>
      </c>
      <c r="D1" s="1" t="s">
        <v>2851</v>
      </c>
      <c r="E1" s="1" t="s">
        <v>2851</v>
      </c>
      <c r="F1" s="1" t="s">
        <v>2851</v>
      </c>
    </row>
    <row r="2" spans="1:11" s="1" customFormat="1" x14ac:dyDescent="0.25">
      <c r="A2" s="1" t="s">
        <v>3698</v>
      </c>
      <c r="B2" s="1" t="s">
        <v>3794</v>
      </c>
      <c r="C2" s="1" t="s">
        <v>3794</v>
      </c>
      <c r="D2" s="1" t="s">
        <v>3794</v>
      </c>
      <c r="E2" s="1" t="s">
        <v>3794</v>
      </c>
      <c r="F2" s="1" t="s">
        <v>3794</v>
      </c>
    </row>
    <row r="3" spans="1:11" s="1" customFormat="1" x14ac:dyDescent="0.25">
      <c r="A3" s="1" t="s">
        <v>3699</v>
      </c>
      <c r="B3" s="1" t="str">
        <f>'1.CustomerDetail'!B3</f>
        <v>LOS-012</v>
      </c>
      <c r="C3" s="1" t="str">
        <f>'1.CustomerDetail'!C3</f>
        <v>LOS-013</v>
      </c>
      <c r="D3" s="1" t="str">
        <f>'1.CustomerDetail'!D3</f>
        <v>LOS-014</v>
      </c>
      <c r="E3" s="1" t="str">
        <f>'1.CustomerDetail'!E3</f>
        <v>LOS-015</v>
      </c>
      <c r="F3" s="1" t="str">
        <f>'1.CustomerDetail'!F3</f>
        <v>LOS-016</v>
      </c>
    </row>
    <row r="4" spans="1:11" s="1" customFormat="1" x14ac:dyDescent="0.25">
      <c r="A4" s="1" t="s">
        <v>3712</v>
      </c>
      <c r="B4" s="1">
        <f>IF(LEN(B12) &gt;0,COUNTIFS($A$12:$A$21,"*$*",B12:B21,""),0)+IF(LEN(B24)&gt;0,COUNTIFS($A$23:$A$30,"*$*",B23:B30,""),0)</f>
        <v>0</v>
      </c>
      <c r="C4" s="1">
        <f>IF(LEN(C12) &gt;0,COUNTIFS($A$12:$A$21,"*$*",C12:C21,""),0)+IF(LEN(C24)&gt;0,COUNTIFS($A$23:$A$30,"*$*",C23:C30,""),0)</f>
        <v>0</v>
      </c>
      <c r="D4" s="1">
        <f>IF(LEN(D12) &gt;0,COUNTIFS($A$12:$A$21,"*$*",D12:D21,""),0)+IF(LEN(D24)&gt;0,COUNTIFS($A$23:$A$30,"*$*",D23:D30,""),0)</f>
        <v>0</v>
      </c>
      <c r="E4" s="1">
        <f>IF(LEN(E12) &gt;0,COUNTIFS($A$12:$A$21,"*$*",E12:E21,""),0)+IF(LEN(E24)&gt;0,COUNTIFS($A$23:$A$30,"*$*",E23:E30,""),0)</f>
        <v>0</v>
      </c>
      <c r="F4" s="1">
        <f>IF(LEN(F12) &gt;0,COUNTIFS($A$12:$A$21,"*$*",F12:F21,""),0)+IF(LEN(F24)&gt;0,COUNTIFS($A$23:$A$30,"*$*",F23:F30,""),0)</f>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3774</v>
      </c>
      <c r="B9" s="1" t="str">
        <f>'1.CustomerDetail'!B12</f>
        <v>app12</v>
      </c>
      <c r="C9" s="1" t="str">
        <f>'1.CustomerDetail'!C12</f>
        <v>app13</v>
      </c>
      <c r="D9" s="1" t="str">
        <f>'1.CustomerDetail'!D12</f>
        <v>app14</v>
      </c>
      <c r="E9" s="1" t="str">
        <f>'1.CustomerDetail'!E12</f>
        <v>app15</v>
      </c>
      <c r="F9" s="1" t="str">
        <f>'1.CustomerDetail'!F12</f>
        <v>app16</v>
      </c>
    </row>
    <row r="10" spans="1:11" s="1" customFormat="1" x14ac:dyDescent="0.25">
      <c r="A10" s="1" t="s">
        <v>3771</v>
      </c>
      <c r="B10" s="1" t="str">
        <f>'1.CustomerDetail'!B13</f>
        <v>FT ANDI</v>
      </c>
      <c r="C10" s="1" t="str">
        <f>'1.CustomerDetail'!C13</f>
        <v>FT SURYA</v>
      </c>
      <c r="D10" s="1" t="str">
        <f>'1.CustomerDetail'!D13</f>
        <v>JOKO</v>
      </c>
      <c r="E10" s="1" t="str">
        <f>'1.CustomerDetail'!E13</f>
        <v>hendry</v>
      </c>
      <c r="F10" s="1" t="str">
        <f>'1.CustomerDetail'!F13</f>
        <v>FT ANDI</v>
      </c>
    </row>
    <row r="11" spans="1:11" s="56" customFormat="1" x14ac:dyDescent="0.25">
      <c r="A11" s="57" t="s">
        <v>3127</v>
      </c>
      <c r="B11" s="58"/>
      <c r="C11" s="58"/>
      <c r="D11" s="58"/>
      <c r="E11" s="58"/>
      <c r="F11" s="58"/>
      <c r="G11" s="58"/>
      <c r="H11" s="58"/>
      <c r="I11" s="58"/>
      <c r="J11" s="58"/>
      <c r="K11" s="59"/>
    </row>
    <row r="12" spans="1:11" s="1" customFormat="1" x14ac:dyDescent="0.25">
      <c r="A12" s="37" t="s">
        <v>3730</v>
      </c>
      <c r="B12" s="44">
        <v>5000000000</v>
      </c>
      <c r="C12" s="44">
        <v>5000000000</v>
      </c>
      <c r="D12" s="44">
        <v>5000000000</v>
      </c>
      <c r="E12" s="44">
        <v>5000000000</v>
      </c>
      <c r="F12" s="44">
        <v>5000000000</v>
      </c>
      <c r="G12" s="8"/>
      <c r="H12" s="8"/>
      <c r="I12" s="8"/>
      <c r="J12" s="8"/>
      <c r="K12" s="8"/>
    </row>
    <row r="13" spans="1:11" s="1" customFormat="1" x14ac:dyDescent="0.25">
      <c r="A13" s="1" t="s">
        <v>46</v>
      </c>
      <c r="B13" s="44">
        <v>5000000000</v>
      </c>
      <c r="C13" s="44">
        <v>5000000000</v>
      </c>
      <c r="D13" s="44">
        <v>5000000000</v>
      </c>
      <c r="E13" s="44">
        <v>5000000000</v>
      </c>
      <c r="F13" s="44">
        <v>5000000000</v>
      </c>
      <c r="G13" s="8"/>
      <c r="H13" s="8"/>
      <c r="I13" s="8"/>
      <c r="J13" s="8"/>
      <c r="K13" s="8"/>
    </row>
    <row r="14" spans="1:11" s="1" customFormat="1" x14ac:dyDescent="0.25">
      <c r="A14" s="1" t="s">
        <v>47</v>
      </c>
      <c r="B14" s="2" t="s">
        <v>48</v>
      </c>
      <c r="C14" s="2" t="s">
        <v>48</v>
      </c>
      <c r="D14" s="2" t="s">
        <v>48</v>
      </c>
      <c r="E14" s="2" t="s">
        <v>48</v>
      </c>
      <c r="F14" s="2" t="s">
        <v>48</v>
      </c>
      <c r="G14" s="2"/>
      <c r="H14" s="2"/>
      <c r="I14" s="2"/>
      <c r="J14" s="2"/>
      <c r="K14" s="2"/>
    </row>
    <row r="15" spans="1:11" s="1" customFormat="1" x14ac:dyDescent="0.25">
      <c r="A15" s="1" t="s">
        <v>49</v>
      </c>
      <c r="B15" s="43">
        <v>15000000</v>
      </c>
      <c r="C15" s="43">
        <v>15000000</v>
      </c>
      <c r="D15" s="43">
        <v>15000000</v>
      </c>
      <c r="E15" s="43">
        <v>15000000</v>
      </c>
      <c r="F15" s="43">
        <v>15000000</v>
      </c>
      <c r="G15" s="2"/>
      <c r="H15" s="2"/>
      <c r="I15" s="2"/>
      <c r="J15" s="2"/>
      <c r="K15" s="2"/>
    </row>
    <row r="16" spans="1:11" s="1" customFormat="1" x14ac:dyDescent="0.25">
      <c r="A16" s="1" t="s">
        <v>50</v>
      </c>
      <c r="B16" s="43">
        <v>15000000</v>
      </c>
      <c r="C16" s="43">
        <v>15000000</v>
      </c>
      <c r="D16" s="43">
        <v>15000000</v>
      </c>
      <c r="E16" s="43">
        <v>15000000</v>
      </c>
      <c r="F16" s="43">
        <v>15000000</v>
      </c>
      <c r="G16" s="2"/>
      <c r="H16" s="2"/>
      <c r="I16" s="2"/>
      <c r="J16" s="2"/>
      <c r="K16" s="2"/>
    </row>
    <row r="17" spans="1:11" s="1" customFormat="1" x14ac:dyDescent="0.25">
      <c r="A17" s="37" t="s">
        <v>3731</v>
      </c>
      <c r="B17" s="41" t="s">
        <v>3664</v>
      </c>
      <c r="C17" s="41" t="s">
        <v>3664</v>
      </c>
      <c r="D17" s="41" t="s">
        <v>3664</v>
      </c>
      <c r="E17" s="41" t="s">
        <v>3664</v>
      </c>
      <c r="F17" s="41" t="s">
        <v>3664</v>
      </c>
      <c r="G17" s="8"/>
      <c r="H17" s="8"/>
      <c r="I17" s="8"/>
      <c r="J17" s="8"/>
      <c r="K17" s="8"/>
    </row>
    <row r="18" spans="1:11" s="1" customFormat="1" x14ac:dyDescent="0.25">
      <c r="A18" s="2" t="s">
        <v>3639</v>
      </c>
      <c r="B18" s="44"/>
      <c r="C18" s="44"/>
      <c r="D18" s="44"/>
      <c r="E18" s="44"/>
      <c r="F18" s="44"/>
      <c r="G18" s="8"/>
      <c r="H18" s="8"/>
      <c r="I18" s="8"/>
      <c r="J18" s="8"/>
      <c r="K18" s="8"/>
    </row>
    <row r="19" spans="1:11" s="49" customFormat="1" x14ac:dyDescent="0.25">
      <c r="A19" s="20" t="s">
        <v>3640</v>
      </c>
      <c r="B19" s="48"/>
      <c r="C19" s="48"/>
      <c r="D19" s="48"/>
      <c r="E19" s="48"/>
      <c r="F19" s="48"/>
      <c r="G19" s="48"/>
      <c r="H19" s="48"/>
      <c r="I19" s="48"/>
      <c r="J19" s="48"/>
      <c r="K19" s="48"/>
    </row>
    <row r="20" spans="1:11" s="57" customFormat="1" x14ac:dyDescent="0.25">
      <c r="A20" s="57" t="s">
        <v>3128</v>
      </c>
      <c r="B20" s="58"/>
      <c r="C20" s="58"/>
      <c r="D20" s="58"/>
      <c r="E20" s="58"/>
      <c r="F20" s="58"/>
      <c r="G20" s="58"/>
      <c r="H20" s="58"/>
      <c r="I20" s="58"/>
      <c r="J20" s="58"/>
      <c r="K20" s="58"/>
    </row>
    <row r="21" spans="1:11" s="1" customFormat="1" x14ac:dyDescent="0.25">
      <c r="A21" s="1" t="s">
        <v>51</v>
      </c>
      <c r="B21" s="43">
        <v>100000000000</v>
      </c>
      <c r="C21" s="43">
        <v>100000000000</v>
      </c>
      <c r="D21" s="43">
        <v>100000000000</v>
      </c>
      <c r="E21" s="43">
        <v>100000000000</v>
      </c>
      <c r="F21" s="43">
        <v>100000000000</v>
      </c>
      <c r="G21" s="2"/>
      <c r="H21" s="2"/>
      <c r="I21" s="2"/>
      <c r="J21" s="2"/>
      <c r="K21" s="2"/>
    </row>
    <row r="22" spans="1:11" s="56" customFormat="1" x14ac:dyDescent="0.25">
      <c r="A22" s="57" t="s">
        <v>3129</v>
      </c>
      <c r="B22" s="58"/>
      <c r="C22" s="58"/>
      <c r="D22" s="58"/>
      <c r="E22" s="58"/>
      <c r="F22" s="58"/>
      <c r="G22" s="58"/>
      <c r="H22" s="58"/>
      <c r="I22" s="58"/>
      <c r="J22" s="58"/>
      <c r="K22" s="59"/>
    </row>
    <row r="23" spans="1:11" s="1" customFormat="1" x14ac:dyDescent="0.25">
      <c r="A23" s="38" t="s">
        <v>52</v>
      </c>
      <c r="B23" s="3" t="str">
        <f>VLOOKUP(B24,Master!$J$1:$K$206,2,FALSE)</f>
        <v>002</v>
      </c>
      <c r="C23" s="3" t="str">
        <f>VLOOKUP(C24,Master!$J$1:$K$206,2,FALSE)</f>
        <v>002</v>
      </c>
      <c r="D23" s="3" t="str">
        <f>VLOOKUP(D24,Master!$J$1:$K$206,2,FALSE)</f>
        <v>002</v>
      </c>
      <c r="E23" s="3" t="str">
        <f>VLOOKUP(E24,Master!$J$1:$K$206,2,FALSE)</f>
        <v>002</v>
      </c>
      <c r="F23" s="3" t="str">
        <f>VLOOKUP(F24,Master!$J$1:$K$206,2,FALSE)</f>
        <v>002</v>
      </c>
      <c r="G23" s="3"/>
      <c r="H23" s="3"/>
      <c r="I23" s="3"/>
      <c r="J23" s="3"/>
      <c r="K23" s="3"/>
    </row>
    <row r="24" spans="1:11" s="1" customFormat="1" x14ac:dyDescent="0.25">
      <c r="A24" s="36" t="s">
        <v>3778</v>
      </c>
      <c r="B24" s="3" t="s">
        <v>342</v>
      </c>
      <c r="C24" s="3" t="s">
        <v>342</v>
      </c>
      <c r="D24" s="3" t="s">
        <v>342</v>
      </c>
      <c r="E24" s="3" t="s">
        <v>342</v>
      </c>
      <c r="F24" s="3" t="s">
        <v>342</v>
      </c>
      <c r="G24" s="3"/>
      <c r="H24" s="3"/>
      <c r="I24" s="3"/>
      <c r="J24" s="3"/>
      <c r="K24" s="3"/>
    </row>
    <row r="25" spans="1:11" s="1" customFormat="1" x14ac:dyDescent="0.25">
      <c r="A25" s="36" t="s">
        <v>3779</v>
      </c>
      <c r="B25" s="1" t="s">
        <v>3775</v>
      </c>
      <c r="C25" s="1" t="s">
        <v>3775</v>
      </c>
      <c r="D25" s="1" t="s">
        <v>3775</v>
      </c>
      <c r="E25" s="1" t="s">
        <v>3775</v>
      </c>
      <c r="F25" s="1" t="s">
        <v>3775</v>
      </c>
    </row>
    <row r="26" spans="1:11" s="1" customFormat="1" x14ac:dyDescent="0.25">
      <c r="A26" s="36" t="s">
        <v>3780</v>
      </c>
      <c r="B26" s="1" t="s">
        <v>3776</v>
      </c>
      <c r="C26" s="1" t="s">
        <v>3776</v>
      </c>
      <c r="D26" s="1" t="s">
        <v>3776</v>
      </c>
      <c r="E26" s="1" t="s">
        <v>3776</v>
      </c>
      <c r="F26" s="1" t="s">
        <v>3776</v>
      </c>
    </row>
    <row r="27" spans="1:11" s="1" customFormat="1" x14ac:dyDescent="0.25">
      <c r="A27" s="36" t="s">
        <v>3781</v>
      </c>
      <c r="B27" s="8" t="s">
        <v>3777</v>
      </c>
      <c r="C27" s="8" t="s">
        <v>3777</v>
      </c>
      <c r="D27" s="8" t="s">
        <v>3777</v>
      </c>
      <c r="E27" s="8" t="s">
        <v>3777</v>
      </c>
      <c r="F27" s="8" t="s">
        <v>3777</v>
      </c>
      <c r="G27" s="8"/>
      <c r="H27" s="8"/>
      <c r="I27" s="8"/>
      <c r="J27" s="8"/>
      <c r="K27" s="8"/>
    </row>
    <row r="28" spans="1:11" s="1" customFormat="1" x14ac:dyDescent="0.25">
      <c r="A28" s="1" t="s">
        <v>54</v>
      </c>
      <c r="B28" s="1" t="s">
        <v>6</v>
      </c>
      <c r="C28" s="1" t="s">
        <v>6</v>
      </c>
      <c r="D28" s="1" t="s">
        <v>6</v>
      </c>
      <c r="E28" s="1" t="s">
        <v>6</v>
      </c>
      <c r="F28" s="1" t="s">
        <v>6</v>
      </c>
    </row>
    <row r="29" spans="1:11" s="1" customFormat="1" x14ac:dyDescent="0.25">
      <c r="A29" s="1" t="s">
        <v>55</v>
      </c>
      <c r="B29" s="1" t="s">
        <v>6</v>
      </c>
      <c r="C29" s="1" t="s">
        <v>6</v>
      </c>
      <c r="D29" s="1" t="s">
        <v>6</v>
      </c>
      <c r="E29" s="1" t="s">
        <v>6</v>
      </c>
      <c r="F29" s="1" t="s">
        <v>6</v>
      </c>
    </row>
    <row r="30" spans="1:11" s="1" customFormat="1" x14ac:dyDescent="0.25">
      <c r="A30" s="36" t="s">
        <v>3782</v>
      </c>
      <c r="B30" s="16">
        <v>2500000</v>
      </c>
      <c r="C30" s="16">
        <v>2500000</v>
      </c>
      <c r="D30" s="16">
        <v>2500000</v>
      </c>
      <c r="E30" s="16">
        <v>2500000</v>
      </c>
      <c r="F30" s="16">
        <v>2500000</v>
      </c>
    </row>
    <row r="31" spans="1:11" s="1" customFormat="1" x14ac:dyDescent="0.25">
      <c r="A31" s="36" t="s">
        <v>3783</v>
      </c>
      <c r="B31" s="1" t="s">
        <v>3784</v>
      </c>
      <c r="C31" s="1" t="s">
        <v>3784</v>
      </c>
      <c r="D31" s="1" t="s">
        <v>3784</v>
      </c>
      <c r="E31" s="1" t="s">
        <v>3784</v>
      </c>
      <c r="F31" s="1" t="s">
        <v>3784</v>
      </c>
    </row>
    <row r="32" spans="1:11" s="1" customFormat="1" x14ac:dyDescent="0.25">
      <c r="A32" s="36" t="s">
        <v>3785</v>
      </c>
      <c r="B32" s="1" t="s">
        <v>3786</v>
      </c>
      <c r="C32" s="1" t="s">
        <v>3786</v>
      </c>
      <c r="D32" s="1" t="s">
        <v>3786</v>
      </c>
      <c r="E32" s="1" t="s">
        <v>3786</v>
      </c>
      <c r="F32" s="1" t="s">
        <v>3786</v>
      </c>
    </row>
    <row r="33" spans="1:6" s="1" customFormat="1" x14ac:dyDescent="0.25">
      <c r="A33" s="36" t="s">
        <v>3787</v>
      </c>
      <c r="B33" s="1" t="s">
        <v>3797</v>
      </c>
      <c r="C33" s="1" t="s">
        <v>3797</v>
      </c>
      <c r="D33" s="1" t="s">
        <v>3797</v>
      </c>
      <c r="E33" s="1" t="s">
        <v>3797</v>
      </c>
      <c r="F33" s="1" t="s">
        <v>3797</v>
      </c>
    </row>
    <row r="34" spans="1:6" s="1" customFormat="1" x14ac:dyDescent="0.25">
      <c r="A34" s="36" t="s">
        <v>3788</v>
      </c>
      <c r="B34" s="1" t="s">
        <v>3773</v>
      </c>
      <c r="C34" s="1" t="s">
        <v>3773</v>
      </c>
      <c r="D34" s="1" t="s">
        <v>3773</v>
      </c>
      <c r="E34" s="1" t="s">
        <v>3773</v>
      </c>
      <c r="F34" s="1" t="s">
        <v>3773</v>
      </c>
    </row>
    <row r="35" spans="1:6" s="1" customFormat="1" x14ac:dyDescent="0.25">
      <c r="A35" s="36" t="s">
        <v>3789</v>
      </c>
      <c r="B35" s="1" t="s">
        <v>3797</v>
      </c>
      <c r="C35" s="1" t="s">
        <v>3797</v>
      </c>
      <c r="D35" s="1" t="s">
        <v>3797</v>
      </c>
      <c r="E35" s="1" t="s">
        <v>3797</v>
      </c>
      <c r="F35" s="1" t="s">
        <v>3797</v>
      </c>
    </row>
    <row r="36" spans="1:6" s="1" customFormat="1" x14ac:dyDescent="0.25">
      <c r="A36" s="36" t="s">
        <v>3790</v>
      </c>
      <c r="B36" s="1" t="s">
        <v>3791</v>
      </c>
      <c r="C36" s="1" t="s">
        <v>3791</v>
      </c>
      <c r="D36" s="1" t="s">
        <v>3791</v>
      </c>
      <c r="E36" s="1" t="s">
        <v>3791</v>
      </c>
      <c r="F36" s="1" t="s">
        <v>3791</v>
      </c>
    </row>
  </sheetData>
  <dataValidations count="13">
    <dataValidation type="list" allowBlank="1" showInputMessage="1" showErrorMessage="1" sqref="G28:K30">
      <formula1>"Yes, No"</formula1>
    </dataValidation>
    <dataValidation type="list" allowBlank="1" showInputMessage="1" showErrorMessage="1" sqref="G14:K14">
      <formula1>"Business, Online Shop, Salary, Stock Trading"</formula1>
    </dataValidation>
    <dataValidation type="whole" errorStyle="information" allowBlank="1" showInputMessage="1" showErrorMessage="1" sqref="B13:F13">
      <formula1>0</formula1>
      <formula2>9.99999999999999E+25</formula2>
    </dataValidation>
    <dataValidation type="whole" errorStyle="information" allowBlank="1" showInputMessage="1" showErrorMessage="1" sqref="B16:F16">
      <formula1>0</formula1>
      <formula2>999999999999999000000</formula2>
    </dataValidation>
    <dataValidation type="whole" errorStyle="information" allowBlank="1" showInputMessage="1" showErrorMessage="1" sqref="B21:F21">
      <formula1>0</formula1>
      <formula2>9.99999999999999E+26</formula2>
    </dataValidation>
    <dataValidation type="whole" errorStyle="information" allowBlank="1" showInputMessage="1" showErrorMessage="1" sqref="B30:F30">
      <formula1>0</formula1>
      <formula2>9.99999999999999E+22</formula2>
    </dataValidation>
    <dataValidation type="list" errorStyle="information" allowBlank="1" showInputMessage="1" showErrorMessage="1" sqref="B24:F24">
      <formula1>ListBank</formula1>
    </dataValidation>
    <dataValidation type="whole" errorStyle="information" allowBlank="1" showInputMessage="1" showErrorMessage="1" sqref="B12:F12">
      <formula1>0</formula1>
      <formula2>9.99999999999999E+25</formula2>
    </dataValidation>
    <dataValidation type="list" errorStyle="information" allowBlank="1" showInputMessage="1" showErrorMessage="1" sqref="B14:F14">
      <formula1>"Business, Online Shop, Salary, Stock Trading"</formula1>
    </dataValidation>
    <dataValidation type="list" errorStyle="information" showInputMessage="1" showErrorMessage="1" sqref="B19:F19">
      <formula1>"Yes,No"</formula1>
    </dataValidation>
    <dataValidation type="whole" errorStyle="information" allowBlank="1" showInputMessage="1" showErrorMessage="1" sqref="B15:F15">
      <formula1>0</formula1>
      <formula2>999999999999999000000</formula2>
    </dataValidation>
    <dataValidation errorStyle="information" allowBlank="1" showInputMessage="1" showErrorMessage="1" sqref="B18:F18 B25:F27"/>
    <dataValidation type="list" errorStyle="information" allowBlank="1" showInputMessage="1" showErrorMessage="1" sqref="B28:F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6"/>
  <sheetViews>
    <sheetView workbookViewId="0">
      <selection activeCell="G1" sqref="G1:G1048576"/>
    </sheetView>
  </sheetViews>
  <sheetFormatPr defaultRowHeight="15" x14ac:dyDescent="0.25"/>
  <cols>
    <col min="1" max="1" width="16.140625" bestFit="1" customWidth="1" collapsed="1"/>
    <col min="2" max="7" width="18.140625" bestFit="1" customWidth="1" collapsed="1"/>
  </cols>
  <sheetData>
    <row r="1" spans="1:7" s="1" customFormat="1" x14ac:dyDescent="0.25">
      <c r="A1" s="1" t="s">
        <v>12</v>
      </c>
      <c r="B1" t="s">
        <v>2851</v>
      </c>
      <c r="C1" t="s">
        <v>2851</v>
      </c>
      <c r="D1" t="s">
        <v>2851</v>
      </c>
      <c r="E1" t="s">
        <v>2851</v>
      </c>
      <c r="F1" t="s">
        <v>2851</v>
      </c>
      <c r="G1"/>
    </row>
    <row r="2" spans="1:7" s="1" customFormat="1" x14ac:dyDescent="0.25">
      <c r="A2" s="1" t="s">
        <v>3698</v>
      </c>
      <c r="B2" s="1" t="s">
        <v>3794</v>
      </c>
      <c r="C2" s="1" t="s">
        <v>3794</v>
      </c>
      <c r="D2" s="1" t="s">
        <v>3794</v>
      </c>
      <c r="E2" s="1" t="s">
        <v>3794</v>
      </c>
      <c r="F2" s="1" t="s">
        <v>3794</v>
      </c>
    </row>
    <row r="3" spans="1:7" s="1" customFormat="1" x14ac:dyDescent="0.25">
      <c r="A3" s="1" t="s">
        <v>3699</v>
      </c>
      <c r="B3" s="1" t="str">
        <f>'1.CustomerDetail'!B$3</f>
        <v>LOS-012</v>
      </c>
      <c r="C3" s="1" t="str">
        <f>'1.CustomerDetail'!C$3</f>
        <v>LOS-013</v>
      </c>
      <c r="D3" s="1" t="str">
        <f>'1.CustomerDetail'!D$3</f>
        <v>LOS-014</v>
      </c>
      <c r="E3" s="1" t="str">
        <f>'1.CustomerDetail'!E$3</f>
        <v>LOS-015</v>
      </c>
      <c r="F3" s="1" t="str">
        <f>'1.CustomerDetail'!F$3</f>
        <v>LOS-016</v>
      </c>
    </row>
    <row r="4" spans="1:7" s="1" customFormat="1" x14ac:dyDescent="0.25">
      <c r="A4" s="1" t="s">
        <v>3712</v>
      </c>
      <c r="B4" s="1">
        <f>IF(B12="Yes",COUNTIFS($A$13:$A$16,"*$*",B13:B16,""),0)</f>
        <v>0</v>
      </c>
      <c r="C4" s="1">
        <f t="shared" ref="C4:F4" si="0">IF(C12="Yes",COUNTIFS($A$13:$A$16,"*$*",C13:C16,""),0)</f>
        <v>0</v>
      </c>
      <c r="D4" s="1">
        <f t="shared" si="0"/>
        <v>0</v>
      </c>
      <c r="E4" s="1">
        <f t="shared" si="0"/>
        <v>0</v>
      </c>
      <c r="F4" s="1">
        <f t="shared" si="0"/>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3120</v>
      </c>
      <c r="B10" s="1" t="str">
        <f>'1.CustomerDetail'!B$12</f>
        <v>app12</v>
      </c>
      <c r="C10" s="1" t="str">
        <f>'1.CustomerDetail'!C$12</f>
        <v>app13</v>
      </c>
      <c r="D10" s="1" t="str">
        <f>'1.CustomerDetail'!D$12</f>
        <v>app14</v>
      </c>
      <c r="E10" s="1" t="str">
        <f>'1.CustomerDetail'!E$12</f>
        <v>app15</v>
      </c>
      <c r="F10" s="1" t="str">
        <f>'1.CustomerDetail'!F$12</f>
        <v>app16</v>
      </c>
    </row>
    <row r="11" spans="1:7" s="60" customFormat="1" x14ac:dyDescent="0.25">
      <c r="B11" s="54"/>
      <c r="C11" s="54"/>
      <c r="D11" s="54"/>
      <c r="E11" s="54"/>
      <c r="F11" s="54"/>
      <c r="G11" s="54"/>
    </row>
    <row r="12" spans="1:7" s="2" customFormat="1" x14ac:dyDescent="0.25">
      <c r="A12" s="2" t="s">
        <v>3772</v>
      </c>
      <c r="B12" s="2" t="s">
        <v>6</v>
      </c>
      <c r="C12" s="2" t="s">
        <v>6</v>
      </c>
      <c r="D12" s="2" t="s">
        <v>6</v>
      </c>
      <c r="E12" s="2" t="s">
        <v>6</v>
      </c>
      <c r="F12" s="2" t="s">
        <v>6</v>
      </c>
    </row>
    <row r="13" spans="1:7" s="1" customFormat="1" x14ac:dyDescent="0.25">
      <c r="A13" s="36" t="s">
        <v>3732</v>
      </c>
      <c r="B13" s="1" t="s">
        <v>3793</v>
      </c>
      <c r="C13" s="1" t="s">
        <v>3793</v>
      </c>
      <c r="D13" s="1" t="s">
        <v>3793</v>
      </c>
      <c r="E13" s="1" t="s">
        <v>3793</v>
      </c>
      <c r="F13" s="1" t="s">
        <v>3793</v>
      </c>
    </row>
    <row r="14" spans="1:7" s="1" customFormat="1" x14ac:dyDescent="0.25">
      <c r="A14" s="1" t="s">
        <v>56</v>
      </c>
    </row>
    <row r="15" spans="1:7" s="1" customFormat="1" x14ac:dyDescent="0.25">
      <c r="A15" s="36" t="s">
        <v>3733</v>
      </c>
      <c r="B15" s="43">
        <v>500000000</v>
      </c>
      <c r="C15" s="43">
        <v>500000000</v>
      </c>
      <c r="D15" s="43">
        <v>500000000</v>
      </c>
      <c r="E15" s="43">
        <v>500000000</v>
      </c>
      <c r="F15" s="43">
        <v>500000000</v>
      </c>
      <c r="G15" s="43"/>
    </row>
    <row r="16" spans="1:7" s="1" customFormat="1" x14ac:dyDescent="0.25">
      <c r="A16" s="36" t="s">
        <v>3734</v>
      </c>
      <c r="B16" s="2">
        <v>1</v>
      </c>
      <c r="C16" s="2">
        <v>1</v>
      </c>
      <c r="D16" s="2">
        <v>1</v>
      </c>
      <c r="E16" s="2">
        <v>1</v>
      </c>
      <c r="F16" s="2">
        <v>1</v>
      </c>
      <c r="G16" s="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42"/>
  <sheetViews>
    <sheetView workbookViewId="0">
      <selection activeCell="G5" sqref="G5"/>
    </sheetView>
  </sheetViews>
  <sheetFormatPr defaultRowHeight="15" x14ac:dyDescent="0.25"/>
  <cols>
    <col min="1" max="1" width="35" bestFit="1" customWidth="1" collapsed="1"/>
    <col min="2" max="7" width="19.85546875" style="11" bestFit="1" customWidth="1" collapsed="1"/>
  </cols>
  <sheetData>
    <row r="1" spans="1:7" s="1" customFormat="1" x14ac:dyDescent="0.25">
      <c r="A1" s="1" t="s">
        <v>12</v>
      </c>
      <c r="B1" s="1" t="s">
        <v>2851</v>
      </c>
      <c r="C1" s="1" t="s">
        <v>2851</v>
      </c>
      <c r="D1" s="1" t="s">
        <v>2851</v>
      </c>
      <c r="E1" s="1" t="s">
        <v>2851</v>
      </c>
      <c r="F1" s="1" t="s">
        <v>2851</v>
      </c>
    </row>
    <row r="2" spans="1:7" s="1" customFormat="1" x14ac:dyDescent="0.25">
      <c r="A2" s="1" t="s">
        <v>3698</v>
      </c>
      <c r="B2" s="1" t="s">
        <v>3794</v>
      </c>
      <c r="C2" s="1" t="s">
        <v>3794</v>
      </c>
      <c r="D2" s="1" t="s">
        <v>3794</v>
      </c>
      <c r="E2" s="1" t="s">
        <v>3794</v>
      </c>
      <c r="F2" s="1" t="s">
        <v>3794</v>
      </c>
    </row>
    <row r="3" spans="1:7" s="1" customFormat="1" x14ac:dyDescent="0.25">
      <c r="A3" s="1" t="s">
        <v>3699</v>
      </c>
      <c r="B3" s="1" t="str">
        <f>'1.CustomerDetail'!B$3</f>
        <v>LOS-012</v>
      </c>
      <c r="C3" s="1" t="str">
        <f>'1.CustomerDetail'!C$3</f>
        <v>LOS-013</v>
      </c>
      <c r="D3" s="1" t="str">
        <f>'1.CustomerDetail'!D$3</f>
        <v>LOS-014</v>
      </c>
      <c r="E3" s="1" t="str">
        <f>'1.CustomerDetail'!E$3</f>
        <v>LOS-015</v>
      </c>
      <c r="F3" s="1" t="str">
        <f>'1.CustomerDetail'!F$3</f>
        <v>LOS-016</v>
      </c>
    </row>
    <row r="4" spans="1:7" s="1" customFormat="1" x14ac:dyDescent="0.25">
      <c r="A4" s="1" t="s">
        <v>3712</v>
      </c>
      <c r="B4" s="1">
        <f>COUNTIFS($A$12:$A$42,"*$*",B12:B42,"")</f>
        <v>0</v>
      </c>
      <c r="C4" s="1">
        <f>COUNTIFS($A$12:$A$42,"*$*",C12:C42,"")</f>
        <v>0</v>
      </c>
      <c r="D4" s="1">
        <f t="shared" ref="D4:F4" si="0">COUNTIFS($A$12:$A$42,"*$*",D12:D42,"")</f>
        <v>0</v>
      </c>
      <c r="E4" s="1">
        <f t="shared" si="0"/>
        <v>0</v>
      </c>
      <c r="F4" s="1">
        <f t="shared" si="0"/>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3120</v>
      </c>
      <c r="B10" s="1" t="str">
        <f>'1.CustomerDetail'!B$12</f>
        <v>app12</v>
      </c>
      <c r="C10" s="1" t="str">
        <f>'1.CustomerDetail'!C$12</f>
        <v>app13</v>
      </c>
      <c r="D10" s="1" t="str">
        <f>'1.CustomerDetail'!D$12</f>
        <v>app14</v>
      </c>
      <c r="E10" s="1" t="str">
        <f>'1.CustomerDetail'!E$12</f>
        <v>app15</v>
      </c>
      <c r="F10" s="1" t="str">
        <f>'1.CustomerDetail'!F$12</f>
        <v>app16</v>
      </c>
    </row>
    <row r="11" spans="1:7" s="56" customFormat="1" x14ac:dyDescent="0.25">
      <c r="A11" s="57" t="s">
        <v>3130</v>
      </c>
      <c r="B11" s="58"/>
      <c r="C11" s="58"/>
      <c r="D11" s="58"/>
      <c r="E11" s="59"/>
    </row>
    <row r="12" spans="1:7" s="1" customFormat="1" x14ac:dyDescent="0.25">
      <c r="A12" s="38" t="s">
        <v>3735</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row>
    <row r="13" spans="1:7" s="1" customFormat="1" x14ac:dyDescent="0.25">
      <c r="A13" s="37" t="s">
        <v>3736</v>
      </c>
      <c r="B13" s="13" t="s">
        <v>676</v>
      </c>
      <c r="C13" s="13" t="s">
        <v>676</v>
      </c>
      <c r="D13" s="13" t="s">
        <v>676</v>
      </c>
      <c r="E13" s="13" t="s">
        <v>676</v>
      </c>
      <c r="F13" s="13" t="s">
        <v>676</v>
      </c>
      <c r="G13" s="13"/>
    </row>
    <row r="14" spans="1:7" s="1" customFormat="1" x14ac:dyDescent="0.25">
      <c r="A14" s="38" t="s">
        <v>3737</v>
      </c>
      <c r="B14" s="14" t="str">
        <f>VLOOKUP(B15,Master!$P:$Q,2,FALSE)</f>
        <v>4</v>
      </c>
      <c r="C14" s="14" t="str">
        <f>VLOOKUP(C15,Master!$P:$Q,2,FALSE)</f>
        <v>4</v>
      </c>
      <c r="D14" s="14" t="str">
        <f>VLOOKUP(D15,Master!$P:$Q,2,FALSE)</f>
        <v>4</v>
      </c>
      <c r="E14" s="14" t="str">
        <f>VLOOKUP(E15,Master!$P:$Q,2,FALSE)</f>
        <v>4</v>
      </c>
      <c r="F14" s="14" t="str">
        <f>VLOOKUP(F15,Master!$P:$Q,2,FALSE)</f>
        <v>4</v>
      </c>
      <c r="G14" s="14"/>
    </row>
    <row r="15" spans="1:7" s="1" customFormat="1" x14ac:dyDescent="0.25">
      <c r="A15" s="37" t="s">
        <v>3738</v>
      </c>
      <c r="B15" s="14" t="s">
        <v>1227</v>
      </c>
      <c r="C15" s="14" t="s">
        <v>1227</v>
      </c>
      <c r="D15" s="14" t="s">
        <v>1227</v>
      </c>
      <c r="E15" s="14" t="s">
        <v>1227</v>
      </c>
      <c r="F15" s="14" t="s">
        <v>1227</v>
      </c>
      <c r="G15" s="14"/>
    </row>
    <row r="16" spans="1:7" s="1" customFormat="1" x14ac:dyDescent="0.25">
      <c r="A16" s="38" t="s">
        <v>3739</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row>
    <row r="17" spans="1:7" s="1" customFormat="1" ht="90" x14ac:dyDescent="0.25">
      <c r="A17" s="37" t="s">
        <v>3741</v>
      </c>
      <c r="B17" s="14" t="s">
        <v>3666</v>
      </c>
      <c r="C17" s="14" t="s">
        <v>3666</v>
      </c>
      <c r="D17" s="14" t="s">
        <v>3666</v>
      </c>
      <c r="E17" s="14" t="s">
        <v>3666</v>
      </c>
      <c r="F17" s="14" t="s">
        <v>3666</v>
      </c>
      <c r="G17" s="14"/>
    </row>
    <row r="18" spans="1:7" s="1" customFormat="1" x14ac:dyDescent="0.25">
      <c r="A18" s="38" t="s">
        <v>3742</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row>
    <row r="19" spans="1:7" s="1" customFormat="1" ht="30" x14ac:dyDescent="0.25">
      <c r="A19" s="37" t="s">
        <v>3740</v>
      </c>
      <c r="B19" s="14" t="s">
        <v>1402</v>
      </c>
      <c r="C19" s="14" t="s">
        <v>1402</v>
      </c>
      <c r="D19" s="14" t="s">
        <v>1402</v>
      </c>
      <c r="E19" s="14" t="s">
        <v>1402</v>
      </c>
      <c r="F19" s="14" t="s">
        <v>1402</v>
      </c>
      <c r="G19" s="14"/>
    </row>
    <row r="20" spans="1:7" s="56" customFormat="1" x14ac:dyDescent="0.25">
      <c r="A20" s="57" t="s">
        <v>3131</v>
      </c>
      <c r="B20" s="58"/>
      <c r="C20" s="58"/>
      <c r="D20" s="58"/>
      <c r="E20" s="58"/>
      <c r="F20" s="58"/>
      <c r="G20" s="58"/>
    </row>
    <row r="21" spans="1:7" s="1" customFormat="1" x14ac:dyDescent="0.25">
      <c r="A21" s="2" t="s">
        <v>1587</v>
      </c>
      <c r="B21" s="14" t="s">
        <v>3624</v>
      </c>
      <c r="C21" s="14" t="s">
        <v>3624</v>
      </c>
      <c r="D21" s="14" t="s">
        <v>3624</v>
      </c>
      <c r="E21" s="14" t="s">
        <v>3624</v>
      </c>
      <c r="F21" s="14" t="s">
        <v>3624</v>
      </c>
      <c r="G21" s="14"/>
    </row>
    <row r="22" spans="1:7" s="1" customFormat="1" x14ac:dyDescent="0.25">
      <c r="A22" s="38" t="s">
        <v>3743</v>
      </c>
      <c r="B22" s="15" t="str">
        <f>VLOOKUP(B23,Master!$Y:$Z,2,FALSE)</f>
        <v>9000</v>
      </c>
      <c r="C22" s="15" t="str">
        <f>VLOOKUP(C23,Master!$Y:$Z,2,FALSE)</f>
        <v>9000</v>
      </c>
      <c r="D22" s="15" t="str">
        <f>VLOOKUP(D23,Master!$Y:$Z,2,FALSE)</f>
        <v>9000</v>
      </c>
      <c r="E22" s="15" t="str">
        <f>VLOOKUP(E23,Master!$Y:$Z,2,FALSE)</f>
        <v>9000</v>
      </c>
      <c r="F22" s="15" t="str">
        <f>VLOOKUP(F23,Master!$Y:$Z,2,FALSE)</f>
        <v>9000</v>
      </c>
      <c r="G22" s="15"/>
    </row>
    <row r="23" spans="1:7" s="1" customFormat="1" x14ac:dyDescent="0.25">
      <c r="A23" s="37" t="s">
        <v>3744</v>
      </c>
      <c r="B23" s="14" t="s">
        <v>2314</v>
      </c>
      <c r="C23" s="14" t="s">
        <v>2314</v>
      </c>
      <c r="D23" s="14" t="s">
        <v>2314</v>
      </c>
      <c r="E23" s="14" t="s">
        <v>2314</v>
      </c>
      <c r="F23" s="14" t="s">
        <v>2314</v>
      </c>
      <c r="G23" s="14"/>
    </row>
    <row r="24" spans="1:7" s="1" customFormat="1" x14ac:dyDescent="0.25">
      <c r="A24" s="2" t="s">
        <v>1588</v>
      </c>
      <c r="B24" s="14" t="s">
        <v>3624</v>
      </c>
      <c r="C24" s="14" t="s">
        <v>3624</v>
      </c>
      <c r="D24" s="14" t="s">
        <v>3624</v>
      </c>
      <c r="E24" s="14" t="s">
        <v>3624</v>
      </c>
      <c r="F24" s="14" t="s">
        <v>3624</v>
      </c>
      <c r="G24" s="14"/>
    </row>
    <row r="25" spans="1:7" s="1" customFormat="1" x14ac:dyDescent="0.25">
      <c r="A25" s="2" t="s">
        <v>1589</v>
      </c>
      <c r="B25" s="14" t="s">
        <v>3624</v>
      </c>
      <c r="C25" s="14" t="s">
        <v>3624</v>
      </c>
      <c r="D25" s="14" t="s">
        <v>3624</v>
      </c>
      <c r="E25" s="14" t="s">
        <v>3624</v>
      </c>
      <c r="F25" s="14" t="s">
        <v>3624</v>
      </c>
      <c r="G25" s="14"/>
    </row>
    <row r="26" spans="1:7" s="1" customFormat="1" x14ac:dyDescent="0.25">
      <c r="A26" s="38" t="s">
        <v>3745</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row>
    <row r="27" spans="1:7" s="1" customFormat="1" ht="30" x14ac:dyDescent="0.25">
      <c r="A27" s="37" t="s">
        <v>3746</v>
      </c>
      <c r="B27" s="14" t="s">
        <v>2545</v>
      </c>
      <c r="C27" s="14" t="s">
        <v>2545</v>
      </c>
      <c r="D27" s="14" t="s">
        <v>2545</v>
      </c>
      <c r="E27" s="14" t="s">
        <v>2545</v>
      </c>
      <c r="F27" s="14" t="s">
        <v>2545</v>
      </c>
      <c r="G27" s="14"/>
    </row>
    <row r="28" spans="1:7" s="1" customFormat="1" x14ac:dyDescent="0.25">
      <c r="A28" s="38" t="s">
        <v>3747</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row>
    <row r="29" spans="1:7" s="1" customFormat="1" ht="75" x14ac:dyDescent="0.25">
      <c r="A29" s="37" t="s">
        <v>3749</v>
      </c>
      <c r="B29" s="14" t="s">
        <v>1935</v>
      </c>
      <c r="C29" s="14" t="s">
        <v>1935</v>
      </c>
      <c r="D29" s="14" t="s">
        <v>1935</v>
      </c>
      <c r="E29" s="14" t="s">
        <v>1935</v>
      </c>
      <c r="F29" s="14" t="s">
        <v>1935</v>
      </c>
      <c r="G29" s="14"/>
    </row>
    <row r="30" spans="1:7" s="1" customFormat="1" x14ac:dyDescent="0.25">
      <c r="A30" s="40" t="s">
        <v>3748</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row>
    <row r="31" spans="1:7" s="1" customFormat="1" ht="30" x14ac:dyDescent="0.25">
      <c r="A31" s="39" t="s">
        <v>3750</v>
      </c>
      <c r="B31" s="15" t="s">
        <v>2547</v>
      </c>
      <c r="C31" s="15" t="s">
        <v>2547</v>
      </c>
      <c r="D31" s="15" t="s">
        <v>2547</v>
      </c>
      <c r="E31" s="15" t="s">
        <v>2547</v>
      </c>
      <c r="F31" s="15" t="s">
        <v>2547</v>
      </c>
      <c r="G31" s="15"/>
    </row>
    <row r="32" spans="1:7" s="1" customFormat="1" ht="30" x14ac:dyDescent="0.25">
      <c r="A32" s="38" t="s">
        <v>3751</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row>
    <row r="33" spans="1:7" s="1" customFormat="1" x14ac:dyDescent="0.25">
      <c r="A33" s="37" t="s">
        <v>3753</v>
      </c>
      <c r="B33" s="15" t="s">
        <v>2557</v>
      </c>
      <c r="C33" s="15" t="s">
        <v>2557</v>
      </c>
      <c r="D33" s="15" t="s">
        <v>2557</v>
      </c>
      <c r="E33" s="15" t="s">
        <v>2557</v>
      </c>
      <c r="F33" s="15" t="s">
        <v>2557</v>
      </c>
      <c r="G33" s="15"/>
    </row>
    <row r="34" spans="1:7" s="1" customFormat="1" x14ac:dyDescent="0.25">
      <c r="A34" s="37" t="s">
        <v>3752</v>
      </c>
      <c r="B34" s="14" t="s">
        <v>3624</v>
      </c>
      <c r="C34" s="14" t="s">
        <v>3624</v>
      </c>
      <c r="D34" s="14" t="s">
        <v>3624</v>
      </c>
      <c r="E34" s="14" t="s">
        <v>3624</v>
      </c>
      <c r="F34" s="14" t="s">
        <v>3624</v>
      </c>
      <c r="G34" s="14"/>
    </row>
    <row r="35" spans="1:7" s="1" customFormat="1" x14ac:dyDescent="0.25">
      <c r="A35" s="38" t="s">
        <v>3754</v>
      </c>
      <c r="B35" s="15" t="e">
        <f>VLOOKUP(B36,Master!$AN:$AO,2,FALSE)</f>
        <v>#N/A</v>
      </c>
      <c r="C35" s="15" t="e">
        <f>VLOOKUP(C36,Master!$AN:$AO,2,FALSE)</f>
        <v>#N/A</v>
      </c>
      <c r="D35" s="15" t="e">
        <f>VLOOKUP(D36,Master!$AN:$AO,2,FALSE)</f>
        <v>#N/A</v>
      </c>
      <c r="E35" s="15" t="e">
        <f>VLOOKUP(E36,Master!$AN:$AO,2,FALSE)</f>
        <v>#N/A</v>
      </c>
      <c r="F35" s="15" t="e">
        <f>VLOOKUP(F36,Master!$AN:$AO,2,FALSE)</f>
        <v>#N/A</v>
      </c>
      <c r="G35" s="15"/>
    </row>
    <row r="36" spans="1:7" s="1" customFormat="1" x14ac:dyDescent="0.25">
      <c r="A36" s="2" t="s">
        <v>1591</v>
      </c>
      <c r="B36" s="15"/>
      <c r="C36" s="15"/>
      <c r="D36" s="15"/>
      <c r="E36" s="15"/>
      <c r="F36" s="15"/>
      <c r="G36" s="15"/>
    </row>
    <row r="37" spans="1:7" s="1" customFormat="1" x14ac:dyDescent="0.25">
      <c r="A37" s="37" t="s">
        <v>3755</v>
      </c>
      <c r="B37" s="45" t="s">
        <v>3664</v>
      </c>
      <c r="C37" s="45" t="s">
        <v>3664</v>
      </c>
      <c r="D37" s="45" t="s">
        <v>3664</v>
      </c>
      <c r="E37" s="45" t="s">
        <v>3664</v>
      </c>
      <c r="F37" s="45" t="s">
        <v>3664</v>
      </c>
      <c r="G37" s="45"/>
    </row>
    <row r="38" spans="1:7" s="1" customFormat="1" x14ac:dyDescent="0.25">
      <c r="A38" s="38" t="s">
        <v>3756</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row>
    <row r="39" spans="1:7" s="1" customFormat="1" x14ac:dyDescent="0.25">
      <c r="A39" s="37" t="s">
        <v>3757</v>
      </c>
      <c r="B39" s="46" t="s">
        <v>2567</v>
      </c>
      <c r="C39" s="46" t="s">
        <v>2567</v>
      </c>
      <c r="D39" s="46" t="s">
        <v>2567</v>
      </c>
      <c r="E39" s="46" t="s">
        <v>2567</v>
      </c>
      <c r="F39" s="46" t="s">
        <v>2567</v>
      </c>
      <c r="G39" s="46"/>
    </row>
    <row r="40" spans="1:7" s="1" customFormat="1" x14ac:dyDescent="0.25">
      <c r="A40" s="37" t="s">
        <v>3758</v>
      </c>
      <c r="B40" s="45" t="s">
        <v>3664</v>
      </c>
      <c r="C40" s="45" t="s">
        <v>3664</v>
      </c>
      <c r="D40" s="45" t="s">
        <v>3664</v>
      </c>
      <c r="E40" s="45" t="s">
        <v>3664</v>
      </c>
      <c r="F40" s="45" t="s">
        <v>3664</v>
      </c>
      <c r="G40" s="45"/>
    </row>
    <row r="41" spans="1:7" s="1" customFormat="1" x14ac:dyDescent="0.25">
      <c r="A41" s="38" t="s">
        <v>3759</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row>
    <row r="42" spans="1:7" s="1" customFormat="1" x14ac:dyDescent="0.25">
      <c r="A42" s="2" t="s">
        <v>1592</v>
      </c>
      <c r="B42" s="15" t="s">
        <v>28</v>
      </c>
      <c r="C42" s="15" t="s">
        <v>28</v>
      </c>
      <c r="D42" s="15" t="s">
        <v>28</v>
      </c>
      <c r="E42" s="15" t="s">
        <v>28</v>
      </c>
      <c r="F42" s="15" t="s">
        <v>28</v>
      </c>
      <c r="G42" s="15"/>
    </row>
  </sheetData>
  <dataValidations count="14">
    <dataValidation type="list" errorStyle="information" allowBlank="1" showInputMessage="1" showErrorMessage="1" sqref="B13:G13">
      <formula1>ListDebtGroup</formula1>
    </dataValidation>
    <dataValidation type="list" errorStyle="information" allowBlank="1" showInputMessage="1" showErrorMessage="1" sqref="B15:G15">
      <formula1>ListDebtorBusinessScale</formula1>
    </dataValidation>
    <dataValidation type="list" errorStyle="information" allowBlank="1" showInputMessage="1" showErrorMessage="1" sqref="B17:G17">
      <formula1>ListCounterpart</formula1>
    </dataValidation>
    <dataValidation type="list" errorStyle="information" allowBlank="1" showInputMessage="1" showErrorMessage="1" sqref="B19:G19">
      <formula1>ListSusFinBus</formula1>
    </dataValidation>
    <dataValidation type="list" errorStyle="information" allowBlank="1" showInputMessage="1" showErrorMessage="1" sqref="B23:G23">
      <formula1>ListDebtGroupSLIK</formula1>
    </dataValidation>
    <dataValidation type="list" errorStyle="information" allowBlank="1" showInputMessage="1" showErrorMessage="1" sqref="B27:G27">
      <formula1>ListAfWiMult</formula1>
    </dataValidation>
    <dataValidation type="list" errorStyle="information" allowBlank="1" showInputMessage="1" showErrorMessage="1" sqref="B29:G29">
      <formula1>ListDeptAML</formula1>
    </dataValidation>
    <dataValidation type="list" errorStyle="information" allowBlank="1" showInputMessage="1" showErrorMessage="1" sqref="B31:G31">
      <formula1>ListCSPUSL</formula1>
    </dataValidation>
    <dataValidation type="list" errorStyle="information" allowBlank="1" showInputMessage="1" showErrorMessage="1" sqref="B33:G33">
      <formula1>ListPaymentTypeAML</formula1>
    </dataValidation>
    <dataValidation type="list" errorStyle="information" allowBlank="1" showInputMessage="1" showErrorMessage="1" sqref="B36:G36">
      <formula1>ListAuthorityAML</formula1>
    </dataValidation>
    <dataValidation type="list" errorStyle="information" allowBlank="1" showInputMessage="1" showErrorMessage="1" sqref="B39:G39">
      <formula1>ListBusinessSource</formula1>
    </dataValidation>
    <dataValidation type="list" errorStyle="information" allowBlank="1" showInputMessage="1" showErrorMessage="1" sqref="B42:G42">
      <formula1>ListBuilding</formula1>
    </dataValidation>
    <dataValidation type="list" errorStyle="information" allowBlank="1" showInputMessage="1" showErrorMessage="1" sqref="B24:G25 B21:G21 B34:G34">
      <formula1>"YES, NO"</formula1>
    </dataValidation>
    <dataValidation errorStyle="information" allowBlank="1" showInputMessage="1" showErrorMessage="1" sqref="B37:G37 B40:G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669"/>
  <sheetViews>
    <sheetView tabSelected="1" topLeftCell="BB1" workbookViewId="0">
      <selection activeCell="BG5" sqref="BG5"/>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79.85546875" style="11" customWidth="1" collapsed="1"/>
    <col min="29" max="29" width="8.140625" style="10" customWidth="1" collapsed="1"/>
    <col min="31" max="31" width="82.5703125"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2858</v>
      </c>
      <c r="B1" s="24" t="s">
        <v>2859</v>
      </c>
      <c r="E1" s="19" t="s">
        <v>2860</v>
      </c>
      <c r="H1" s="19" t="s">
        <v>43</v>
      </c>
      <c r="J1" s="17" t="s">
        <v>2852</v>
      </c>
      <c r="K1" s="18" t="s">
        <v>2853</v>
      </c>
      <c r="M1" s="19" t="s">
        <v>2866</v>
      </c>
      <c r="N1" s="19" t="s">
        <v>2867</v>
      </c>
      <c r="O1" s="7"/>
      <c r="P1" s="19" t="s">
        <v>2868</v>
      </c>
      <c r="Q1" s="19" t="s">
        <v>1223</v>
      </c>
      <c r="S1" s="19" t="s">
        <v>2869</v>
      </c>
      <c r="T1" s="19" t="s">
        <v>2870</v>
      </c>
      <c r="U1" s="7"/>
      <c r="V1" s="27" t="s">
        <v>675</v>
      </c>
      <c r="W1" s="27" t="s">
        <v>2873</v>
      </c>
      <c r="Y1" s="31" t="s">
        <v>2874</v>
      </c>
      <c r="Z1" s="30" t="s">
        <v>2875</v>
      </c>
      <c r="AA1" s="7"/>
      <c r="AB1" s="31" t="s">
        <v>2546</v>
      </c>
      <c r="AC1" s="31" t="s">
        <v>2876</v>
      </c>
      <c r="AE1" s="19" t="s">
        <v>2877</v>
      </c>
      <c r="AF1" s="19" t="s">
        <v>2878</v>
      </c>
      <c r="AG1" s="7"/>
      <c r="AH1" s="19" t="s">
        <v>1590</v>
      </c>
      <c r="AI1" s="19" t="s">
        <v>2879</v>
      </c>
      <c r="AJ1" s="7"/>
      <c r="AK1" s="19" t="s">
        <v>2880</v>
      </c>
      <c r="AL1" s="19" t="s">
        <v>2876</v>
      </c>
      <c r="AM1" s="7"/>
      <c r="AN1" s="34" t="s">
        <v>2881</v>
      </c>
      <c r="AO1" s="34" t="s">
        <v>2882</v>
      </c>
      <c r="AP1" s="7"/>
      <c r="AQ1" s="19" t="s">
        <v>2568</v>
      </c>
      <c r="AR1" s="19" t="s">
        <v>2876</v>
      </c>
      <c r="AS1" s="7"/>
      <c r="AT1" s="19" t="s">
        <v>2883</v>
      </c>
      <c r="AU1" s="19" t="s">
        <v>2884</v>
      </c>
      <c r="AV1" s="7"/>
      <c r="AW1" s="19" t="s">
        <v>2885</v>
      </c>
      <c r="AX1" s="19" t="s">
        <v>2886</v>
      </c>
      <c r="BA1" s="21" t="s">
        <v>3132</v>
      </c>
      <c r="BB1" s="21" t="s">
        <v>3133</v>
      </c>
      <c r="BE1" s="21" t="s">
        <v>3616</v>
      </c>
      <c r="BG1" s="21" t="s">
        <v>3678</v>
      </c>
      <c r="BI1" s="21" t="s">
        <v>3685</v>
      </c>
    </row>
    <row r="2" spans="1:61" x14ac:dyDescent="0.25">
      <c r="A2" s="24" t="s">
        <v>63</v>
      </c>
      <c r="B2" s="24" t="s">
        <v>30</v>
      </c>
      <c r="E2" s="19" t="s">
        <v>2861</v>
      </c>
      <c r="H2" s="19" t="s">
        <v>2865</v>
      </c>
      <c r="J2" s="19" t="s">
        <v>337</v>
      </c>
      <c r="K2" s="17" t="s">
        <v>336</v>
      </c>
      <c r="M2" s="19" t="s">
        <v>676</v>
      </c>
      <c r="N2" s="19" t="s">
        <v>57</v>
      </c>
      <c r="O2" s="25"/>
      <c r="P2" s="19" t="s">
        <v>1224</v>
      </c>
      <c r="Q2" s="19" t="s">
        <v>3113</v>
      </c>
      <c r="S2" s="19" t="s">
        <v>1229</v>
      </c>
      <c r="T2" s="19" t="s">
        <v>1408</v>
      </c>
      <c r="U2" s="25"/>
      <c r="V2" s="27" t="s">
        <v>1395</v>
      </c>
      <c r="W2" s="27" t="s">
        <v>1574</v>
      </c>
      <c r="Y2" s="31" t="s">
        <v>2147</v>
      </c>
      <c r="Z2" s="31" t="s">
        <v>2339</v>
      </c>
      <c r="AA2" s="25"/>
      <c r="AB2" s="31" t="s">
        <v>2531</v>
      </c>
      <c r="AC2" s="31" t="s">
        <v>2349</v>
      </c>
      <c r="AE2" s="19" t="s">
        <v>1593</v>
      </c>
      <c r="AF2" s="19" t="s">
        <v>1594</v>
      </c>
      <c r="AG2" s="25"/>
      <c r="AH2" s="19" t="s">
        <v>2547</v>
      </c>
      <c r="AI2" s="19" t="s">
        <v>2577</v>
      </c>
      <c r="AJ2" s="25"/>
      <c r="AK2" s="19" t="s">
        <v>2557</v>
      </c>
      <c r="AL2" s="19" t="s">
        <v>2556</v>
      </c>
      <c r="AM2" s="25"/>
      <c r="AN2" s="34" t="s">
        <v>2560</v>
      </c>
      <c r="AO2" s="34" t="s">
        <v>518</v>
      </c>
      <c r="AP2" s="32"/>
      <c r="AQ2" s="19" t="s">
        <v>2567</v>
      </c>
      <c r="AR2" s="35" t="s">
        <v>61</v>
      </c>
      <c r="AS2" s="25"/>
      <c r="AT2" s="19" t="s">
        <v>2574</v>
      </c>
      <c r="AU2" s="19" t="s">
        <v>2569</v>
      </c>
      <c r="AV2" s="25"/>
      <c r="AW2" s="19" t="s">
        <v>2887</v>
      </c>
      <c r="AX2" s="19" t="s">
        <v>2888</v>
      </c>
      <c r="BA2" s="9" t="s">
        <v>3134</v>
      </c>
      <c r="BB2" s="9" t="s">
        <v>3135</v>
      </c>
      <c r="BE2" s="9" t="s">
        <v>3617</v>
      </c>
      <c r="BG2" s="9" t="s">
        <v>3679</v>
      </c>
      <c r="BI2" s="9" t="s">
        <v>3686</v>
      </c>
    </row>
    <row r="3" spans="1:61" x14ac:dyDescent="0.25">
      <c r="A3" s="24" t="s">
        <v>64</v>
      </c>
      <c r="B3" s="24" t="s">
        <v>65</v>
      </c>
      <c r="E3" s="19" t="s">
        <v>2862</v>
      </c>
      <c r="H3" s="19" t="s">
        <v>333</v>
      </c>
      <c r="J3" s="19" t="s">
        <v>339</v>
      </c>
      <c r="K3" s="17" t="s">
        <v>338</v>
      </c>
      <c r="M3" s="19" t="s">
        <v>677</v>
      </c>
      <c r="N3" s="19" t="s">
        <v>58</v>
      </c>
      <c r="O3" s="25"/>
      <c r="P3" s="19" t="s">
        <v>1225</v>
      </c>
      <c r="Q3" s="19" t="s">
        <v>3114</v>
      </c>
      <c r="S3" s="24" t="s">
        <v>1230</v>
      </c>
      <c r="T3" s="19" t="s">
        <v>1409</v>
      </c>
      <c r="U3" s="25"/>
      <c r="V3" s="27" t="s">
        <v>1396</v>
      </c>
      <c r="W3" s="27" t="s">
        <v>1575</v>
      </c>
      <c r="Y3" s="31" t="s">
        <v>2148</v>
      </c>
      <c r="Z3" s="31" t="s">
        <v>2340</v>
      </c>
      <c r="AA3" s="25"/>
      <c r="AB3" s="31" t="s">
        <v>2532</v>
      </c>
      <c r="AC3" s="31" t="s">
        <v>2350</v>
      </c>
      <c r="AE3" s="19" t="s">
        <v>1595</v>
      </c>
      <c r="AF3" s="19" t="s">
        <v>1596</v>
      </c>
      <c r="AG3" s="25"/>
      <c r="AH3" s="19" t="s">
        <v>2548</v>
      </c>
      <c r="AI3" s="19" t="s">
        <v>2578</v>
      </c>
      <c r="AJ3" s="25"/>
      <c r="AK3" s="19" t="s">
        <v>2559</v>
      </c>
      <c r="AL3" s="19" t="s">
        <v>2558</v>
      </c>
      <c r="AM3" s="25"/>
      <c r="AN3" s="34" t="s">
        <v>2561</v>
      </c>
      <c r="AO3" s="34" t="s">
        <v>524</v>
      </c>
      <c r="AP3" s="25"/>
      <c r="AQ3" s="33"/>
      <c r="AR3" s="25"/>
      <c r="AS3" s="25"/>
      <c r="AT3" s="19" t="s">
        <v>2575</v>
      </c>
      <c r="AU3" s="19" t="s">
        <v>2570</v>
      </c>
      <c r="AV3" s="25"/>
      <c r="AW3" s="19" t="s">
        <v>2889</v>
      </c>
      <c r="AX3" s="19" t="s">
        <v>2890</v>
      </c>
      <c r="BA3" s="9" t="s">
        <v>3136</v>
      </c>
      <c r="BB3" s="9" t="s">
        <v>3137</v>
      </c>
      <c r="BE3" s="9" t="s">
        <v>3618</v>
      </c>
      <c r="BG3" s="9" t="s">
        <v>3680</v>
      </c>
      <c r="BI3" s="9" t="s">
        <v>3687</v>
      </c>
    </row>
    <row r="4" spans="1:61" x14ac:dyDescent="0.25">
      <c r="A4" s="24" t="s">
        <v>66</v>
      </c>
      <c r="B4" s="24" t="s">
        <v>67</v>
      </c>
      <c r="E4" s="19" t="s">
        <v>2863</v>
      </c>
      <c r="H4" s="19" t="s">
        <v>326</v>
      </c>
      <c r="J4" s="19" t="s">
        <v>340</v>
      </c>
      <c r="K4" s="17" t="s">
        <v>526</v>
      </c>
      <c r="M4" s="19" t="s">
        <v>678</v>
      </c>
      <c r="N4" s="19" t="s">
        <v>59</v>
      </c>
      <c r="O4" s="25"/>
      <c r="P4" s="19" t="s">
        <v>1226</v>
      </c>
      <c r="Q4" s="19" t="s">
        <v>3117</v>
      </c>
      <c r="S4" s="24" t="s">
        <v>1231</v>
      </c>
      <c r="T4" s="19" t="s">
        <v>1410</v>
      </c>
      <c r="U4" s="25"/>
      <c r="V4" s="27" t="s">
        <v>1397</v>
      </c>
      <c r="W4" s="27" t="s">
        <v>1576</v>
      </c>
      <c r="Y4" s="31" t="s">
        <v>2149</v>
      </c>
      <c r="Z4" s="31" t="s">
        <v>2341</v>
      </c>
      <c r="AA4" s="25"/>
      <c r="AB4" s="31" t="s">
        <v>2533</v>
      </c>
      <c r="AC4" s="31" t="s">
        <v>2586</v>
      </c>
      <c r="AE4" s="19" t="s">
        <v>1597</v>
      </c>
      <c r="AF4" s="19" t="s">
        <v>1598</v>
      </c>
      <c r="AG4" s="25"/>
      <c r="AH4" s="19" t="s">
        <v>2549</v>
      </c>
      <c r="AI4" s="19" t="s">
        <v>2579</v>
      </c>
      <c r="AJ4" s="25"/>
      <c r="AK4" s="25"/>
      <c r="AL4" s="25"/>
      <c r="AM4" s="25"/>
      <c r="AN4" s="34" t="s">
        <v>2562</v>
      </c>
      <c r="AO4" s="34" t="s">
        <v>523</v>
      </c>
      <c r="AP4" s="25"/>
      <c r="AQ4" s="25"/>
      <c r="AR4" s="25"/>
      <c r="AS4" s="25"/>
      <c r="AT4" s="19" t="s">
        <v>2571</v>
      </c>
      <c r="AU4" s="19" t="s">
        <v>2571</v>
      </c>
      <c r="AV4" s="25"/>
      <c r="AW4" s="19" t="s">
        <v>2891</v>
      </c>
      <c r="AX4" s="19" t="s">
        <v>2892</v>
      </c>
      <c r="BA4" s="9" t="s">
        <v>3138</v>
      </c>
      <c r="BB4" s="9" t="s">
        <v>3139</v>
      </c>
      <c r="BE4" s="9" t="s">
        <v>45</v>
      </c>
      <c r="BG4" s="9" t="s">
        <v>3681</v>
      </c>
    </row>
    <row r="5" spans="1:61" x14ac:dyDescent="0.25">
      <c r="A5" s="24" t="s">
        <v>68</v>
      </c>
      <c r="B5" s="24" t="s">
        <v>69</v>
      </c>
      <c r="E5" s="19" t="s">
        <v>203</v>
      </c>
      <c r="H5" s="19" t="s">
        <v>332</v>
      </c>
      <c r="J5" s="19" t="s">
        <v>341</v>
      </c>
      <c r="K5" s="17" t="s">
        <v>30</v>
      </c>
      <c r="M5" s="19" t="s">
        <v>679</v>
      </c>
      <c r="N5" s="19" t="s">
        <v>60</v>
      </c>
      <c r="O5" s="25"/>
      <c r="P5" s="19" t="s">
        <v>1227</v>
      </c>
      <c r="Q5" s="19" t="s">
        <v>3118</v>
      </c>
      <c r="S5" s="24" t="s">
        <v>1232</v>
      </c>
      <c r="T5" s="19" t="s">
        <v>1411</v>
      </c>
      <c r="U5" s="25"/>
      <c r="V5" s="27" t="s">
        <v>1398</v>
      </c>
      <c r="W5" s="27" t="s">
        <v>1577</v>
      </c>
      <c r="Y5" s="31" t="s">
        <v>2150</v>
      </c>
      <c r="Z5" s="31" t="s">
        <v>2342</v>
      </c>
      <c r="AA5" s="25"/>
      <c r="AB5" s="31" t="s">
        <v>2534</v>
      </c>
      <c r="AC5" s="31" t="s">
        <v>2587</v>
      </c>
      <c r="AE5" s="19" t="s">
        <v>1599</v>
      </c>
      <c r="AF5" s="19" t="s">
        <v>1600</v>
      </c>
      <c r="AG5" s="25"/>
      <c r="AH5" s="19" t="s">
        <v>2550</v>
      </c>
      <c r="AI5" s="19" t="s">
        <v>2580</v>
      </c>
      <c r="AJ5" s="25"/>
      <c r="AK5" s="25"/>
      <c r="AL5" s="25"/>
      <c r="AM5" s="25"/>
      <c r="AN5" s="34" t="s">
        <v>2563</v>
      </c>
      <c r="AO5" s="34" t="s">
        <v>522</v>
      </c>
      <c r="AP5" s="25"/>
      <c r="AQ5" s="25"/>
      <c r="AR5" s="25"/>
      <c r="AS5" s="25"/>
      <c r="AT5" s="19" t="s">
        <v>28</v>
      </c>
      <c r="AU5" s="19" t="s">
        <v>2572</v>
      </c>
      <c r="AV5" s="25"/>
      <c r="AW5" s="19" t="s">
        <v>2893</v>
      </c>
      <c r="AX5" s="19" t="s">
        <v>2894</v>
      </c>
      <c r="BA5" s="9" t="s">
        <v>3140</v>
      </c>
      <c r="BB5" s="9" t="s">
        <v>3141</v>
      </c>
      <c r="BE5" s="9" t="s">
        <v>3619</v>
      </c>
      <c r="BG5" s="9" t="s">
        <v>3682</v>
      </c>
    </row>
    <row r="6" spans="1:61" x14ac:dyDescent="0.25">
      <c r="A6" s="24" t="s">
        <v>70</v>
      </c>
      <c r="B6" s="24" t="s">
        <v>71</v>
      </c>
      <c r="E6" s="19" t="s">
        <v>32</v>
      </c>
      <c r="H6" s="19" t="s">
        <v>334</v>
      </c>
      <c r="J6" s="19" t="s">
        <v>342</v>
      </c>
      <c r="K6" s="17" t="s">
        <v>527</v>
      </c>
      <c r="M6" s="19" t="s">
        <v>680</v>
      </c>
      <c r="N6" s="19" t="s">
        <v>990</v>
      </c>
      <c r="O6" s="25"/>
      <c r="P6" s="19" t="s">
        <v>1228</v>
      </c>
      <c r="Q6" s="19" t="s">
        <v>3119</v>
      </c>
      <c r="S6" s="24" t="s">
        <v>1233</v>
      </c>
      <c r="T6" s="19" t="s">
        <v>1412</v>
      </c>
      <c r="U6" s="25"/>
      <c r="V6" s="27" t="s">
        <v>1399</v>
      </c>
      <c r="W6" s="27" t="s">
        <v>1578</v>
      </c>
      <c r="Y6" s="31" t="s">
        <v>2151</v>
      </c>
      <c r="Z6" s="31" t="s">
        <v>2343</v>
      </c>
      <c r="AA6" s="25"/>
      <c r="AB6" s="31" t="s">
        <v>2535</v>
      </c>
      <c r="AC6" s="31" t="s">
        <v>2588</v>
      </c>
      <c r="AE6" s="19" t="s">
        <v>1601</v>
      </c>
      <c r="AF6" s="19" t="s">
        <v>1602</v>
      </c>
      <c r="AG6" s="25"/>
      <c r="AH6" s="19" t="s">
        <v>2551</v>
      </c>
      <c r="AI6" s="19" t="s">
        <v>2581</v>
      </c>
      <c r="AJ6" s="25"/>
      <c r="AK6" s="25"/>
      <c r="AL6" s="25"/>
      <c r="AM6" s="25"/>
      <c r="AN6" s="34" t="s">
        <v>2564</v>
      </c>
      <c r="AO6" s="34" t="s">
        <v>521</v>
      </c>
      <c r="AP6" s="25"/>
      <c r="AQ6" s="25"/>
      <c r="AR6" s="25"/>
      <c r="AS6" s="25"/>
      <c r="AT6" s="19" t="s">
        <v>2576</v>
      </c>
      <c r="AU6" s="19" t="s">
        <v>2573</v>
      </c>
      <c r="AV6" s="25"/>
      <c r="AW6" s="19" t="s">
        <v>2895</v>
      </c>
      <c r="AX6" s="19" t="s">
        <v>2896</v>
      </c>
      <c r="BA6" s="9" t="s">
        <v>3142</v>
      </c>
      <c r="BB6" s="9" t="s">
        <v>3143</v>
      </c>
      <c r="BE6" s="9" t="s">
        <v>3125</v>
      </c>
      <c r="BG6" s="9" t="s">
        <v>3683</v>
      </c>
    </row>
    <row r="7" spans="1:61" x14ac:dyDescent="0.25">
      <c r="A7" s="24" t="s">
        <v>72</v>
      </c>
      <c r="B7" s="24" t="s">
        <v>73</v>
      </c>
      <c r="E7" s="19" t="s">
        <v>271</v>
      </c>
      <c r="H7" s="19" t="s">
        <v>328</v>
      </c>
      <c r="J7" s="19" t="s">
        <v>343</v>
      </c>
      <c r="K7" s="17" t="s">
        <v>528</v>
      </c>
      <c r="M7" s="19" t="s">
        <v>681</v>
      </c>
      <c r="N7" s="19" t="s">
        <v>991</v>
      </c>
      <c r="O7" s="25"/>
      <c r="P7" s="25"/>
      <c r="Q7" s="25"/>
      <c r="S7" s="24" t="s">
        <v>1234</v>
      </c>
      <c r="T7" s="19" t="s">
        <v>1413</v>
      </c>
      <c r="U7" s="25"/>
      <c r="V7" s="27" t="s">
        <v>1400</v>
      </c>
      <c r="W7" s="27" t="s">
        <v>1579</v>
      </c>
      <c r="Y7" s="31" t="s">
        <v>2152</v>
      </c>
      <c r="Z7" s="31" t="s">
        <v>2344</v>
      </c>
      <c r="AA7" s="25"/>
      <c r="AB7" s="31" t="s">
        <v>2536</v>
      </c>
      <c r="AC7" s="31" t="s">
        <v>2589</v>
      </c>
      <c r="AE7" s="19" t="s">
        <v>1603</v>
      </c>
      <c r="AF7" s="19" t="s">
        <v>1604</v>
      </c>
      <c r="AG7" s="25"/>
      <c r="AH7" s="19" t="s">
        <v>2552</v>
      </c>
      <c r="AI7" s="19" t="s">
        <v>2582</v>
      </c>
      <c r="AJ7" s="25"/>
      <c r="AK7" s="25"/>
      <c r="AL7" s="25"/>
      <c r="AM7" s="25"/>
      <c r="AN7" s="34" t="s">
        <v>2565</v>
      </c>
      <c r="AO7" s="34" t="s">
        <v>520</v>
      </c>
      <c r="AP7" s="25"/>
      <c r="AQ7" s="25"/>
      <c r="AR7" s="25"/>
      <c r="AS7" s="25"/>
      <c r="AT7" s="25"/>
      <c r="AU7" s="25"/>
      <c r="AV7" s="25"/>
      <c r="AW7" s="19" t="s">
        <v>2897</v>
      </c>
      <c r="AX7" s="19" t="s">
        <v>2898</v>
      </c>
      <c r="BA7" s="9" t="s">
        <v>3144</v>
      </c>
      <c r="BB7" s="9" t="s">
        <v>3145</v>
      </c>
      <c r="BE7" s="9" t="s">
        <v>13</v>
      </c>
      <c r="BG7" s="9" t="s">
        <v>3684</v>
      </c>
    </row>
    <row r="8" spans="1:61" x14ac:dyDescent="0.25">
      <c r="A8" s="24" t="s">
        <v>74</v>
      </c>
      <c r="B8" s="24" t="s">
        <v>75</v>
      </c>
      <c r="E8" s="19" t="s">
        <v>272</v>
      </c>
      <c r="H8" s="19" t="s">
        <v>330</v>
      </c>
      <c r="J8" s="19" t="s">
        <v>344</v>
      </c>
      <c r="K8" s="17" t="s">
        <v>529</v>
      </c>
      <c r="M8" s="19" t="s">
        <v>682</v>
      </c>
      <c r="N8" s="19" t="s">
        <v>992</v>
      </c>
      <c r="O8" s="25"/>
      <c r="P8" s="25"/>
      <c r="Q8" s="25"/>
      <c r="S8" s="24" t="s">
        <v>1235</v>
      </c>
      <c r="T8" s="19" t="s">
        <v>1414</v>
      </c>
      <c r="U8" s="25"/>
      <c r="V8" s="27" t="s">
        <v>1401</v>
      </c>
      <c r="W8" s="27" t="s">
        <v>1580</v>
      </c>
      <c r="Y8" s="31" t="s">
        <v>2153</v>
      </c>
      <c r="Z8" s="31" t="s">
        <v>2345</v>
      </c>
      <c r="AA8" s="25"/>
      <c r="AB8" s="31" t="s">
        <v>2537</v>
      </c>
      <c r="AC8" s="31" t="s">
        <v>2590</v>
      </c>
      <c r="AE8" s="19" t="s">
        <v>1605</v>
      </c>
      <c r="AF8" s="19" t="s">
        <v>1606</v>
      </c>
      <c r="AG8" s="25"/>
      <c r="AH8" s="19" t="s">
        <v>2553</v>
      </c>
      <c r="AI8" s="19" t="s">
        <v>2583</v>
      </c>
      <c r="AJ8" s="25"/>
      <c r="AK8" s="25"/>
      <c r="AL8" s="25"/>
      <c r="AM8" s="25"/>
      <c r="AN8" s="34" t="s">
        <v>1597</v>
      </c>
      <c r="AO8" s="34" t="s">
        <v>525</v>
      </c>
      <c r="AP8" s="25"/>
      <c r="AQ8" s="25"/>
      <c r="AR8" s="25"/>
      <c r="AS8" s="25"/>
      <c r="AT8" s="25"/>
      <c r="AU8" s="25"/>
      <c r="AV8" s="25"/>
      <c r="AW8" s="19" t="s">
        <v>2599</v>
      </c>
      <c r="AX8" s="19" t="s">
        <v>2899</v>
      </c>
      <c r="BA8" s="9" t="s">
        <v>3146</v>
      </c>
      <c r="BB8" s="9" t="s">
        <v>3147</v>
      </c>
      <c r="BE8" s="9" t="s">
        <v>3620</v>
      </c>
    </row>
    <row r="9" spans="1:61" x14ac:dyDescent="0.25">
      <c r="A9" s="24" t="s">
        <v>76</v>
      </c>
      <c r="B9" s="24" t="s">
        <v>77</v>
      </c>
      <c r="E9" s="19" t="s">
        <v>264</v>
      </c>
      <c r="H9" s="19" t="s">
        <v>325</v>
      </c>
      <c r="J9" s="19" t="s">
        <v>345</v>
      </c>
      <c r="K9" s="17" t="s">
        <v>530</v>
      </c>
      <c r="M9" s="19" t="s">
        <v>683</v>
      </c>
      <c r="N9" s="19" t="s">
        <v>41</v>
      </c>
      <c r="O9" s="25"/>
      <c r="P9" s="25"/>
      <c r="Q9" s="25"/>
      <c r="S9" s="24" t="s">
        <v>1236</v>
      </c>
      <c r="T9" s="19" t="s">
        <v>1415</v>
      </c>
      <c r="U9" s="25"/>
      <c r="V9" s="27" t="s">
        <v>1402</v>
      </c>
      <c r="W9" s="27" t="s">
        <v>1581</v>
      </c>
      <c r="Y9" s="31" t="s">
        <v>2154</v>
      </c>
      <c r="Z9" s="31" t="s">
        <v>2346</v>
      </c>
      <c r="AA9" s="25"/>
      <c r="AB9" s="31" t="s">
        <v>2538</v>
      </c>
      <c r="AC9" s="31" t="s">
        <v>2591</v>
      </c>
      <c r="AE9" s="19" t="s">
        <v>1607</v>
      </c>
      <c r="AF9" s="19" t="s">
        <v>1608</v>
      </c>
      <c r="AG9" s="25"/>
      <c r="AH9" s="19" t="s">
        <v>2554</v>
      </c>
      <c r="AI9" s="19" t="s">
        <v>2584</v>
      </c>
      <c r="AJ9" s="25"/>
      <c r="AK9" s="25"/>
      <c r="AL9" s="25"/>
      <c r="AM9" s="25"/>
      <c r="AN9" s="34" t="s">
        <v>2566</v>
      </c>
      <c r="AO9" s="34" t="s">
        <v>519</v>
      </c>
      <c r="AP9" s="25"/>
      <c r="AQ9" s="25"/>
      <c r="AR9" s="25"/>
      <c r="AS9" s="25"/>
      <c r="AT9" s="25"/>
      <c r="AU9" s="25"/>
      <c r="AV9" s="25"/>
      <c r="AW9" s="19" t="s">
        <v>2600</v>
      </c>
      <c r="AX9" s="19" t="s">
        <v>2900</v>
      </c>
      <c r="BA9" s="9" t="s">
        <v>3148</v>
      </c>
      <c r="BB9" s="9" t="s">
        <v>3149</v>
      </c>
      <c r="BE9" s="9" t="s">
        <v>3621</v>
      </c>
    </row>
    <row r="10" spans="1:61" ht="30" x14ac:dyDescent="0.25">
      <c r="A10" s="24" t="s">
        <v>78</v>
      </c>
      <c r="B10" s="24" t="s">
        <v>79</v>
      </c>
      <c r="E10" s="19" t="s">
        <v>266</v>
      </c>
      <c r="H10" s="19" t="s">
        <v>44</v>
      </c>
      <c r="J10" s="19" t="s">
        <v>346</v>
      </c>
      <c r="K10" s="17" t="s">
        <v>53</v>
      </c>
      <c r="M10" s="19" t="s">
        <v>684</v>
      </c>
      <c r="N10" s="19" t="s">
        <v>42</v>
      </c>
      <c r="O10" s="25"/>
      <c r="P10" s="25"/>
      <c r="Q10" s="25"/>
      <c r="S10" s="24" t="s">
        <v>1237</v>
      </c>
      <c r="T10" s="19" t="s">
        <v>1416</v>
      </c>
      <c r="U10" s="25"/>
      <c r="V10" s="27" t="s">
        <v>1403</v>
      </c>
      <c r="W10" s="27" t="s">
        <v>1582</v>
      </c>
      <c r="Y10" s="31" t="s">
        <v>2155</v>
      </c>
      <c r="Z10" s="31" t="s">
        <v>2347</v>
      </c>
      <c r="AA10" s="25"/>
      <c r="AB10" s="31" t="s">
        <v>2539</v>
      </c>
      <c r="AC10" s="31" t="s">
        <v>2592</v>
      </c>
      <c r="AE10" s="19" t="s">
        <v>1609</v>
      </c>
      <c r="AF10" s="19" t="s">
        <v>1610</v>
      </c>
      <c r="AG10" s="25"/>
      <c r="AH10" s="19" t="s">
        <v>2555</v>
      </c>
      <c r="AI10" s="19" t="s">
        <v>2585</v>
      </c>
      <c r="AJ10" s="25"/>
      <c r="AK10" s="25"/>
      <c r="AL10" s="25"/>
      <c r="AM10" s="25"/>
      <c r="AN10" s="32"/>
      <c r="AO10" s="25"/>
      <c r="AP10" s="25"/>
      <c r="AQ10" s="25"/>
      <c r="AR10" s="25"/>
      <c r="AS10" s="25"/>
      <c r="AT10" s="25"/>
      <c r="AU10" s="25"/>
      <c r="AV10" s="25"/>
      <c r="AW10" s="19" t="s">
        <v>2601</v>
      </c>
      <c r="AX10" s="19" t="s">
        <v>2901</v>
      </c>
      <c r="BA10" s="9" t="s">
        <v>3150</v>
      </c>
      <c r="BB10" s="9" t="s">
        <v>3151</v>
      </c>
      <c r="BE10" s="9" t="s">
        <v>3622</v>
      </c>
    </row>
    <row r="11" spans="1:61" ht="30" x14ac:dyDescent="0.25">
      <c r="A11" s="24" t="s">
        <v>80</v>
      </c>
      <c r="B11" s="24" t="s">
        <v>81</v>
      </c>
      <c r="E11" s="19" t="s">
        <v>267</v>
      </c>
      <c r="H11" s="19" t="s">
        <v>327</v>
      </c>
      <c r="J11" s="19" t="s">
        <v>347</v>
      </c>
      <c r="K11" s="17" t="s">
        <v>531</v>
      </c>
      <c r="M11" s="19" t="s">
        <v>685</v>
      </c>
      <c r="N11" s="19" t="s">
        <v>993</v>
      </c>
      <c r="O11" s="25"/>
      <c r="P11" s="25"/>
      <c r="Q11" s="25"/>
      <c r="S11" s="24" t="s">
        <v>1238</v>
      </c>
      <c r="T11" s="19" t="s">
        <v>1417</v>
      </c>
      <c r="U11" s="25"/>
      <c r="V11" s="27" t="s">
        <v>1404</v>
      </c>
      <c r="W11" s="27" t="s">
        <v>1583</v>
      </c>
      <c r="Y11" s="31" t="s">
        <v>2156</v>
      </c>
      <c r="Z11" s="31" t="s">
        <v>2348</v>
      </c>
      <c r="AA11" s="25"/>
      <c r="AB11" s="31" t="s">
        <v>2540</v>
      </c>
      <c r="AC11" s="31" t="s">
        <v>2593</v>
      </c>
      <c r="AE11" s="19" t="s">
        <v>1611</v>
      </c>
      <c r="AF11" s="19" t="s">
        <v>1612</v>
      </c>
      <c r="AG11" s="25"/>
      <c r="AH11" s="25"/>
      <c r="AI11" s="26"/>
      <c r="AJ11" s="25"/>
      <c r="AK11" s="25"/>
      <c r="AL11" s="25"/>
      <c r="AM11" s="25"/>
      <c r="AN11" s="25"/>
      <c r="AO11" s="25"/>
      <c r="AP11" s="25"/>
      <c r="AQ11" s="25"/>
      <c r="AR11" s="25"/>
      <c r="AS11" s="25"/>
      <c r="AT11" s="25"/>
      <c r="AU11" s="25"/>
      <c r="AV11" s="25"/>
      <c r="AW11" s="19" t="s">
        <v>2602</v>
      </c>
      <c r="AX11" s="19" t="s">
        <v>2902</v>
      </c>
      <c r="BA11" s="9" t="s">
        <v>3152</v>
      </c>
      <c r="BB11" s="9" t="s">
        <v>3153</v>
      </c>
    </row>
    <row r="12" spans="1:61" ht="30" x14ac:dyDescent="0.25">
      <c r="A12" s="24" t="s">
        <v>82</v>
      </c>
      <c r="B12" s="24" t="s">
        <v>83</v>
      </c>
      <c r="E12" s="19" t="s">
        <v>268</v>
      </c>
      <c r="H12" s="19" t="s">
        <v>329</v>
      </c>
      <c r="J12" s="19" t="s">
        <v>348</v>
      </c>
      <c r="K12" s="17" t="s">
        <v>532</v>
      </c>
      <c r="M12" s="19" t="s">
        <v>686</v>
      </c>
      <c r="N12" s="19" t="s">
        <v>574</v>
      </c>
      <c r="O12" s="25"/>
      <c r="P12" s="25"/>
      <c r="Q12" s="25"/>
      <c r="S12" s="24" t="s">
        <v>1239</v>
      </c>
      <c r="T12" s="19" t="s">
        <v>1418</v>
      </c>
      <c r="U12" s="25"/>
      <c r="V12" s="27" t="s">
        <v>1405</v>
      </c>
      <c r="W12" s="27" t="s">
        <v>1584</v>
      </c>
      <c r="Y12" s="31" t="s">
        <v>2157</v>
      </c>
      <c r="Z12" s="31" t="s">
        <v>2349</v>
      </c>
      <c r="AA12" s="25"/>
      <c r="AB12" s="31" t="s">
        <v>2541</v>
      </c>
      <c r="AC12" s="31" t="s">
        <v>2594</v>
      </c>
      <c r="AE12" s="19" t="s">
        <v>1613</v>
      </c>
      <c r="AF12" s="19" t="s">
        <v>1614</v>
      </c>
      <c r="AG12" s="25"/>
      <c r="AH12" s="25"/>
      <c r="AI12" s="26"/>
      <c r="AJ12" s="25"/>
      <c r="AK12" s="25"/>
      <c r="AL12" s="25"/>
      <c r="AM12" s="25"/>
      <c r="AN12" s="25"/>
      <c r="AO12" s="25"/>
      <c r="AP12" s="25"/>
      <c r="AQ12" s="25"/>
      <c r="AR12" s="25"/>
      <c r="AS12" s="25"/>
      <c r="AT12" s="25"/>
      <c r="AU12" s="25"/>
      <c r="AV12" s="25"/>
      <c r="AW12" s="19" t="s">
        <v>2603</v>
      </c>
      <c r="AX12" s="19" t="s">
        <v>2903</v>
      </c>
      <c r="BA12" s="9" t="s">
        <v>3154</v>
      </c>
      <c r="BB12" s="9" t="s">
        <v>3155</v>
      </c>
    </row>
    <row r="13" spans="1:61" x14ac:dyDescent="0.25">
      <c r="A13" s="24" t="s">
        <v>84</v>
      </c>
      <c r="B13" s="24" t="s">
        <v>85</v>
      </c>
      <c r="E13" s="19" t="s">
        <v>269</v>
      </c>
      <c r="H13" s="19" t="s">
        <v>331</v>
      </c>
      <c r="J13" s="19" t="s">
        <v>349</v>
      </c>
      <c r="K13" s="17" t="s">
        <v>533</v>
      </c>
      <c r="M13" s="19" t="s">
        <v>687</v>
      </c>
      <c r="N13" s="19" t="s">
        <v>575</v>
      </c>
      <c r="O13" s="25"/>
      <c r="P13" s="25"/>
      <c r="Q13" s="25"/>
      <c r="S13" s="24" t="s">
        <v>1240</v>
      </c>
      <c r="T13" s="19" t="s">
        <v>1419</v>
      </c>
      <c r="U13" s="25"/>
      <c r="V13" s="27" t="s">
        <v>1406</v>
      </c>
      <c r="W13" s="27" t="s">
        <v>1585</v>
      </c>
      <c r="Y13" s="31" t="s">
        <v>2158</v>
      </c>
      <c r="Z13" s="31" t="s">
        <v>2350</v>
      </c>
      <c r="AA13" s="25"/>
      <c r="AB13" s="31" t="s">
        <v>2542</v>
      </c>
      <c r="AC13" s="31" t="s">
        <v>2595</v>
      </c>
      <c r="AE13" s="19" t="s">
        <v>1615</v>
      </c>
      <c r="AF13" s="19" t="s">
        <v>1616</v>
      </c>
      <c r="AG13" s="25"/>
      <c r="AH13" s="25"/>
      <c r="AI13" s="26"/>
      <c r="AJ13" s="25"/>
      <c r="AK13" s="25"/>
      <c r="AL13" s="25"/>
      <c r="AM13" s="25"/>
      <c r="AN13" s="25"/>
      <c r="AO13" s="25"/>
      <c r="AP13" s="25"/>
      <c r="AQ13" s="25"/>
      <c r="AR13" s="25"/>
      <c r="AS13" s="25"/>
      <c r="AT13" s="25"/>
      <c r="AU13" s="25"/>
      <c r="AV13" s="25"/>
      <c r="AW13" s="19" t="s">
        <v>2604</v>
      </c>
      <c r="AX13" s="19" t="s">
        <v>2904</v>
      </c>
      <c r="BA13" s="9" t="s">
        <v>3156</v>
      </c>
      <c r="BB13" s="9" t="s">
        <v>3157</v>
      </c>
    </row>
    <row r="14" spans="1:61" x14ac:dyDescent="0.25">
      <c r="A14" s="24" t="s">
        <v>86</v>
      </c>
      <c r="B14" s="24" t="s">
        <v>87</v>
      </c>
      <c r="E14" s="19" t="s">
        <v>270</v>
      </c>
      <c r="H14" s="19" t="s">
        <v>335</v>
      </c>
      <c r="J14" s="19" t="s">
        <v>350</v>
      </c>
      <c r="K14" s="17" t="s">
        <v>534</v>
      </c>
      <c r="M14" s="19" t="s">
        <v>688</v>
      </c>
      <c r="N14" s="19" t="s">
        <v>576</v>
      </c>
      <c r="O14" s="25"/>
      <c r="P14" s="25"/>
      <c r="Q14" s="25"/>
      <c r="S14" s="24" t="s">
        <v>1241</v>
      </c>
      <c r="T14" s="19" t="s">
        <v>1420</v>
      </c>
      <c r="U14" s="25"/>
      <c r="V14" s="27" t="s">
        <v>1407</v>
      </c>
      <c r="W14" s="27" t="s">
        <v>1586</v>
      </c>
      <c r="Y14" s="31" t="s">
        <v>2159</v>
      </c>
      <c r="Z14" s="31" t="s">
        <v>2351</v>
      </c>
      <c r="AA14" s="25"/>
      <c r="AB14" s="31" t="s">
        <v>2543</v>
      </c>
      <c r="AC14" s="31" t="s">
        <v>2596</v>
      </c>
      <c r="AE14" s="19" t="s">
        <v>1617</v>
      </c>
      <c r="AF14" s="19" t="s">
        <v>1618</v>
      </c>
      <c r="AG14" s="25"/>
      <c r="AH14" s="25"/>
      <c r="AI14" s="26"/>
      <c r="AJ14" s="25"/>
      <c r="AK14" s="25"/>
      <c r="AL14" s="25"/>
      <c r="AM14" s="25"/>
      <c r="AN14" s="25"/>
      <c r="AO14" s="25"/>
      <c r="AP14" s="25"/>
      <c r="AQ14" s="25"/>
      <c r="AR14" s="25"/>
      <c r="AS14" s="25"/>
      <c r="AT14" s="25"/>
      <c r="AU14" s="25"/>
      <c r="AV14" s="25"/>
      <c r="AW14" s="19" t="s">
        <v>2605</v>
      </c>
      <c r="AX14" s="19" t="s">
        <v>2905</v>
      </c>
      <c r="BA14" s="9" t="s">
        <v>3158</v>
      </c>
      <c r="BB14" s="9" t="s">
        <v>3159</v>
      </c>
    </row>
    <row r="15" spans="1:61" x14ac:dyDescent="0.25">
      <c r="A15" s="24" t="s">
        <v>88</v>
      </c>
      <c r="B15" s="24" t="s">
        <v>89</v>
      </c>
      <c r="E15" s="19" t="s">
        <v>2864</v>
      </c>
      <c r="J15" s="19" t="s">
        <v>351</v>
      </c>
      <c r="K15" s="17" t="s">
        <v>535</v>
      </c>
      <c r="M15" s="19" t="s">
        <v>689</v>
      </c>
      <c r="N15" s="19" t="s">
        <v>577</v>
      </c>
      <c r="O15" s="25"/>
      <c r="P15" s="25"/>
      <c r="Q15" s="25"/>
      <c r="S15" s="24" t="s">
        <v>1242</v>
      </c>
      <c r="T15" s="19" t="s">
        <v>1421</v>
      </c>
      <c r="U15" s="25"/>
      <c r="V15" s="28"/>
      <c r="W15" s="25"/>
      <c r="Y15" s="31" t="s">
        <v>2160</v>
      </c>
      <c r="Z15" s="31" t="s">
        <v>2352</v>
      </c>
      <c r="AA15" s="25"/>
      <c r="AB15" s="31" t="s">
        <v>2544</v>
      </c>
      <c r="AC15" s="31" t="s">
        <v>2597</v>
      </c>
      <c r="AE15" s="19" t="s">
        <v>1619</v>
      </c>
      <c r="AF15" s="19" t="s">
        <v>1620</v>
      </c>
      <c r="AG15" s="25"/>
      <c r="AH15" s="25"/>
      <c r="AI15" s="26"/>
      <c r="AJ15" s="25"/>
      <c r="AK15" s="25"/>
      <c r="AL15" s="25"/>
      <c r="AM15" s="25"/>
      <c r="AN15" s="25"/>
      <c r="AO15" s="25"/>
      <c r="AP15" s="25"/>
      <c r="AQ15" s="25"/>
      <c r="AR15" s="25"/>
      <c r="AS15" s="25"/>
      <c r="AT15" s="25"/>
      <c r="AU15" s="25"/>
      <c r="AV15" s="25"/>
      <c r="AW15" s="19" t="s">
        <v>2606</v>
      </c>
      <c r="AX15" s="19" t="s">
        <v>2906</v>
      </c>
      <c r="BA15" s="9" t="s">
        <v>3160</v>
      </c>
      <c r="BB15" s="9" t="s">
        <v>3161</v>
      </c>
    </row>
    <row r="16" spans="1:61" x14ac:dyDescent="0.25">
      <c r="A16" s="24" t="s">
        <v>90</v>
      </c>
      <c r="B16" s="24" t="s">
        <v>91</v>
      </c>
      <c r="E16" s="19" t="s">
        <v>273</v>
      </c>
      <c r="J16" s="19" t="s">
        <v>352</v>
      </c>
      <c r="K16" s="17" t="s">
        <v>536</v>
      </c>
      <c r="M16" s="19" t="s">
        <v>690</v>
      </c>
      <c r="N16" s="19" t="s">
        <v>578</v>
      </c>
      <c r="O16" s="25"/>
      <c r="P16" s="25"/>
      <c r="Q16" s="25"/>
      <c r="S16" s="24" t="s">
        <v>1243</v>
      </c>
      <c r="T16" s="19" t="s">
        <v>1422</v>
      </c>
      <c r="U16" s="25"/>
      <c r="V16" s="28"/>
      <c r="W16" s="25"/>
      <c r="Y16" s="31" t="s">
        <v>2161</v>
      </c>
      <c r="Z16" s="31" t="s">
        <v>2353</v>
      </c>
      <c r="AA16" s="25"/>
      <c r="AB16" s="31" t="s">
        <v>2545</v>
      </c>
      <c r="AC16" s="31" t="s">
        <v>2598</v>
      </c>
      <c r="AE16" s="19" t="s">
        <v>1621</v>
      </c>
      <c r="AF16" s="19" t="s">
        <v>1622</v>
      </c>
      <c r="AG16" s="25"/>
      <c r="AH16" s="25"/>
      <c r="AI16" s="26"/>
      <c r="AJ16" s="25"/>
      <c r="AK16" s="25"/>
      <c r="AL16" s="25"/>
      <c r="AM16" s="25"/>
      <c r="AN16" s="25"/>
      <c r="AO16" s="25"/>
      <c r="AP16" s="25"/>
      <c r="AQ16" s="25"/>
      <c r="AR16" s="25"/>
      <c r="AS16" s="25"/>
      <c r="AT16" s="25"/>
      <c r="AU16" s="25"/>
      <c r="AV16" s="25"/>
      <c r="AW16" s="19" t="s">
        <v>2607</v>
      </c>
      <c r="AX16" s="19" t="s">
        <v>2907</v>
      </c>
      <c r="BA16" s="9" t="s">
        <v>3162</v>
      </c>
      <c r="BB16" s="9" t="s">
        <v>3163</v>
      </c>
    </row>
    <row r="17" spans="1:54" x14ac:dyDescent="0.25">
      <c r="A17" s="24" t="s">
        <v>92</v>
      </c>
      <c r="B17" s="24" t="s">
        <v>93</v>
      </c>
      <c r="E17" s="19" t="s">
        <v>277</v>
      </c>
      <c r="J17" s="19" t="s">
        <v>353</v>
      </c>
      <c r="K17" s="17" t="s">
        <v>537</v>
      </c>
      <c r="M17" s="19" t="s">
        <v>691</v>
      </c>
      <c r="N17" s="19" t="s">
        <v>579</v>
      </c>
      <c r="O17" s="25"/>
      <c r="P17" s="25"/>
      <c r="Q17" s="25"/>
      <c r="S17" s="24" t="s">
        <v>1244</v>
      </c>
      <c r="T17" s="19" t="s">
        <v>1423</v>
      </c>
      <c r="U17" s="25"/>
      <c r="V17" s="28"/>
      <c r="W17" s="25"/>
      <c r="Y17" s="31" t="s">
        <v>2162</v>
      </c>
      <c r="Z17" s="31" t="s">
        <v>2354</v>
      </c>
      <c r="AA17" s="25"/>
      <c r="AB17" s="29"/>
      <c r="AC17" s="26"/>
      <c r="AE17" s="19" t="s">
        <v>1623</v>
      </c>
      <c r="AF17" s="19" t="s">
        <v>1624</v>
      </c>
      <c r="AG17" s="25"/>
      <c r="AH17" s="25"/>
      <c r="AI17" s="26"/>
      <c r="AJ17" s="25"/>
      <c r="AK17" s="25"/>
      <c r="AL17" s="25"/>
      <c r="AM17" s="25"/>
      <c r="AN17" s="25"/>
      <c r="AO17" s="25"/>
      <c r="AP17" s="25"/>
      <c r="AQ17" s="25"/>
      <c r="AR17" s="25"/>
      <c r="AS17" s="25"/>
      <c r="AT17" s="25"/>
      <c r="AU17" s="25"/>
      <c r="AV17" s="25"/>
      <c r="AW17" s="19" t="s">
        <v>2608</v>
      </c>
      <c r="AX17" s="19" t="s">
        <v>2908</v>
      </c>
      <c r="BA17" s="9" t="s">
        <v>3164</v>
      </c>
      <c r="BB17" s="9" t="s">
        <v>3165</v>
      </c>
    </row>
    <row r="18" spans="1:54" x14ac:dyDescent="0.25">
      <c r="A18" s="24" t="s">
        <v>94</v>
      </c>
      <c r="B18" s="24" t="s">
        <v>95</v>
      </c>
      <c r="E18" s="19" t="s">
        <v>276</v>
      </c>
      <c r="J18" s="19" t="s">
        <v>354</v>
      </c>
      <c r="K18" s="17" t="s">
        <v>538</v>
      </c>
      <c r="M18" s="19" t="s">
        <v>692</v>
      </c>
      <c r="N18" s="19" t="s">
        <v>580</v>
      </c>
      <c r="O18" s="25"/>
      <c r="P18" s="25"/>
      <c r="Q18" s="25"/>
      <c r="S18" s="24" t="s">
        <v>1245</v>
      </c>
      <c r="T18" s="19" t="s">
        <v>1424</v>
      </c>
      <c r="U18" s="25"/>
      <c r="V18" s="28"/>
      <c r="W18" s="25"/>
      <c r="Y18" s="31" t="s">
        <v>2163</v>
      </c>
      <c r="Z18" s="31" t="s">
        <v>2355</v>
      </c>
      <c r="AA18" s="25"/>
      <c r="AB18" s="29"/>
      <c r="AC18" s="26"/>
      <c r="AE18" s="19" t="s">
        <v>1625</v>
      </c>
      <c r="AF18" s="19" t="s">
        <v>1626</v>
      </c>
      <c r="AG18" s="25"/>
      <c r="AH18" s="25"/>
      <c r="AI18" s="26"/>
      <c r="AJ18" s="25"/>
      <c r="AK18" s="25"/>
      <c r="AL18" s="25"/>
      <c r="AM18" s="25"/>
      <c r="AN18" s="25"/>
      <c r="AO18" s="25"/>
      <c r="AP18" s="25"/>
      <c r="AQ18" s="25"/>
      <c r="AR18" s="25"/>
      <c r="AS18" s="25"/>
      <c r="AT18" s="25"/>
      <c r="AU18" s="25"/>
      <c r="AV18" s="25"/>
      <c r="AW18" s="19" t="s">
        <v>2609</v>
      </c>
      <c r="AX18" s="19" t="s">
        <v>2909</v>
      </c>
      <c r="BA18" s="9" t="s">
        <v>3166</v>
      </c>
      <c r="BB18" s="9" t="s">
        <v>3167</v>
      </c>
    </row>
    <row r="19" spans="1:54" x14ac:dyDescent="0.25">
      <c r="A19" s="24" t="s">
        <v>96</v>
      </c>
      <c r="B19" s="24" t="s">
        <v>97</v>
      </c>
      <c r="E19" s="19" t="s">
        <v>274</v>
      </c>
      <c r="J19" s="19" t="s">
        <v>355</v>
      </c>
      <c r="K19" s="17" t="s">
        <v>539</v>
      </c>
      <c r="M19" s="19" t="s">
        <v>693</v>
      </c>
      <c r="N19" s="19" t="s">
        <v>581</v>
      </c>
      <c r="O19" s="25"/>
      <c r="P19" s="25"/>
      <c r="Q19" s="25"/>
      <c r="S19" s="24" t="s">
        <v>1246</v>
      </c>
      <c r="T19" s="19" t="s">
        <v>1425</v>
      </c>
      <c r="U19" s="25"/>
      <c r="V19" s="28"/>
      <c r="W19" s="25"/>
      <c r="Y19" s="31" t="s">
        <v>2164</v>
      </c>
      <c r="Z19" s="31" t="s">
        <v>2356</v>
      </c>
      <c r="AA19" s="25"/>
      <c r="AB19" s="29"/>
      <c r="AC19" s="26"/>
      <c r="AE19" s="19" t="s">
        <v>1627</v>
      </c>
      <c r="AF19" s="19" t="s">
        <v>1628</v>
      </c>
      <c r="AG19" s="25"/>
      <c r="AH19" s="25"/>
      <c r="AI19" s="26"/>
      <c r="AJ19" s="25"/>
      <c r="AK19" s="25"/>
      <c r="AL19" s="25"/>
      <c r="AM19" s="25"/>
      <c r="AN19" s="25"/>
      <c r="AO19" s="25"/>
      <c r="AP19" s="25"/>
      <c r="AQ19" s="25"/>
      <c r="AR19" s="25"/>
      <c r="AS19" s="25"/>
      <c r="AT19" s="25"/>
      <c r="AU19" s="25"/>
      <c r="AV19" s="25"/>
      <c r="AW19" s="19" t="s">
        <v>2610</v>
      </c>
      <c r="AX19" s="19" t="s">
        <v>2910</v>
      </c>
      <c r="BA19" s="9" t="s">
        <v>3168</v>
      </c>
      <c r="BB19" s="9" t="s">
        <v>3169</v>
      </c>
    </row>
    <row r="20" spans="1:54" x14ac:dyDescent="0.25">
      <c r="A20" s="24" t="s">
        <v>98</v>
      </c>
      <c r="B20" s="24" t="s">
        <v>99</v>
      </c>
      <c r="E20" s="19" t="s">
        <v>275</v>
      </c>
      <c r="J20" s="19" t="s">
        <v>356</v>
      </c>
      <c r="K20" s="17" t="s">
        <v>540</v>
      </c>
      <c r="M20" s="19" t="s">
        <v>694</v>
      </c>
      <c r="N20" s="19" t="s">
        <v>582</v>
      </c>
      <c r="O20" s="25"/>
      <c r="P20" s="25"/>
      <c r="Q20" s="25"/>
      <c r="S20" s="24" t="s">
        <v>1247</v>
      </c>
      <c r="T20" s="19" t="s">
        <v>1426</v>
      </c>
      <c r="U20" s="25"/>
      <c r="V20" s="28"/>
      <c r="W20" s="25"/>
      <c r="Y20" s="31" t="s">
        <v>2165</v>
      </c>
      <c r="Z20" s="31" t="s">
        <v>2357</v>
      </c>
      <c r="AA20" s="25"/>
      <c r="AB20" s="29"/>
      <c r="AC20" s="26"/>
      <c r="AE20" s="19" t="s">
        <v>1629</v>
      </c>
      <c r="AF20" s="19" t="s">
        <v>1630</v>
      </c>
      <c r="AG20" s="25"/>
      <c r="AH20" s="25"/>
      <c r="AI20" s="26"/>
      <c r="AJ20" s="25"/>
      <c r="AK20" s="25"/>
      <c r="AL20" s="25"/>
      <c r="AM20" s="25"/>
      <c r="AN20" s="25"/>
      <c r="AO20" s="25"/>
      <c r="AP20" s="25"/>
      <c r="AQ20" s="25"/>
      <c r="AR20" s="25"/>
      <c r="AS20" s="25"/>
      <c r="AT20" s="25"/>
      <c r="AU20" s="25"/>
      <c r="AV20" s="25"/>
      <c r="AW20" s="19" t="s">
        <v>2611</v>
      </c>
      <c r="AX20" s="19" t="s">
        <v>2911</v>
      </c>
      <c r="BA20" s="9" t="s">
        <v>3170</v>
      </c>
      <c r="BB20" s="9" t="s">
        <v>3171</v>
      </c>
    </row>
    <row r="21" spans="1:54" x14ac:dyDescent="0.25">
      <c r="A21" s="24" t="s">
        <v>100</v>
      </c>
      <c r="B21" s="24" t="s">
        <v>101</v>
      </c>
      <c r="E21" s="19" t="s">
        <v>263</v>
      </c>
      <c r="J21" s="19" t="s">
        <v>357</v>
      </c>
      <c r="K21" s="17" t="s">
        <v>541</v>
      </c>
      <c r="M21" s="19" t="s">
        <v>695</v>
      </c>
      <c r="N21" s="19" t="s">
        <v>583</v>
      </c>
      <c r="O21" s="25"/>
      <c r="P21" s="25"/>
      <c r="Q21" s="25"/>
      <c r="S21" s="24" t="s">
        <v>1248</v>
      </c>
      <c r="T21" s="19" t="s">
        <v>1427</v>
      </c>
      <c r="U21" s="25"/>
      <c r="V21" s="28"/>
      <c r="W21" s="25"/>
      <c r="Y21" s="31" t="s">
        <v>2166</v>
      </c>
      <c r="Z21" s="31" t="s">
        <v>2358</v>
      </c>
      <c r="AA21" s="25"/>
      <c r="AB21" s="29"/>
      <c r="AC21" s="26"/>
      <c r="AE21" s="19" t="s">
        <v>1631</v>
      </c>
      <c r="AF21" s="19" t="s">
        <v>1632</v>
      </c>
      <c r="AG21" s="25"/>
      <c r="AH21" s="25"/>
      <c r="AI21" s="26"/>
      <c r="AJ21" s="25"/>
      <c r="AK21" s="25"/>
      <c r="AL21" s="25"/>
      <c r="AM21" s="25"/>
      <c r="AN21" s="25"/>
      <c r="AO21" s="25"/>
      <c r="AP21" s="25"/>
      <c r="AQ21" s="25"/>
      <c r="AR21" s="25"/>
      <c r="AS21" s="25"/>
      <c r="AT21" s="25"/>
      <c r="AU21" s="25"/>
      <c r="AV21" s="25"/>
      <c r="AW21" s="19" t="s">
        <v>2612</v>
      </c>
      <c r="AX21" s="19" t="s">
        <v>2912</v>
      </c>
      <c r="BA21" s="9" t="s">
        <v>3172</v>
      </c>
      <c r="BB21" s="9" t="s">
        <v>3173</v>
      </c>
    </row>
    <row r="22" spans="1:54" x14ac:dyDescent="0.25">
      <c r="A22" s="24" t="s">
        <v>102</v>
      </c>
      <c r="B22" s="24" t="s">
        <v>103</v>
      </c>
      <c r="E22" s="19" t="s">
        <v>262</v>
      </c>
      <c r="J22" s="19" t="s">
        <v>358</v>
      </c>
      <c r="K22" s="17" t="s">
        <v>542</v>
      </c>
      <c r="M22" s="19" t="s">
        <v>696</v>
      </c>
      <c r="N22" s="19" t="s">
        <v>994</v>
      </c>
      <c r="O22" s="25"/>
      <c r="P22" s="25"/>
      <c r="Q22" s="25"/>
      <c r="S22" s="24" t="s">
        <v>1249</v>
      </c>
      <c r="T22" s="19" t="s">
        <v>1428</v>
      </c>
      <c r="U22" s="25"/>
      <c r="V22" s="28"/>
      <c r="W22" s="25"/>
      <c r="Y22" s="31" t="s">
        <v>2167</v>
      </c>
      <c r="Z22" s="31" t="s">
        <v>2359</v>
      </c>
      <c r="AA22" s="25"/>
      <c r="AB22" s="29"/>
      <c r="AC22" s="26"/>
      <c r="AE22" s="19" t="s">
        <v>1633</v>
      </c>
      <c r="AF22" s="19" t="s">
        <v>1634</v>
      </c>
      <c r="AG22" s="25"/>
      <c r="AH22" s="25"/>
      <c r="AI22" s="26"/>
      <c r="AJ22" s="25"/>
      <c r="AK22" s="25"/>
      <c r="AL22" s="25"/>
      <c r="AM22" s="25"/>
      <c r="AN22" s="25"/>
      <c r="AO22" s="25"/>
      <c r="AP22" s="25"/>
      <c r="AQ22" s="25"/>
      <c r="AR22" s="25"/>
      <c r="AS22" s="25"/>
      <c r="AT22" s="25"/>
      <c r="AU22" s="25"/>
      <c r="AV22" s="25"/>
      <c r="AW22" s="19" t="s">
        <v>2613</v>
      </c>
      <c r="AX22" s="19" t="s">
        <v>2913</v>
      </c>
      <c r="BA22" s="9" t="s">
        <v>3174</v>
      </c>
      <c r="BB22" s="9" t="s">
        <v>3175</v>
      </c>
    </row>
    <row r="23" spans="1:54" x14ac:dyDescent="0.25">
      <c r="A23" s="24" t="s">
        <v>104</v>
      </c>
      <c r="B23" s="24" t="s">
        <v>105</v>
      </c>
      <c r="E23" s="19" t="s">
        <v>281</v>
      </c>
      <c r="J23" s="19" t="s">
        <v>359</v>
      </c>
      <c r="K23" s="17" t="s">
        <v>543</v>
      </c>
      <c r="M23" s="19" t="s">
        <v>697</v>
      </c>
      <c r="N23" s="19" t="s">
        <v>584</v>
      </c>
      <c r="O23" s="25"/>
      <c r="P23" s="25"/>
      <c r="Q23" s="25"/>
      <c r="S23" s="24" t="s">
        <v>1250</v>
      </c>
      <c r="T23" s="19" t="s">
        <v>1429</v>
      </c>
      <c r="U23" s="25"/>
      <c r="V23" s="28"/>
      <c r="W23" s="25"/>
      <c r="Y23" s="31" t="s">
        <v>2168</v>
      </c>
      <c r="Z23" s="31" t="s">
        <v>2360</v>
      </c>
      <c r="AA23" s="25"/>
      <c r="AB23" s="29"/>
      <c r="AC23" s="26"/>
      <c r="AE23" s="19" t="s">
        <v>1635</v>
      </c>
      <c r="AF23" s="19" t="s">
        <v>1636</v>
      </c>
      <c r="AG23" s="25"/>
      <c r="AH23" s="25"/>
      <c r="AI23" s="26"/>
      <c r="AJ23" s="25"/>
      <c r="AK23" s="25"/>
      <c r="AL23" s="25"/>
      <c r="AM23" s="25"/>
      <c r="AN23" s="25"/>
      <c r="AO23" s="25"/>
      <c r="AP23" s="25"/>
      <c r="AQ23" s="25"/>
      <c r="AR23" s="25"/>
      <c r="AS23" s="25"/>
      <c r="AT23" s="25"/>
      <c r="AU23" s="25"/>
      <c r="AV23" s="25"/>
      <c r="AW23" s="19" t="s">
        <v>2614</v>
      </c>
      <c r="AX23" s="19" t="s">
        <v>2914</v>
      </c>
      <c r="BA23" s="9" t="s">
        <v>3176</v>
      </c>
      <c r="BB23" s="9" t="s">
        <v>3177</v>
      </c>
    </row>
    <row r="24" spans="1:54" x14ac:dyDescent="0.25">
      <c r="A24" s="24" t="s">
        <v>106</v>
      </c>
      <c r="B24" s="24" t="s">
        <v>107</v>
      </c>
      <c r="E24" s="19" t="s">
        <v>279</v>
      </c>
      <c r="J24" s="19" t="s">
        <v>360</v>
      </c>
      <c r="K24" s="17" t="s">
        <v>544</v>
      </c>
      <c r="M24" s="19" t="s">
        <v>698</v>
      </c>
      <c r="N24" s="19" t="s">
        <v>585</v>
      </c>
      <c r="O24" s="25"/>
      <c r="P24" s="25"/>
      <c r="Q24" s="25"/>
      <c r="S24" s="24" t="s">
        <v>1251</v>
      </c>
      <c r="T24" s="19" t="s">
        <v>1430</v>
      </c>
      <c r="U24" s="25"/>
      <c r="V24" s="28"/>
      <c r="W24" s="25"/>
      <c r="Y24" s="31" t="s">
        <v>2169</v>
      </c>
      <c r="Z24" s="31" t="s">
        <v>2361</v>
      </c>
      <c r="AA24" s="25"/>
      <c r="AB24" s="29"/>
      <c r="AC24" s="26"/>
      <c r="AE24" s="19" t="s">
        <v>1637</v>
      </c>
      <c r="AF24" s="19" t="s">
        <v>1638</v>
      </c>
      <c r="AG24" s="25"/>
      <c r="AH24" s="25"/>
      <c r="AI24" s="26"/>
      <c r="AJ24" s="25"/>
      <c r="AK24" s="25"/>
      <c r="AL24" s="25"/>
      <c r="AM24" s="25"/>
      <c r="AN24" s="25"/>
      <c r="AO24" s="25"/>
      <c r="AP24" s="25"/>
      <c r="AQ24" s="25"/>
      <c r="AR24" s="25"/>
      <c r="AS24" s="25"/>
      <c r="AT24" s="25"/>
      <c r="AU24" s="25"/>
      <c r="AV24" s="25"/>
      <c r="AW24" s="19" t="s">
        <v>2615</v>
      </c>
      <c r="AX24" s="19" t="s">
        <v>2915</v>
      </c>
      <c r="BA24" s="9" t="s">
        <v>3178</v>
      </c>
      <c r="BB24" s="9" t="s">
        <v>3179</v>
      </c>
    </row>
    <row r="25" spans="1:54" x14ac:dyDescent="0.25">
      <c r="A25" s="24" t="s">
        <v>108</v>
      </c>
      <c r="B25" s="24" t="s">
        <v>109</v>
      </c>
      <c r="E25" s="19" t="s">
        <v>278</v>
      </c>
      <c r="J25" s="19" t="s">
        <v>361</v>
      </c>
      <c r="K25" s="17" t="s">
        <v>545</v>
      </c>
      <c r="M25" s="19" t="s">
        <v>699</v>
      </c>
      <c r="N25" s="19" t="s">
        <v>586</v>
      </c>
      <c r="O25" s="25"/>
      <c r="P25" s="25"/>
      <c r="Q25" s="25"/>
      <c r="S25" s="24" t="s">
        <v>1252</v>
      </c>
      <c r="T25" s="19" t="s">
        <v>1431</v>
      </c>
      <c r="U25" s="25"/>
      <c r="V25" s="28"/>
      <c r="W25" s="25"/>
      <c r="Y25" s="31" t="s">
        <v>2170</v>
      </c>
      <c r="Z25" s="31" t="s">
        <v>2362</v>
      </c>
      <c r="AA25" s="25"/>
      <c r="AB25" s="29"/>
      <c r="AC25" s="26"/>
      <c r="AE25" s="19" t="s">
        <v>1639</v>
      </c>
      <c r="AF25" s="19" t="s">
        <v>1640</v>
      </c>
      <c r="AG25" s="25"/>
      <c r="AH25" s="25"/>
      <c r="AI25" s="26"/>
      <c r="AJ25" s="25"/>
      <c r="AK25" s="25"/>
      <c r="AL25" s="25"/>
      <c r="AM25" s="25"/>
      <c r="AN25" s="25"/>
      <c r="AO25" s="25"/>
      <c r="AP25" s="25"/>
      <c r="AQ25" s="25"/>
      <c r="AR25" s="25"/>
      <c r="AS25" s="25"/>
      <c r="AT25" s="25"/>
      <c r="AU25" s="25"/>
      <c r="AV25" s="25"/>
      <c r="AW25" s="19" t="s">
        <v>2616</v>
      </c>
      <c r="AX25" s="19" t="s">
        <v>2916</v>
      </c>
      <c r="BA25" s="9" t="s">
        <v>3180</v>
      </c>
      <c r="BB25" s="9" t="s">
        <v>3181</v>
      </c>
    </row>
    <row r="26" spans="1:54" x14ac:dyDescent="0.25">
      <c r="A26" s="24" t="s">
        <v>110</v>
      </c>
      <c r="B26" s="24" t="s">
        <v>111</v>
      </c>
      <c r="E26" s="19" t="s">
        <v>280</v>
      </c>
      <c r="J26" s="19" t="s">
        <v>362</v>
      </c>
      <c r="K26" s="17" t="s">
        <v>546</v>
      </c>
      <c r="M26" s="19" t="s">
        <v>700</v>
      </c>
      <c r="N26" s="19" t="s">
        <v>587</v>
      </c>
      <c r="O26" s="25"/>
      <c r="P26" s="25"/>
      <c r="Q26" s="25"/>
      <c r="S26" s="24" t="s">
        <v>1253</v>
      </c>
      <c r="T26" s="19" t="s">
        <v>1432</v>
      </c>
      <c r="U26" s="25"/>
      <c r="V26" s="28"/>
      <c r="W26" s="25"/>
      <c r="Y26" s="31" t="s">
        <v>2171</v>
      </c>
      <c r="Z26" s="31" t="s">
        <v>2363</v>
      </c>
      <c r="AA26" s="25"/>
      <c r="AB26" s="29"/>
      <c r="AC26" s="26"/>
      <c r="AE26" s="19" t="s">
        <v>1641</v>
      </c>
      <c r="AF26" s="19" t="s">
        <v>1642</v>
      </c>
      <c r="AG26" s="25"/>
      <c r="AH26" s="25"/>
      <c r="AI26" s="26"/>
      <c r="AJ26" s="25"/>
      <c r="AK26" s="25"/>
      <c r="AL26" s="25"/>
      <c r="AM26" s="25"/>
      <c r="AN26" s="25"/>
      <c r="AO26" s="25"/>
      <c r="AP26" s="25"/>
      <c r="AQ26" s="25"/>
      <c r="AR26" s="25"/>
      <c r="AS26" s="25"/>
      <c r="AT26" s="25"/>
      <c r="AU26" s="25"/>
      <c r="AV26" s="25"/>
      <c r="AW26" s="19" t="s">
        <v>2617</v>
      </c>
      <c r="AX26" s="19" t="s">
        <v>2917</v>
      </c>
      <c r="BA26" s="9" t="s">
        <v>3182</v>
      </c>
      <c r="BB26" s="9" t="s">
        <v>3183</v>
      </c>
    </row>
    <row r="27" spans="1:54" x14ac:dyDescent="0.25">
      <c r="A27" s="24" t="s">
        <v>112</v>
      </c>
      <c r="B27" s="24" t="s">
        <v>113</v>
      </c>
      <c r="E27" s="19" t="s">
        <v>283</v>
      </c>
      <c r="J27" s="19" t="s">
        <v>363</v>
      </c>
      <c r="K27" s="17" t="s">
        <v>547</v>
      </c>
      <c r="M27" s="19" t="s">
        <v>701</v>
      </c>
      <c r="N27" s="19" t="s">
        <v>588</v>
      </c>
      <c r="O27" s="25"/>
      <c r="P27" s="25"/>
      <c r="Q27" s="25"/>
      <c r="S27" s="24" t="s">
        <v>1254</v>
      </c>
      <c r="T27" s="19" t="s">
        <v>1433</v>
      </c>
      <c r="U27" s="25"/>
      <c r="V27" s="28"/>
      <c r="W27" s="25"/>
      <c r="Y27" s="31" t="s">
        <v>2172</v>
      </c>
      <c r="Z27" s="31" t="s">
        <v>2364</v>
      </c>
      <c r="AA27" s="25"/>
      <c r="AB27" s="29"/>
      <c r="AC27" s="26"/>
      <c r="AE27" s="19" t="s">
        <v>1643</v>
      </c>
      <c r="AF27" s="19" t="s">
        <v>1644</v>
      </c>
      <c r="AG27" s="25"/>
      <c r="AH27" s="25"/>
      <c r="AI27" s="26"/>
      <c r="AJ27" s="25"/>
      <c r="AK27" s="25"/>
      <c r="AL27" s="25"/>
      <c r="AM27" s="25"/>
      <c r="AN27" s="25"/>
      <c r="AO27" s="25"/>
      <c r="AP27" s="25"/>
      <c r="AQ27" s="25"/>
      <c r="AR27" s="25"/>
      <c r="AS27" s="25"/>
      <c r="AT27" s="25"/>
      <c r="AU27" s="25"/>
      <c r="AV27" s="25"/>
      <c r="AW27" s="19" t="s">
        <v>2618</v>
      </c>
      <c r="AX27" s="19" t="s">
        <v>2918</v>
      </c>
      <c r="BA27" s="9" t="s">
        <v>3184</v>
      </c>
      <c r="BB27" s="9" t="s">
        <v>3185</v>
      </c>
    </row>
    <row r="28" spans="1:54" x14ac:dyDescent="0.25">
      <c r="A28" s="24" t="s">
        <v>114</v>
      </c>
      <c r="B28" s="24" t="s">
        <v>115</v>
      </c>
      <c r="E28" s="19" t="s">
        <v>282</v>
      </c>
      <c r="J28" s="19" t="s">
        <v>364</v>
      </c>
      <c r="K28" s="17" t="s">
        <v>548</v>
      </c>
      <c r="M28" s="19" t="s">
        <v>702</v>
      </c>
      <c r="N28" s="19" t="s">
        <v>589</v>
      </c>
      <c r="O28" s="25"/>
      <c r="P28" s="25"/>
      <c r="Q28" s="25"/>
      <c r="S28" s="24" t="s">
        <v>1255</v>
      </c>
      <c r="T28" s="19" t="s">
        <v>1434</v>
      </c>
      <c r="U28" s="25"/>
      <c r="V28" s="28"/>
      <c r="W28" s="25"/>
      <c r="Y28" s="31" t="s">
        <v>2173</v>
      </c>
      <c r="Z28" s="31" t="s">
        <v>2365</v>
      </c>
      <c r="AA28" s="25"/>
      <c r="AB28" s="29"/>
      <c r="AC28" s="26"/>
      <c r="AE28" s="19" t="s">
        <v>1645</v>
      </c>
      <c r="AF28" s="19" t="s">
        <v>1646</v>
      </c>
      <c r="AG28" s="25"/>
      <c r="AH28" s="25"/>
      <c r="AI28" s="26"/>
      <c r="AJ28" s="25"/>
      <c r="AK28" s="25"/>
      <c r="AL28" s="25"/>
      <c r="AM28" s="25"/>
      <c r="AN28" s="25"/>
      <c r="AO28" s="25"/>
      <c r="AP28" s="25"/>
      <c r="AQ28" s="25"/>
      <c r="AR28" s="25"/>
      <c r="AS28" s="25"/>
      <c r="AT28" s="25"/>
      <c r="AU28" s="25"/>
      <c r="AV28" s="25"/>
      <c r="AW28" s="19" t="s">
        <v>2619</v>
      </c>
      <c r="AX28" s="19" t="s">
        <v>2919</v>
      </c>
      <c r="BA28" s="9" t="s">
        <v>3186</v>
      </c>
      <c r="BB28" s="9" t="s">
        <v>3187</v>
      </c>
    </row>
    <row r="29" spans="1:54" x14ac:dyDescent="0.25">
      <c r="A29" s="24" t="s">
        <v>116</v>
      </c>
      <c r="B29" s="24" t="s">
        <v>117</v>
      </c>
      <c r="E29" s="19" t="s">
        <v>265</v>
      </c>
      <c r="J29" s="19" t="s">
        <v>365</v>
      </c>
      <c r="K29" s="17" t="s">
        <v>549</v>
      </c>
      <c r="M29" s="19" t="s">
        <v>703</v>
      </c>
      <c r="N29" s="19" t="s">
        <v>590</v>
      </c>
      <c r="O29" s="25"/>
      <c r="P29" s="25"/>
      <c r="Q29" s="25"/>
      <c r="S29" s="24" t="s">
        <v>1256</v>
      </c>
      <c r="T29" s="19" t="s">
        <v>1435</v>
      </c>
      <c r="U29" s="25"/>
      <c r="V29" s="28"/>
      <c r="W29" s="25"/>
      <c r="Y29" s="31" t="s">
        <v>2174</v>
      </c>
      <c r="Z29" s="31" t="s">
        <v>2366</v>
      </c>
      <c r="AA29" s="25"/>
      <c r="AB29" s="29"/>
      <c r="AC29" s="26"/>
      <c r="AE29" s="19" t="s">
        <v>1647</v>
      </c>
      <c r="AF29" s="19" t="s">
        <v>1648</v>
      </c>
      <c r="AG29" s="25"/>
      <c r="AH29" s="25"/>
      <c r="AI29" s="26"/>
      <c r="AJ29" s="25"/>
      <c r="AK29" s="25"/>
      <c r="AL29" s="25"/>
      <c r="AM29" s="25"/>
      <c r="AN29" s="25"/>
      <c r="AO29" s="25"/>
      <c r="AP29" s="25"/>
      <c r="AQ29" s="25"/>
      <c r="AR29" s="25"/>
      <c r="AS29" s="25"/>
      <c r="AT29" s="25"/>
      <c r="AU29" s="25"/>
      <c r="AV29" s="25"/>
      <c r="AW29" s="19" t="s">
        <v>2620</v>
      </c>
      <c r="AX29" s="19" t="s">
        <v>2920</v>
      </c>
      <c r="BA29" s="9" t="s">
        <v>3188</v>
      </c>
      <c r="BB29" s="9" t="s">
        <v>3189</v>
      </c>
    </row>
    <row r="30" spans="1:54" x14ac:dyDescent="0.25">
      <c r="A30" s="24" t="s">
        <v>118</v>
      </c>
      <c r="B30" s="24" t="s">
        <v>119</v>
      </c>
      <c r="J30" s="19" t="s">
        <v>366</v>
      </c>
      <c r="K30" s="17" t="s">
        <v>550</v>
      </c>
      <c r="M30" s="19" t="s">
        <v>704</v>
      </c>
      <c r="N30" s="19" t="s">
        <v>591</v>
      </c>
      <c r="O30" s="25"/>
      <c r="P30" s="25"/>
      <c r="Q30" s="25"/>
      <c r="S30" s="24" t="s">
        <v>1257</v>
      </c>
      <c r="T30" s="19" t="s">
        <v>1436</v>
      </c>
      <c r="U30" s="25"/>
      <c r="V30" s="28"/>
      <c r="W30" s="25"/>
      <c r="Y30" s="31" t="s">
        <v>2175</v>
      </c>
      <c r="Z30" s="31" t="s">
        <v>2367</v>
      </c>
      <c r="AA30" s="25"/>
      <c r="AB30" s="29"/>
      <c r="AC30" s="26"/>
      <c r="AE30" s="19" t="s">
        <v>1649</v>
      </c>
      <c r="AF30" s="19" t="s">
        <v>1650</v>
      </c>
      <c r="AG30" s="25"/>
      <c r="AH30" s="25"/>
      <c r="AI30" s="26"/>
      <c r="AJ30" s="25"/>
      <c r="AK30" s="25"/>
      <c r="AL30" s="25"/>
      <c r="AM30" s="25"/>
      <c r="AN30" s="25"/>
      <c r="AO30" s="25"/>
      <c r="AP30" s="25"/>
      <c r="AQ30" s="25"/>
      <c r="AR30" s="25"/>
      <c r="AS30" s="25"/>
      <c r="AT30" s="25"/>
      <c r="AU30" s="25"/>
      <c r="AV30" s="25"/>
      <c r="AW30" s="19" t="s">
        <v>2621</v>
      </c>
      <c r="AX30" s="19" t="s">
        <v>2921</v>
      </c>
      <c r="BA30" s="9" t="s">
        <v>3190</v>
      </c>
      <c r="BB30" s="9" t="s">
        <v>3191</v>
      </c>
    </row>
    <row r="31" spans="1:54" x14ac:dyDescent="0.25">
      <c r="A31" s="24" t="s">
        <v>120</v>
      </c>
      <c r="B31" s="24" t="s">
        <v>121</v>
      </c>
      <c r="J31" s="19" t="s">
        <v>367</v>
      </c>
      <c r="K31" s="17" t="s">
        <v>551</v>
      </c>
      <c r="M31" s="19" t="s">
        <v>705</v>
      </c>
      <c r="N31" s="19" t="s">
        <v>592</v>
      </c>
      <c r="O31" s="25"/>
      <c r="P31" s="25"/>
      <c r="Q31" s="25"/>
      <c r="S31" s="24" t="s">
        <v>1258</v>
      </c>
      <c r="T31" s="19" t="s">
        <v>1437</v>
      </c>
      <c r="U31" s="25"/>
      <c r="V31" s="28"/>
      <c r="W31" s="25"/>
      <c r="Y31" s="31" t="s">
        <v>2176</v>
      </c>
      <c r="Z31" s="31" t="s">
        <v>2368</v>
      </c>
      <c r="AA31" s="25"/>
      <c r="AB31" s="29"/>
      <c r="AC31" s="26"/>
      <c r="AE31" s="19" t="s">
        <v>1651</v>
      </c>
      <c r="AF31" s="19" t="s">
        <v>1652</v>
      </c>
      <c r="AG31" s="25"/>
      <c r="AH31" s="25"/>
      <c r="AI31" s="26"/>
      <c r="AJ31" s="25"/>
      <c r="AK31" s="25"/>
      <c r="AL31" s="25"/>
      <c r="AM31" s="25"/>
      <c r="AN31" s="25"/>
      <c r="AO31" s="25"/>
      <c r="AP31" s="25"/>
      <c r="AQ31" s="25"/>
      <c r="AR31" s="25"/>
      <c r="AS31" s="25"/>
      <c r="AT31" s="25"/>
      <c r="AU31" s="25"/>
      <c r="AV31" s="25"/>
      <c r="AW31" s="19" t="s">
        <v>2622</v>
      </c>
      <c r="AX31" s="19" t="s">
        <v>2922</v>
      </c>
      <c r="BA31" s="9" t="s">
        <v>3192</v>
      </c>
      <c r="BB31" s="9" t="s">
        <v>3193</v>
      </c>
    </row>
    <row r="32" spans="1:54" x14ac:dyDescent="0.25">
      <c r="A32" s="24" t="s">
        <v>122</v>
      </c>
      <c r="B32" s="24" t="s">
        <v>123</v>
      </c>
      <c r="J32" s="19" t="s">
        <v>368</v>
      </c>
      <c r="K32" s="17" t="s">
        <v>552</v>
      </c>
      <c r="M32" s="19" t="s">
        <v>706</v>
      </c>
      <c r="N32" s="19" t="s">
        <v>593</v>
      </c>
      <c r="O32" s="25"/>
      <c r="P32" s="25"/>
      <c r="Q32" s="25"/>
      <c r="S32" s="24" t="s">
        <v>1259</v>
      </c>
      <c r="T32" s="19" t="s">
        <v>1438</v>
      </c>
      <c r="U32" s="25"/>
      <c r="V32" s="28"/>
      <c r="W32" s="25"/>
      <c r="Y32" s="31" t="s">
        <v>2177</v>
      </c>
      <c r="Z32" s="31" t="s">
        <v>2369</v>
      </c>
      <c r="AA32" s="25"/>
      <c r="AB32" s="29"/>
      <c r="AC32" s="26"/>
      <c r="AE32" s="19" t="s">
        <v>1653</v>
      </c>
      <c r="AF32" s="19" t="s">
        <v>1654</v>
      </c>
      <c r="AG32" s="25"/>
      <c r="AH32" s="25"/>
      <c r="AI32" s="26"/>
      <c r="AJ32" s="25"/>
      <c r="AK32" s="25"/>
      <c r="AL32" s="25"/>
      <c r="AM32" s="25"/>
      <c r="AN32" s="25"/>
      <c r="AO32" s="25"/>
      <c r="AP32" s="25"/>
      <c r="AQ32" s="25"/>
      <c r="AR32" s="25"/>
      <c r="AS32" s="25"/>
      <c r="AT32" s="25"/>
      <c r="AU32" s="25"/>
      <c r="AV32" s="25"/>
      <c r="AW32" s="19" t="s">
        <v>2623</v>
      </c>
      <c r="AX32" s="19" t="s">
        <v>2923</v>
      </c>
      <c r="BA32" s="9" t="s">
        <v>3194</v>
      </c>
      <c r="BB32" s="9" t="s">
        <v>3195</v>
      </c>
    </row>
    <row r="33" spans="1:54" x14ac:dyDescent="0.25">
      <c r="A33" s="24" t="s">
        <v>3809</v>
      </c>
      <c r="B33" s="24" t="s">
        <v>124</v>
      </c>
      <c r="J33" s="19" t="s">
        <v>369</v>
      </c>
      <c r="K33" s="17" t="s">
        <v>553</v>
      </c>
      <c r="M33" s="19" t="s">
        <v>707</v>
      </c>
      <c r="N33" s="19" t="s">
        <v>995</v>
      </c>
      <c r="O33" s="25"/>
      <c r="P33" s="25"/>
      <c r="Q33" s="25"/>
      <c r="S33" s="24" t="s">
        <v>1260</v>
      </c>
      <c r="T33" s="19" t="s">
        <v>1439</v>
      </c>
      <c r="U33" s="25"/>
      <c r="V33" s="28"/>
      <c r="W33" s="25"/>
      <c r="Y33" s="31" t="s">
        <v>2178</v>
      </c>
      <c r="Z33" s="31" t="s">
        <v>2370</v>
      </c>
      <c r="AA33" s="25"/>
      <c r="AB33" s="29"/>
      <c r="AC33" s="26"/>
      <c r="AE33" s="19" t="s">
        <v>1655</v>
      </c>
      <c r="AF33" s="19" t="s">
        <v>1656</v>
      </c>
      <c r="AG33" s="25"/>
      <c r="AH33" s="25"/>
      <c r="AI33" s="26"/>
      <c r="AJ33" s="25"/>
      <c r="AK33" s="25"/>
      <c r="AL33" s="25"/>
      <c r="AM33" s="25"/>
      <c r="AN33" s="25"/>
      <c r="AO33" s="25"/>
      <c r="AP33" s="25"/>
      <c r="AQ33" s="25"/>
      <c r="AR33" s="25"/>
      <c r="AS33" s="25"/>
      <c r="AT33" s="25"/>
      <c r="AU33" s="25"/>
      <c r="AV33" s="25"/>
      <c r="AW33" s="19" t="s">
        <v>2624</v>
      </c>
      <c r="AX33" s="19" t="s">
        <v>2924</v>
      </c>
      <c r="BA33" s="9" t="s">
        <v>3196</v>
      </c>
      <c r="BB33" s="9" t="s">
        <v>3197</v>
      </c>
    </row>
    <row r="34" spans="1:54" x14ac:dyDescent="0.25">
      <c r="A34" s="24" t="s">
        <v>125</v>
      </c>
      <c r="B34" s="24" t="s">
        <v>126</v>
      </c>
      <c r="J34" s="19" t="s">
        <v>370</v>
      </c>
      <c r="K34" s="17" t="s">
        <v>554</v>
      </c>
      <c r="M34" s="19" t="s">
        <v>708</v>
      </c>
      <c r="N34" s="19" t="s">
        <v>594</v>
      </c>
      <c r="O34" s="25"/>
      <c r="P34" s="25"/>
      <c r="Q34" s="25"/>
      <c r="S34" s="24" t="s">
        <v>1261</v>
      </c>
      <c r="T34" s="19" t="s">
        <v>1440</v>
      </c>
      <c r="U34" s="25"/>
      <c r="V34" s="28"/>
      <c r="W34" s="25"/>
      <c r="Y34" s="31" t="s">
        <v>2179</v>
      </c>
      <c r="Z34" s="31" t="s">
        <v>2371</v>
      </c>
      <c r="AA34" s="25"/>
      <c r="AB34" s="29"/>
      <c r="AC34" s="26"/>
      <c r="AE34" s="19" t="s">
        <v>1657</v>
      </c>
      <c r="AF34" s="19" t="s">
        <v>1658</v>
      </c>
      <c r="AG34" s="25"/>
      <c r="AH34" s="25"/>
      <c r="AI34" s="26"/>
      <c r="AJ34" s="25"/>
      <c r="AK34" s="25"/>
      <c r="AL34" s="25"/>
      <c r="AM34" s="25"/>
      <c r="AN34" s="25"/>
      <c r="AO34" s="25"/>
      <c r="AP34" s="25"/>
      <c r="AQ34" s="25"/>
      <c r="AR34" s="25"/>
      <c r="AS34" s="25"/>
      <c r="AT34" s="25"/>
      <c r="AU34" s="25"/>
      <c r="AV34" s="25"/>
      <c r="AW34" s="19" t="s">
        <v>2625</v>
      </c>
      <c r="AX34" s="19" t="s">
        <v>2925</v>
      </c>
      <c r="BA34" s="9" t="s">
        <v>3198</v>
      </c>
      <c r="BB34" s="9" t="s">
        <v>3199</v>
      </c>
    </row>
    <row r="35" spans="1:54" x14ac:dyDescent="0.25">
      <c r="A35" s="24" t="s">
        <v>127</v>
      </c>
      <c r="B35" s="24" t="s">
        <v>128</v>
      </c>
      <c r="J35" s="19" t="s">
        <v>371</v>
      </c>
      <c r="K35" s="17" t="s">
        <v>555</v>
      </c>
      <c r="M35" s="19" t="s">
        <v>709</v>
      </c>
      <c r="N35" s="19" t="s">
        <v>595</v>
      </c>
      <c r="O35" s="25"/>
      <c r="P35" s="25"/>
      <c r="Q35" s="25"/>
      <c r="S35" s="24" t="s">
        <v>1262</v>
      </c>
      <c r="T35" s="19" t="s">
        <v>1441</v>
      </c>
      <c r="U35" s="25"/>
      <c r="V35" s="28"/>
      <c r="W35" s="25"/>
      <c r="Y35" s="31" t="s">
        <v>2180</v>
      </c>
      <c r="Z35" s="31" t="s">
        <v>2372</v>
      </c>
      <c r="AA35" s="25"/>
      <c r="AB35" s="29"/>
      <c r="AC35" s="26"/>
      <c r="AE35" s="19" t="s">
        <v>1659</v>
      </c>
      <c r="AF35" s="19" t="s">
        <v>1660</v>
      </c>
      <c r="AG35" s="25"/>
      <c r="AH35" s="25"/>
      <c r="AI35" s="26"/>
      <c r="AJ35" s="25"/>
      <c r="AK35" s="25"/>
      <c r="AL35" s="25"/>
      <c r="AM35" s="25"/>
      <c r="AN35" s="25"/>
      <c r="AO35" s="25"/>
      <c r="AP35" s="25"/>
      <c r="AQ35" s="25"/>
      <c r="AR35" s="25"/>
      <c r="AS35" s="25"/>
      <c r="AT35" s="25"/>
      <c r="AU35" s="25"/>
      <c r="AV35" s="25"/>
      <c r="AW35" s="19" t="s">
        <v>2626</v>
      </c>
      <c r="AX35" s="19" t="s">
        <v>2926</v>
      </c>
      <c r="BA35" s="9" t="s">
        <v>3200</v>
      </c>
      <c r="BB35" s="9" t="s">
        <v>3201</v>
      </c>
    </row>
    <row r="36" spans="1:54" x14ac:dyDescent="0.25">
      <c r="A36" s="24" t="s">
        <v>129</v>
      </c>
      <c r="B36" s="24" t="s">
        <v>130</v>
      </c>
      <c r="J36" s="19" t="s">
        <v>372</v>
      </c>
      <c r="K36" s="17" t="s">
        <v>556</v>
      </c>
      <c r="M36" s="19" t="s">
        <v>710</v>
      </c>
      <c r="N36" s="19" t="s">
        <v>596</v>
      </c>
      <c r="O36" s="25"/>
      <c r="P36" s="25"/>
      <c r="Q36" s="25"/>
      <c r="S36" s="24" t="s">
        <v>1263</v>
      </c>
      <c r="T36" s="19" t="s">
        <v>1442</v>
      </c>
      <c r="U36" s="25"/>
      <c r="V36" s="28"/>
      <c r="W36" s="25"/>
      <c r="Y36" s="31" t="s">
        <v>2181</v>
      </c>
      <c r="Z36" s="31" t="s">
        <v>2373</v>
      </c>
      <c r="AA36" s="25"/>
      <c r="AB36" s="29"/>
      <c r="AC36" s="26"/>
      <c r="AE36" s="19" t="s">
        <v>1661</v>
      </c>
      <c r="AF36" s="19" t="s">
        <v>1662</v>
      </c>
      <c r="AG36" s="25"/>
      <c r="AH36" s="25"/>
      <c r="AI36" s="26"/>
      <c r="AJ36" s="25"/>
      <c r="AK36" s="25"/>
      <c r="AL36" s="25"/>
      <c r="AM36" s="25"/>
      <c r="AN36" s="25"/>
      <c r="AO36" s="25"/>
      <c r="AP36" s="25"/>
      <c r="AQ36" s="25"/>
      <c r="AR36" s="25"/>
      <c r="AS36" s="25"/>
      <c r="AT36" s="25"/>
      <c r="AU36" s="25"/>
      <c r="AV36" s="25"/>
      <c r="AW36" s="19" t="s">
        <v>2627</v>
      </c>
      <c r="AX36" s="19" t="s">
        <v>2927</v>
      </c>
      <c r="BA36" s="9" t="s">
        <v>3202</v>
      </c>
      <c r="BB36" s="9" t="s">
        <v>3203</v>
      </c>
    </row>
    <row r="37" spans="1:54" x14ac:dyDescent="0.25">
      <c r="A37" s="24" t="s">
        <v>131</v>
      </c>
      <c r="B37" s="24" t="s">
        <v>132</v>
      </c>
      <c r="J37" s="19" t="s">
        <v>373</v>
      </c>
      <c r="K37" s="17" t="s">
        <v>557</v>
      </c>
      <c r="M37" s="19" t="s">
        <v>711</v>
      </c>
      <c r="N37" s="19" t="s">
        <v>597</v>
      </c>
      <c r="O37" s="25"/>
      <c r="P37" s="25"/>
      <c r="Q37" s="25"/>
      <c r="S37" s="24" t="s">
        <v>1264</v>
      </c>
      <c r="T37" s="19" t="s">
        <v>1443</v>
      </c>
      <c r="U37" s="25"/>
      <c r="V37" s="28"/>
      <c r="W37" s="25"/>
      <c r="Y37" s="31" t="s">
        <v>2182</v>
      </c>
      <c r="Z37" s="31" t="s">
        <v>2374</v>
      </c>
      <c r="AA37" s="25"/>
      <c r="AB37" s="29"/>
      <c r="AC37" s="26"/>
      <c r="AE37" s="19" t="s">
        <v>1663</v>
      </c>
      <c r="AF37" s="19" t="s">
        <v>1664</v>
      </c>
      <c r="AG37" s="25"/>
      <c r="AH37" s="25"/>
      <c r="AI37" s="26"/>
      <c r="AJ37" s="25"/>
      <c r="AK37" s="25"/>
      <c r="AL37" s="25"/>
      <c r="AM37" s="25"/>
      <c r="AN37" s="25"/>
      <c r="AO37" s="25"/>
      <c r="AP37" s="25"/>
      <c r="AQ37" s="25"/>
      <c r="AR37" s="25"/>
      <c r="AS37" s="25"/>
      <c r="AT37" s="25"/>
      <c r="AU37" s="25"/>
      <c r="AV37" s="25"/>
      <c r="AW37" s="19" t="s">
        <v>2628</v>
      </c>
      <c r="AX37" s="19" t="s">
        <v>2928</v>
      </c>
      <c r="BA37" s="9" t="s">
        <v>3204</v>
      </c>
      <c r="BB37" s="9" t="s">
        <v>3205</v>
      </c>
    </row>
    <row r="38" spans="1:54" x14ac:dyDescent="0.25">
      <c r="A38" s="24" t="s">
        <v>133</v>
      </c>
      <c r="B38" s="24" t="s">
        <v>134</v>
      </c>
      <c r="J38" s="19" t="s">
        <v>374</v>
      </c>
      <c r="K38" s="17" t="s">
        <v>558</v>
      </c>
      <c r="M38" s="19" t="s">
        <v>712</v>
      </c>
      <c r="N38" s="19" t="s">
        <v>598</v>
      </c>
      <c r="O38" s="25"/>
      <c r="P38" s="25"/>
      <c r="Q38" s="25"/>
      <c r="S38" s="24" t="s">
        <v>1265</v>
      </c>
      <c r="T38" s="19" t="s">
        <v>1444</v>
      </c>
      <c r="U38" s="25"/>
      <c r="V38" s="28"/>
      <c r="W38" s="25"/>
      <c r="Y38" s="31" t="s">
        <v>2183</v>
      </c>
      <c r="Z38" s="31" t="s">
        <v>2375</v>
      </c>
      <c r="AA38" s="25"/>
      <c r="AB38" s="29"/>
      <c r="AC38" s="26"/>
      <c r="AE38" s="19" t="s">
        <v>1665</v>
      </c>
      <c r="AF38" s="19" t="s">
        <v>1666</v>
      </c>
      <c r="AG38" s="25"/>
      <c r="AH38" s="25"/>
      <c r="AI38" s="26"/>
      <c r="AJ38" s="25"/>
      <c r="AK38" s="25"/>
      <c r="AL38" s="25"/>
      <c r="AM38" s="25"/>
      <c r="AN38" s="25"/>
      <c r="AO38" s="25"/>
      <c r="AP38" s="25"/>
      <c r="AQ38" s="25"/>
      <c r="AR38" s="25"/>
      <c r="AS38" s="25"/>
      <c r="AT38" s="25"/>
      <c r="AU38" s="25"/>
      <c r="AV38" s="25"/>
      <c r="AW38" s="19" t="s">
        <v>2629</v>
      </c>
      <c r="AX38" s="19" t="s">
        <v>2929</v>
      </c>
      <c r="BA38" s="9" t="s">
        <v>3206</v>
      </c>
      <c r="BB38" s="9" t="s">
        <v>3207</v>
      </c>
    </row>
    <row r="39" spans="1:54" x14ac:dyDescent="0.25">
      <c r="A39" s="24" t="s">
        <v>135</v>
      </c>
      <c r="B39" s="24" t="s">
        <v>136</v>
      </c>
      <c r="J39" s="19" t="s">
        <v>375</v>
      </c>
      <c r="K39" s="17" t="s">
        <v>559</v>
      </c>
      <c r="M39" s="19" t="s">
        <v>713</v>
      </c>
      <c r="N39" s="19" t="s">
        <v>599</v>
      </c>
      <c r="O39" s="25"/>
      <c r="P39" s="25"/>
      <c r="Q39" s="25"/>
      <c r="S39" s="24" t="s">
        <v>1266</v>
      </c>
      <c r="T39" s="19" t="s">
        <v>1445</v>
      </c>
      <c r="U39" s="25"/>
      <c r="V39" s="28"/>
      <c r="W39" s="25"/>
      <c r="Y39" s="31" t="s">
        <v>2184</v>
      </c>
      <c r="Z39" s="31" t="s">
        <v>2376</v>
      </c>
      <c r="AA39" s="25"/>
      <c r="AB39" s="29"/>
      <c r="AC39" s="26"/>
      <c r="AE39" s="19" t="s">
        <v>1667</v>
      </c>
      <c r="AF39" s="19" t="s">
        <v>1668</v>
      </c>
      <c r="AG39" s="25"/>
      <c r="AH39" s="25"/>
      <c r="AI39" s="26"/>
      <c r="AJ39" s="25"/>
      <c r="AK39" s="25"/>
      <c r="AL39" s="25"/>
      <c r="AM39" s="25"/>
      <c r="AN39" s="25"/>
      <c r="AO39" s="25"/>
      <c r="AP39" s="25"/>
      <c r="AQ39" s="25"/>
      <c r="AR39" s="25"/>
      <c r="AS39" s="25"/>
      <c r="AT39" s="25"/>
      <c r="AU39" s="25"/>
      <c r="AV39" s="25"/>
      <c r="AW39" s="19" t="s">
        <v>2630</v>
      </c>
      <c r="AX39" s="19" t="s">
        <v>2930</v>
      </c>
      <c r="BA39" s="9" t="s">
        <v>3208</v>
      </c>
      <c r="BB39" s="9" t="s">
        <v>3209</v>
      </c>
    </row>
    <row r="40" spans="1:54" x14ac:dyDescent="0.25">
      <c r="A40" s="24" t="s">
        <v>137</v>
      </c>
      <c r="B40" s="24" t="s">
        <v>138</v>
      </c>
      <c r="J40" s="19" t="s">
        <v>376</v>
      </c>
      <c r="K40" s="17" t="s">
        <v>560</v>
      </c>
      <c r="M40" s="19" t="s">
        <v>714</v>
      </c>
      <c r="N40" s="19" t="s">
        <v>600</v>
      </c>
      <c r="O40" s="25"/>
      <c r="P40" s="25"/>
      <c r="Q40" s="25"/>
      <c r="S40" s="24" t="s">
        <v>1267</v>
      </c>
      <c r="T40" s="19" t="s">
        <v>1446</v>
      </c>
      <c r="U40" s="25"/>
      <c r="V40" s="28"/>
      <c r="W40" s="25"/>
      <c r="Y40" s="31" t="s">
        <v>2185</v>
      </c>
      <c r="Z40" s="31" t="s">
        <v>2377</v>
      </c>
      <c r="AA40" s="25"/>
      <c r="AB40" s="29"/>
      <c r="AC40" s="26"/>
      <c r="AE40" s="19" t="s">
        <v>1669</v>
      </c>
      <c r="AF40" s="19" t="s">
        <v>1670</v>
      </c>
      <c r="AG40" s="25"/>
      <c r="AH40" s="25"/>
      <c r="AI40" s="26"/>
      <c r="AJ40" s="25"/>
      <c r="AK40" s="25"/>
      <c r="AL40" s="25"/>
      <c r="AM40" s="25"/>
      <c r="AN40" s="25"/>
      <c r="AO40" s="25"/>
      <c r="AP40" s="25"/>
      <c r="AQ40" s="25"/>
      <c r="AR40" s="25"/>
      <c r="AS40" s="25"/>
      <c r="AT40" s="25"/>
      <c r="AU40" s="25"/>
      <c r="AV40" s="25"/>
      <c r="AW40" s="19" t="s">
        <v>2631</v>
      </c>
      <c r="AX40" s="19" t="s">
        <v>2931</v>
      </c>
      <c r="BA40" s="9" t="s">
        <v>3210</v>
      </c>
      <c r="BB40" s="9" t="s">
        <v>3211</v>
      </c>
    </row>
    <row r="41" spans="1:54" x14ac:dyDescent="0.25">
      <c r="A41" s="24" t="s">
        <v>139</v>
      </c>
      <c r="B41" s="24" t="s">
        <v>140</v>
      </c>
      <c r="J41" s="19" t="s">
        <v>377</v>
      </c>
      <c r="K41" s="17" t="s">
        <v>561</v>
      </c>
      <c r="M41" s="19" t="s">
        <v>715</v>
      </c>
      <c r="N41" s="19" t="s">
        <v>601</v>
      </c>
      <c r="O41" s="25"/>
      <c r="P41" s="25"/>
      <c r="Q41" s="25"/>
      <c r="S41" s="24" t="s">
        <v>1268</v>
      </c>
      <c r="T41" s="19" t="s">
        <v>1447</v>
      </c>
      <c r="U41" s="25"/>
      <c r="V41" s="28"/>
      <c r="W41" s="25"/>
      <c r="Y41" s="31" t="s">
        <v>2186</v>
      </c>
      <c r="Z41" s="31" t="s">
        <v>2378</v>
      </c>
      <c r="AA41" s="25"/>
      <c r="AB41" s="29"/>
      <c r="AC41" s="26"/>
      <c r="AE41" s="19" t="s">
        <v>1671</v>
      </c>
      <c r="AF41" s="19" t="s">
        <v>1672</v>
      </c>
      <c r="AG41" s="25"/>
      <c r="AH41" s="25"/>
      <c r="AI41" s="26"/>
      <c r="AJ41" s="25"/>
      <c r="AK41" s="25"/>
      <c r="AL41" s="25"/>
      <c r="AM41" s="25"/>
      <c r="AN41" s="25"/>
      <c r="AO41" s="25"/>
      <c r="AP41" s="25"/>
      <c r="AQ41" s="25"/>
      <c r="AR41" s="25"/>
      <c r="AS41" s="25"/>
      <c r="AT41" s="25"/>
      <c r="AU41" s="25"/>
      <c r="AV41" s="25"/>
      <c r="AW41" s="19" t="s">
        <v>2632</v>
      </c>
      <c r="AX41" s="19" t="s">
        <v>2932</v>
      </c>
      <c r="BA41" s="9" t="s">
        <v>3212</v>
      </c>
      <c r="BB41" s="9" t="s">
        <v>3213</v>
      </c>
    </row>
    <row r="42" spans="1:54" x14ac:dyDescent="0.25">
      <c r="A42" s="24" t="s">
        <v>141</v>
      </c>
      <c r="B42" s="24" t="s">
        <v>142</v>
      </c>
      <c r="J42" s="19" t="s">
        <v>378</v>
      </c>
      <c r="K42" s="17" t="s">
        <v>562</v>
      </c>
      <c r="M42" s="19" t="s">
        <v>716</v>
      </c>
      <c r="N42" s="19" t="s">
        <v>602</v>
      </c>
      <c r="O42" s="25"/>
      <c r="P42" s="25"/>
      <c r="Q42" s="25"/>
      <c r="S42" s="24" t="s">
        <v>1269</v>
      </c>
      <c r="T42" s="19" t="s">
        <v>1448</v>
      </c>
      <c r="U42" s="25"/>
      <c r="V42" s="28"/>
      <c r="W42" s="25"/>
      <c r="Y42" s="31" t="s">
        <v>2187</v>
      </c>
      <c r="Z42" s="31" t="s">
        <v>2379</v>
      </c>
      <c r="AA42" s="25"/>
      <c r="AB42" s="29"/>
      <c r="AC42" s="26"/>
      <c r="AE42" s="19" t="s">
        <v>1673</v>
      </c>
      <c r="AF42" s="19" t="s">
        <v>1674</v>
      </c>
      <c r="AG42" s="25"/>
      <c r="AH42" s="25"/>
      <c r="AI42" s="26"/>
      <c r="AJ42" s="25"/>
      <c r="AK42" s="25"/>
      <c r="AL42" s="25"/>
      <c r="AM42" s="25"/>
      <c r="AN42" s="25"/>
      <c r="AO42" s="25"/>
      <c r="AP42" s="25"/>
      <c r="AQ42" s="25"/>
      <c r="AR42" s="25"/>
      <c r="AS42" s="25"/>
      <c r="AT42" s="25"/>
      <c r="AU42" s="25"/>
      <c r="AV42" s="25"/>
      <c r="AW42" s="19" t="s">
        <v>2633</v>
      </c>
      <c r="AX42" s="19" t="s">
        <v>2933</v>
      </c>
      <c r="BA42" s="9" t="s">
        <v>3214</v>
      </c>
      <c r="BB42" s="9" t="s">
        <v>3215</v>
      </c>
    </row>
    <row r="43" spans="1:54" x14ac:dyDescent="0.25">
      <c r="A43" s="24" t="s">
        <v>143</v>
      </c>
      <c r="B43" s="24" t="s">
        <v>144</v>
      </c>
      <c r="J43" s="19" t="s">
        <v>379</v>
      </c>
      <c r="K43" s="17" t="s">
        <v>563</v>
      </c>
      <c r="M43" s="19" t="s">
        <v>717</v>
      </c>
      <c r="N43" s="19" t="s">
        <v>603</v>
      </c>
      <c r="O43" s="25"/>
      <c r="P43" s="25"/>
      <c r="Q43" s="25"/>
      <c r="S43" s="24" t="s">
        <v>1270</v>
      </c>
      <c r="T43" s="19" t="s">
        <v>1449</v>
      </c>
      <c r="U43" s="25"/>
      <c r="V43" s="28"/>
      <c r="W43" s="25"/>
      <c r="Y43" s="31" t="s">
        <v>2188</v>
      </c>
      <c r="Z43" s="31" t="s">
        <v>2380</v>
      </c>
      <c r="AA43" s="25"/>
      <c r="AB43" s="29"/>
      <c r="AC43" s="26"/>
      <c r="AE43" s="19" t="s">
        <v>1675</v>
      </c>
      <c r="AF43" s="19" t="s">
        <v>1676</v>
      </c>
      <c r="AG43" s="25"/>
      <c r="AH43" s="25"/>
      <c r="AI43" s="26"/>
      <c r="AJ43" s="25"/>
      <c r="AK43" s="25"/>
      <c r="AL43" s="25"/>
      <c r="AM43" s="25"/>
      <c r="AN43" s="25"/>
      <c r="AO43" s="25"/>
      <c r="AP43" s="25"/>
      <c r="AQ43" s="25"/>
      <c r="AR43" s="25"/>
      <c r="AS43" s="25"/>
      <c r="AT43" s="25"/>
      <c r="AU43" s="25"/>
      <c r="AV43" s="25"/>
      <c r="AW43" s="19" t="s">
        <v>2634</v>
      </c>
      <c r="AX43" s="19" t="s">
        <v>2934</v>
      </c>
      <c r="BA43" s="9" t="s">
        <v>3216</v>
      </c>
      <c r="BB43" s="9" t="s">
        <v>3217</v>
      </c>
    </row>
    <row r="44" spans="1:54" x14ac:dyDescent="0.25">
      <c r="A44" s="24" t="s">
        <v>145</v>
      </c>
      <c r="B44" s="24" t="s">
        <v>146</v>
      </c>
      <c r="J44" s="19" t="s">
        <v>380</v>
      </c>
      <c r="K44" s="17" t="s">
        <v>564</v>
      </c>
      <c r="M44" s="19" t="s">
        <v>718</v>
      </c>
      <c r="N44" s="19" t="s">
        <v>996</v>
      </c>
      <c r="O44" s="25"/>
      <c r="P44" s="25"/>
      <c r="Q44" s="25"/>
      <c r="S44" s="24" t="s">
        <v>1271</v>
      </c>
      <c r="T44" s="19" t="s">
        <v>1450</v>
      </c>
      <c r="U44" s="25"/>
      <c r="V44" s="28"/>
      <c r="W44" s="25"/>
      <c r="Y44" s="31" t="s">
        <v>2189</v>
      </c>
      <c r="Z44" s="31" t="s">
        <v>2381</v>
      </c>
      <c r="AA44" s="25"/>
      <c r="AB44" s="29"/>
      <c r="AC44" s="26"/>
      <c r="AE44" s="19" t="s">
        <v>1677</v>
      </c>
      <c r="AF44" s="19" t="s">
        <v>1678</v>
      </c>
      <c r="AG44" s="25"/>
      <c r="AH44" s="25"/>
      <c r="AI44" s="26"/>
      <c r="AJ44" s="25"/>
      <c r="AK44" s="25"/>
      <c r="AL44" s="25"/>
      <c r="AM44" s="25"/>
      <c r="AN44" s="25"/>
      <c r="AO44" s="25"/>
      <c r="AP44" s="25"/>
      <c r="AQ44" s="25"/>
      <c r="AR44" s="25"/>
      <c r="AS44" s="25"/>
      <c r="AT44" s="25"/>
      <c r="AU44" s="25"/>
      <c r="AV44" s="25"/>
      <c r="AW44" s="19" t="s">
        <v>2635</v>
      </c>
      <c r="AX44" s="19" t="s">
        <v>2935</v>
      </c>
      <c r="BA44" s="9" t="s">
        <v>3218</v>
      </c>
      <c r="BB44" s="9" t="s">
        <v>3219</v>
      </c>
    </row>
    <row r="45" spans="1:54" x14ac:dyDescent="0.25">
      <c r="A45" s="24" t="s">
        <v>147</v>
      </c>
      <c r="B45" s="24" t="s">
        <v>148</v>
      </c>
      <c r="J45" s="19" t="s">
        <v>381</v>
      </c>
      <c r="K45" s="17" t="s">
        <v>565</v>
      </c>
      <c r="M45" s="19" t="s">
        <v>719</v>
      </c>
      <c r="N45" s="19" t="s">
        <v>604</v>
      </c>
      <c r="O45" s="25"/>
      <c r="P45" s="25"/>
      <c r="Q45" s="25"/>
      <c r="S45" s="24" t="s">
        <v>1272</v>
      </c>
      <c r="T45" s="19" t="s">
        <v>1451</v>
      </c>
      <c r="U45" s="25"/>
      <c r="V45" s="28"/>
      <c r="W45" s="25"/>
      <c r="Y45" s="31" t="s">
        <v>2190</v>
      </c>
      <c r="Z45" s="31" t="s">
        <v>2382</v>
      </c>
      <c r="AA45" s="25"/>
      <c r="AB45" s="29"/>
      <c r="AC45" s="26"/>
      <c r="AE45" s="19" t="s">
        <v>1679</v>
      </c>
      <c r="AF45" s="19" t="s">
        <v>1680</v>
      </c>
      <c r="AG45" s="25"/>
      <c r="AH45" s="25"/>
      <c r="AI45" s="26"/>
      <c r="AJ45" s="25"/>
      <c r="AK45" s="25"/>
      <c r="AL45" s="25"/>
      <c r="AM45" s="25"/>
      <c r="AN45" s="25"/>
      <c r="AO45" s="25"/>
      <c r="AP45" s="25"/>
      <c r="AQ45" s="25"/>
      <c r="AR45" s="25"/>
      <c r="AS45" s="25"/>
      <c r="AT45" s="25"/>
      <c r="AU45" s="25"/>
      <c r="AV45" s="25"/>
      <c r="AW45" s="19" t="s">
        <v>2636</v>
      </c>
      <c r="AX45" s="19" t="s">
        <v>2936</v>
      </c>
      <c r="BA45" s="9" t="s">
        <v>3220</v>
      </c>
      <c r="BB45" s="9" t="s">
        <v>3221</v>
      </c>
    </row>
    <row r="46" spans="1:54" x14ac:dyDescent="0.25">
      <c r="A46" s="24" t="s">
        <v>149</v>
      </c>
      <c r="B46" s="24" t="s">
        <v>150</v>
      </c>
      <c r="J46" s="19" t="s">
        <v>382</v>
      </c>
      <c r="K46" s="17" t="s">
        <v>566</v>
      </c>
      <c r="M46" s="19" t="s">
        <v>720</v>
      </c>
      <c r="N46" s="19" t="s">
        <v>605</v>
      </c>
      <c r="O46" s="25"/>
      <c r="P46" s="25"/>
      <c r="Q46" s="25"/>
      <c r="S46" s="24" t="s">
        <v>1273</v>
      </c>
      <c r="T46" s="19" t="s">
        <v>1452</v>
      </c>
      <c r="U46" s="25"/>
      <c r="V46" s="28"/>
      <c r="W46" s="25"/>
      <c r="Y46" s="31" t="s">
        <v>2191</v>
      </c>
      <c r="Z46" s="31" t="s">
        <v>2383</v>
      </c>
      <c r="AA46" s="25"/>
      <c r="AB46" s="29"/>
      <c r="AC46" s="26"/>
      <c r="AE46" s="19" t="s">
        <v>1681</v>
      </c>
      <c r="AF46" s="19" t="s">
        <v>1682</v>
      </c>
      <c r="AG46" s="25"/>
      <c r="AH46" s="25"/>
      <c r="AI46" s="26"/>
      <c r="AJ46" s="25"/>
      <c r="AK46" s="25"/>
      <c r="AL46" s="25"/>
      <c r="AM46" s="25"/>
      <c r="AN46" s="25"/>
      <c r="AO46" s="25"/>
      <c r="AP46" s="25"/>
      <c r="AQ46" s="25"/>
      <c r="AR46" s="25"/>
      <c r="AS46" s="25"/>
      <c r="AT46" s="25"/>
      <c r="AU46" s="25"/>
      <c r="AV46" s="25"/>
      <c r="AW46" s="19" t="s">
        <v>2637</v>
      </c>
      <c r="AX46" s="19" t="s">
        <v>2937</v>
      </c>
      <c r="BA46" s="9" t="s">
        <v>3222</v>
      </c>
      <c r="BB46" s="9" t="s">
        <v>3223</v>
      </c>
    </row>
    <row r="47" spans="1:54" x14ac:dyDescent="0.25">
      <c r="A47" s="24" t="s">
        <v>151</v>
      </c>
      <c r="B47" s="24" t="s">
        <v>152</v>
      </c>
      <c r="J47" s="19" t="s">
        <v>383</v>
      </c>
      <c r="K47" s="17" t="s">
        <v>567</v>
      </c>
      <c r="M47" s="19" t="s">
        <v>721</v>
      </c>
      <c r="N47" s="19" t="s">
        <v>606</v>
      </c>
      <c r="O47" s="25"/>
      <c r="P47" s="25"/>
      <c r="Q47" s="25"/>
      <c r="S47" s="24" t="s">
        <v>1274</v>
      </c>
      <c r="T47" s="19" t="s">
        <v>1453</v>
      </c>
      <c r="U47" s="25"/>
      <c r="V47" s="28"/>
      <c r="W47" s="25"/>
      <c r="Y47" s="31" t="s">
        <v>2192</v>
      </c>
      <c r="Z47" s="31" t="s">
        <v>2384</v>
      </c>
      <c r="AA47" s="25"/>
      <c r="AB47" s="29"/>
      <c r="AC47" s="26"/>
      <c r="AE47" s="19" t="s">
        <v>1683</v>
      </c>
      <c r="AF47" s="19" t="s">
        <v>1684</v>
      </c>
      <c r="AG47" s="25"/>
      <c r="AH47" s="25"/>
      <c r="AI47" s="26"/>
      <c r="AJ47" s="25"/>
      <c r="AK47" s="25"/>
      <c r="AL47" s="25"/>
      <c r="AM47" s="25"/>
      <c r="AN47" s="25"/>
      <c r="AO47" s="25"/>
      <c r="AP47" s="25"/>
      <c r="AQ47" s="25"/>
      <c r="AR47" s="25"/>
      <c r="AS47" s="25"/>
      <c r="AT47" s="25"/>
      <c r="AU47" s="25"/>
      <c r="AV47" s="25"/>
      <c r="AW47" s="19" t="s">
        <v>2638</v>
      </c>
      <c r="AX47" s="19" t="s">
        <v>2938</v>
      </c>
      <c r="BA47" s="9" t="s">
        <v>3224</v>
      </c>
      <c r="BB47" s="9" t="s">
        <v>3225</v>
      </c>
    </row>
    <row r="48" spans="1:54" x14ac:dyDescent="0.25">
      <c r="A48" s="24" t="s">
        <v>153</v>
      </c>
      <c r="B48" s="24" t="s">
        <v>154</v>
      </c>
      <c r="J48" s="19" t="s">
        <v>384</v>
      </c>
      <c r="K48" s="17" t="s">
        <v>568</v>
      </c>
      <c r="M48" s="19" t="s">
        <v>722</v>
      </c>
      <c r="N48" s="19" t="s">
        <v>607</v>
      </c>
      <c r="O48" s="25"/>
      <c r="P48" s="25"/>
      <c r="Q48" s="25"/>
      <c r="S48" s="24" t="s">
        <v>1275</v>
      </c>
      <c r="T48" s="19" t="s">
        <v>1454</v>
      </c>
      <c r="U48" s="25"/>
      <c r="V48" s="28"/>
      <c r="W48" s="25"/>
      <c r="Y48" s="31" t="s">
        <v>2193</v>
      </c>
      <c r="Z48" s="31" t="s">
        <v>2385</v>
      </c>
      <c r="AA48" s="25"/>
      <c r="AB48" s="29"/>
      <c r="AC48" s="26"/>
      <c r="AE48" s="19" t="s">
        <v>1685</v>
      </c>
      <c r="AF48" s="19" t="s">
        <v>1686</v>
      </c>
      <c r="AG48" s="25"/>
      <c r="AH48" s="25"/>
      <c r="AI48" s="26"/>
      <c r="AJ48" s="25"/>
      <c r="AK48" s="25"/>
      <c r="AL48" s="25"/>
      <c r="AM48" s="25"/>
      <c r="AN48" s="25"/>
      <c r="AO48" s="25"/>
      <c r="AP48" s="25"/>
      <c r="AQ48" s="25"/>
      <c r="AR48" s="25"/>
      <c r="AS48" s="25"/>
      <c r="AT48" s="25"/>
      <c r="AU48" s="25"/>
      <c r="AV48" s="25"/>
      <c r="AW48" s="19" t="s">
        <v>2639</v>
      </c>
      <c r="AX48" s="19" t="s">
        <v>2939</v>
      </c>
      <c r="BA48" s="9" t="s">
        <v>3226</v>
      </c>
      <c r="BB48" s="9" t="s">
        <v>3227</v>
      </c>
    </row>
    <row r="49" spans="1:54" x14ac:dyDescent="0.25">
      <c r="A49" s="24" t="s">
        <v>155</v>
      </c>
      <c r="B49" s="24" t="s">
        <v>156</v>
      </c>
      <c r="J49" s="19" t="s">
        <v>385</v>
      </c>
      <c r="K49" s="17" t="s">
        <v>569</v>
      </c>
      <c r="M49" s="19" t="s">
        <v>723</v>
      </c>
      <c r="N49" s="19" t="s">
        <v>608</v>
      </c>
      <c r="O49" s="25"/>
      <c r="P49" s="25"/>
      <c r="Q49" s="25"/>
      <c r="S49" s="24" t="s">
        <v>1276</v>
      </c>
      <c r="T49" s="19" t="s">
        <v>1455</v>
      </c>
      <c r="U49" s="25"/>
      <c r="V49" s="28"/>
      <c r="W49" s="25"/>
      <c r="Y49" s="31" t="s">
        <v>2194</v>
      </c>
      <c r="Z49" s="31" t="s">
        <v>2386</v>
      </c>
      <c r="AA49" s="25"/>
      <c r="AB49" s="29"/>
      <c r="AC49" s="26"/>
      <c r="AE49" s="19" t="s">
        <v>1687</v>
      </c>
      <c r="AF49" s="19" t="s">
        <v>1688</v>
      </c>
      <c r="AG49" s="25"/>
      <c r="AH49" s="25"/>
      <c r="AI49" s="26"/>
      <c r="AJ49" s="25"/>
      <c r="AK49" s="25"/>
      <c r="AL49" s="25"/>
      <c r="AM49" s="25"/>
      <c r="AN49" s="25"/>
      <c r="AO49" s="25"/>
      <c r="AP49" s="25"/>
      <c r="AQ49" s="25"/>
      <c r="AR49" s="25"/>
      <c r="AS49" s="25"/>
      <c r="AT49" s="25"/>
      <c r="AU49" s="25"/>
      <c r="AV49" s="25"/>
      <c r="AW49" s="19" t="s">
        <v>2640</v>
      </c>
      <c r="AX49" s="19" t="s">
        <v>2940</v>
      </c>
      <c r="BA49" s="9" t="s">
        <v>3228</v>
      </c>
      <c r="BB49" s="9" t="s">
        <v>3229</v>
      </c>
    </row>
    <row r="50" spans="1:54" x14ac:dyDescent="0.25">
      <c r="A50" s="24" t="s">
        <v>157</v>
      </c>
      <c r="B50" s="24" t="s">
        <v>158</v>
      </c>
      <c r="J50" s="19" t="s">
        <v>386</v>
      </c>
      <c r="K50" s="17" t="s">
        <v>570</v>
      </c>
      <c r="M50" s="19" t="s">
        <v>724</v>
      </c>
      <c r="N50" s="19" t="s">
        <v>609</v>
      </c>
      <c r="O50" s="25"/>
      <c r="P50" s="25"/>
      <c r="Q50" s="25"/>
      <c r="S50" s="24" t="s">
        <v>1277</v>
      </c>
      <c r="T50" s="19" t="s">
        <v>1456</v>
      </c>
      <c r="U50" s="25"/>
      <c r="V50" s="28"/>
      <c r="W50" s="25"/>
      <c r="Y50" s="31" t="s">
        <v>2195</v>
      </c>
      <c r="Z50" s="31" t="s">
        <v>2387</v>
      </c>
      <c r="AA50" s="25"/>
      <c r="AB50" s="29"/>
      <c r="AC50" s="26"/>
      <c r="AE50" s="19" t="s">
        <v>1689</v>
      </c>
      <c r="AF50" s="19" t="s">
        <v>1690</v>
      </c>
      <c r="AG50" s="25"/>
      <c r="AH50" s="25"/>
      <c r="AI50" s="26"/>
      <c r="AJ50" s="25"/>
      <c r="AK50" s="25"/>
      <c r="AL50" s="25"/>
      <c r="AM50" s="25"/>
      <c r="AN50" s="25"/>
      <c r="AO50" s="25"/>
      <c r="AP50" s="25"/>
      <c r="AQ50" s="25"/>
      <c r="AR50" s="25"/>
      <c r="AS50" s="25"/>
      <c r="AT50" s="25"/>
      <c r="AU50" s="25"/>
      <c r="AV50" s="25"/>
      <c r="AW50" s="19" t="s">
        <v>2641</v>
      </c>
      <c r="AX50" s="19" t="s">
        <v>2941</v>
      </c>
      <c r="BA50" s="9" t="s">
        <v>3230</v>
      </c>
      <c r="BB50" s="9" t="s">
        <v>3231</v>
      </c>
    </row>
    <row r="51" spans="1:54" x14ac:dyDescent="0.25">
      <c r="A51" s="24" t="s">
        <v>159</v>
      </c>
      <c r="B51" s="24" t="s">
        <v>160</v>
      </c>
      <c r="J51" s="19" t="s">
        <v>387</v>
      </c>
      <c r="K51" s="17" t="s">
        <v>571</v>
      </c>
      <c r="M51" s="19" t="s">
        <v>725</v>
      </c>
      <c r="N51" s="19" t="s">
        <v>610</v>
      </c>
      <c r="O51" s="25"/>
      <c r="P51" s="25"/>
      <c r="Q51" s="25"/>
      <c r="S51" s="24" t="s">
        <v>1278</v>
      </c>
      <c r="T51" s="19" t="s">
        <v>1457</v>
      </c>
      <c r="U51" s="25"/>
      <c r="V51" s="28"/>
      <c r="W51" s="25"/>
      <c r="Y51" s="31" t="s">
        <v>2196</v>
      </c>
      <c r="Z51" s="31" t="s">
        <v>2388</v>
      </c>
      <c r="AA51" s="25"/>
      <c r="AB51" s="29"/>
      <c r="AC51" s="26"/>
      <c r="AE51" s="19" t="s">
        <v>1691</v>
      </c>
      <c r="AF51" s="19" t="s">
        <v>1692</v>
      </c>
      <c r="AG51" s="25"/>
      <c r="AH51" s="25"/>
      <c r="AI51" s="26"/>
      <c r="AJ51" s="25"/>
      <c r="AK51" s="25"/>
      <c r="AL51" s="25"/>
      <c r="AM51" s="25"/>
      <c r="AN51" s="25"/>
      <c r="AO51" s="25"/>
      <c r="AP51" s="25"/>
      <c r="AQ51" s="25"/>
      <c r="AR51" s="25"/>
      <c r="AS51" s="25"/>
      <c r="AT51" s="25"/>
      <c r="AU51" s="25"/>
      <c r="AV51" s="25"/>
      <c r="AW51" s="19" t="s">
        <v>2642</v>
      </c>
      <c r="AX51" s="19" t="s">
        <v>2942</v>
      </c>
      <c r="BA51" s="9" t="s">
        <v>3232</v>
      </c>
      <c r="BB51" s="9" t="s">
        <v>3233</v>
      </c>
    </row>
    <row r="52" spans="1:54" x14ac:dyDescent="0.25">
      <c r="A52" s="24" t="s">
        <v>161</v>
      </c>
      <c r="B52" s="24" t="s">
        <v>162</v>
      </c>
      <c r="J52" s="19" t="s">
        <v>388</v>
      </c>
      <c r="K52" s="17" t="s">
        <v>572</v>
      </c>
      <c r="M52" s="19" t="s">
        <v>726</v>
      </c>
      <c r="N52" s="19" t="s">
        <v>611</v>
      </c>
      <c r="O52" s="25"/>
      <c r="P52" s="25"/>
      <c r="Q52" s="25"/>
      <c r="S52" s="24" t="s">
        <v>1279</v>
      </c>
      <c r="T52" s="19" t="s">
        <v>1458</v>
      </c>
      <c r="U52" s="25"/>
      <c r="V52" s="28"/>
      <c r="W52" s="25"/>
      <c r="Y52" s="31" t="s">
        <v>2197</v>
      </c>
      <c r="Z52" s="31" t="s">
        <v>2389</v>
      </c>
      <c r="AA52" s="25"/>
      <c r="AB52" s="29"/>
      <c r="AC52" s="26"/>
      <c r="AE52" s="19" t="s">
        <v>1693</v>
      </c>
      <c r="AF52" s="19" t="s">
        <v>1694</v>
      </c>
      <c r="AG52" s="25"/>
      <c r="AH52" s="25"/>
      <c r="AI52" s="26"/>
      <c r="AJ52" s="25"/>
      <c r="AK52" s="25"/>
      <c r="AL52" s="25"/>
      <c r="AM52" s="25"/>
      <c r="AN52" s="25"/>
      <c r="AO52" s="25"/>
      <c r="AP52" s="25"/>
      <c r="AQ52" s="25"/>
      <c r="AR52" s="25"/>
      <c r="AS52" s="25"/>
      <c r="AT52" s="25"/>
      <c r="AU52" s="25"/>
      <c r="AV52" s="25"/>
      <c r="AW52" s="19" t="s">
        <v>2643</v>
      </c>
      <c r="AX52" s="19" t="s">
        <v>2943</v>
      </c>
      <c r="BA52" s="9" t="s">
        <v>3234</v>
      </c>
      <c r="BB52" s="9" t="s">
        <v>3235</v>
      </c>
    </row>
    <row r="53" spans="1:54" x14ac:dyDescent="0.25">
      <c r="A53" s="24" t="s">
        <v>163</v>
      </c>
      <c r="B53" s="24" t="s">
        <v>164</v>
      </c>
      <c r="J53" s="19" t="s">
        <v>389</v>
      </c>
      <c r="K53" s="17" t="s">
        <v>573</v>
      </c>
      <c r="M53" s="19" t="s">
        <v>727</v>
      </c>
      <c r="N53" s="19" t="s">
        <v>612</v>
      </c>
      <c r="O53" s="25"/>
      <c r="P53" s="25"/>
      <c r="Q53" s="25"/>
      <c r="S53" s="24" t="s">
        <v>1280</v>
      </c>
      <c r="T53" s="19" t="s">
        <v>1459</v>
      </c>
      <c r="U53" s="25"/>
      <c r="V53" s="28"/>
      <c r="W53" s="25"/>
      <c r="Y53" s="31" t="s">
        <v>2198</v>
      </c>
      <c r="Z53" s="31" t="s">
        <v>2390</v>
      </c>
      <c r="AA53" s="25"/>
      <c r="AB53" s="29"/>
      <c r="AC53" s="26"/>
      <c r="AE53" s="19" t="s">
        <v>1695</v>
      </c>
      <c r="AF53" s="19" t="s">
        <v>1696</v>
      </c>
      <c r="AG53" s="25"/>
      <c r="AH53" s="25"/>
      <c r="AI53" s="26"/>
      <c r="AJ53" s="25"/>
      <c r="AK53" s="25"/>
      <c r="AL53" s="25"/>
      <c r="AM53" s="25"/>
      <c r="AN53" s="25"/>
      <c r="AO53" s="25"/>
      <c r="AP53" s="25"/>
      <c r="AQ53" s="25"/>
      <c r="AR53" s="25"/>
      <c r="AS53" s="25"/>
      <c r="AT53" s="25"/>
      <c r="AU53" s="25"/>
      <c r="AV53" s="25"/>
      <c r="AW53" s="19" t="s">
        <v>2644</v>
      </c>
      <c r="AX53" s="19" t="s">
        <v>2944</v>
      </c>
      <c r="BA53" s="9" t="s">
        <v>3236</v>
      </c>
      <c r="BB53" s="9" t="s">
        <v>3237</v>
      </c>
    </row>
    <row r="54" spans="1:54" x14ac:dyDescent="0.25">
      <c r="A54" s="24" t="s">
        <v>165</v>
      </c>
      <c r="B54" s="24" t="s">
        <v>166</v>
      </c>
      <c r="J54" s="19" t="s">
        <v>390</v>
      </c>
      <c r="K54" s="17" t="s">
        <v>584</v>
      </c>
      <c r="M54" s="19" t="s">
        <v>728</v>
      </c>
      <c r="N54" s="19" t="s">
        <v>613</v>
      </c>
      <c r="O54" s="25"/>
      <c r="P54" s="25"/>
      <c r="Q54" s="25"/>
      <c r="S54" s="24" t="s">
        <v>1281</v>
      </c>
      <c r="T54" s="19" t="s">
        <v>1460</v>
      </c>
      <c r="U54" s="25"/>
      <c r="V54" s="28"/>
      <c r="W54" s="25"/>
      <c r="Y54" s="31" t="s">
        <v>2199</v>
      </c>
      <c r="Z54" s="31" t="s">
        <v>2391</v>
      </c>
      <c r="AA54" s="25"/>
      <c r="AB54" s="29"/>
      <c r="AC54" s="26"/>
      <c r="AE54" s="19" t="s">
        <v>1697</v>
      </c>
      <c r="AF54" s="19" t="s">
        <v>1698</v>
      </c>
      <c r="AG54" s="25"/>
      <c r="AH54" s="25"/>
      <c r="AI54" s="26"/>
      <c r="AJ54" s="25"/>
      <c r="AK54" s="25"/>
      <c r="AL54" s="25"/>
      <c r="AM54" s="25"/>
      <c r="AN54" s="25"/>
      <c r="AO54" s="25"/>
      <c r="AP54" s="25"/>
      <c r="AQ54" s="25"/>
      <c r="AR54" s="25"/>
      <c r="AS54" s="25"/>
      <c r="AT54" s="25"/>
      <c r="AU54" s="25"/>
      <c r="AV54" s="25"/>
      <c r="AW54" s="19" t="s">
        <v>2645</v>
      </c>
      <c r="AX54" s="19" t="s">
        <v>2945</v>
      </c>
      <c r="BA54" s="9" t="s">
        <v>3238</v>
      </c>
      <c r="BB54" s="9" t="s">
        <v>3239</v>
      </c>
    </row>
    <row r="55" spans="1:54" x14ac:dyDescent="0.25">
      <c r="A55" s="24" t="s">
        <v>167</v>
      </c>
      <c r="B55" s="24" t="s">
        <v>168</v>
      </c>
      <c r="J55" s="19" t="s">
        <v>391</v>
      </c>
      <c r="K55" s="17" t="s">
        <v>585</v>
      </c>
      <c r="M55" s="19" t="s">
        <v>729</v>
      </c>
      <c r="N55" s="19" t="s">
        <v>997</v>
      </c>
      <c r="O55" s="25"/>
      <c r="P55" s="25"/>
      <c r="Q55" s="25"/>
      <c r="S55" s="24" t="s">
        <v>1282</v>
      </c>
      <c r="T55" s="19" t="s">
        <v>1461</v>
      </c>
      <c r="U55" s="25"/>
      <c r="V55" s="28"/>
      <c r="W55" s="25"/>
      <c r="Y55" s="31" t="s">
        <v>2200</v>
      </c>
      <c r="Z55" s="31" t="s">
        <v>2392</v>
      </c>
      <c r="AA55" s="25"/>
      <c r="AB55" s="29"/>
      <c r="AC55" s="26"/>
      <c r="AE55" s="19" t="s">
        <v>1699</v>
      </c>
      <c r="AF55" s="19" t="s">
        <v>1700</v>
      </c>
      <c r="AG55" s="25"/>
      <c r="AH55" s="25"/>
      <c r="AI55" s="26"/>
      <c r="AJ55" s="25"/>
      <c r="AK55" s="25"/>
      <c r="AL55" s="25"/>
      <c r="AM55" s="25"/>
      <c r="AN55" s="25"/>
      <c r="AO55" s="25"/>
      <c r="AP55" s="25"/>
      <c r="AQ55" s="25"/>
      <c r="AR55" s="25"/>
      <c r="AS55" s="25"/>
      <c r="AT55" s="25"/>
      <c r="AU55" s="25"/>
      <c r="AV55" s="25"/>
      <c r="AW55" s="19" t="s">
        <v>2646</v>
      </c>
      <c r="AX55" s="19" t="s">
        <v>2946</v>
      </c>
      <c r="BA55" s="9" t="s">
        <v>3240</v>
      </c>
      <c r="BB55" s="9" t="s">
        <v>3241</v>
      </c>
    </row>
    <row r="56" spans="1:54" x14ac:dyDescent="0.25">
      <c r="A56" s="24" t="s">
        <v>169</v>
      </c>
      <c r="B56" s="24" t="s">
        <v>170</v>
      </c>
      <c r="J56" s="19" t="s">
        <v>392</v>
      </c>
      <c r="K56" s="17" t="s">
        <v>588</v>
      </c>
      <c r="M56" s="19" t="s">
        <v>730</v>
      </c>
      <c r="N56" s="19" t="s">
        <v>614</v>
      </c>
      <c r="O56" s="25"/>
      <c r="P56" s="25"/>
      <c r="Q56" s="25"/>
      <c r="S56" s="24" t="s">
        <v>1283</v>
      </c>
      <c r="T56" s="19" t="s">
        <v>1462</v>
      </c>
      <c r="U56" s="25"/>
      <c r="V56" s="28"/>
      <c r="W56" s="25"/>
      <c r="Y56" s="31" t="s">
        <v>2201</v>
      </c>
      <c r="Z56" s="31" t="s">
        <v>2393</v>
      </c>
      <c r="AA56" s="25"/>
      <c r="AB56" s="29"/>
      <c r="AC56" s="26"/>
      <c r="AE56" s="19" t="s">
        <v>1701</v>
      </c>
      <c r="AF56" s="19" t="s">
        <v>1702</v>
      </c>
      <c r="AG56" s="25"/>
      <c r="AH56" s="25"/>
      <c r="AI56" s="26"/>
      <c r="AJ56" s="25"/>
      <c r="AK56" s="25"/>
      <c r="AL56" s="25"/>
      <c r="AM56" s="25"/>
      <c r="AN56" s="25"/>
      <c r="AO56" s="25"/>
      <c r="AP56" s="25"/>
      <c r="AQ56" s="25"/>
      <c r="AR56" s="25"/>
      <c r="AS56" s="25"/>
      <c r="AT56" s="25"/>
      <c r="AU56" s="25"/>
      <c r="AV56" s="25"/>
      <c r="AW56" s="19" t="s">
        <v>2647</v>
      </c>
      <c r="AX56" s="19" t="s">
        <v>2410</v>
      </c>
      <c r="BA56" s="9" t="s">
        <v>3242</v>
      </c>
      <c r="BB56" s="9" t="s">
        <v>3243</v>
      </c>
    </row>
    <row r="57" spans="1:54" x14ac:dyDescent="0.25">
      <c r="A57" s="24" t="s">
        <v>171</v>
      </c>
      <c r="B57" s="24" t="s">
        <v>172</v>
      </c>
      <c r="J57" s="19" t="s">
        <v>393</v>
      </c>
      <c r="K57" s="17" t="s">
        <v>591</v>
      </c>
      <c r="M57" s="19" t="s">
        <v>731</v>
      </c>
      <c r="N57" s="19" t="s">
        <v>615</v>
      </c>
      <c r="O57" s="25"/>
      <c r="P57" s="25"/>
      <c r="Q57" s="25"/>
      <c r="S57" s="24" t="s">
        <v>1284</v>
      </c>
      <c r="T57" s="19" t="s">
        <v>1463</v>
      </c>
      <c r="U57" s="25"/>
      <c r="V57" s="28"/>
      <c r="W57" s="25"/>
      <c r="Y57" s="31" t="s">
        <v>2202</v>
      </c>
      <c r="Z57" s="31" t="s">
        <v>2394</v>
      </c>
      <c r="AA57" s="25"/>
      <c r="AB57" s="29"/>
      <c r="AC57" s="26"/>
      <c r="AE57" s="19" t="s">
        <v>1703</v>
      </c>
      <c r="AF57" s="19" t="s">
        <v>1704</v>
      </c>
      <c r="AG57" s="25"/>
      <c r="AH57" s="25"/>
      <c r="AI57" s="26"/>
      <c r="AJ57" s="25"/>
      <c r="AK57" s="25"/>
      <c r="AL57" s="25"/>
      <c r="AM57" s="25"/>
      <c r="AN57" s="25"/>
      <c r="AO57" s="25"/>
      <c r="AP57" s="25"/>
      <c r="AQ57" s="25"/>
      <c r="AR57" s="25"/>
      <c r="AS57" s="25"/>
      <c r="AT57" s="25"/>
      <c r="AU57" s="25"/>
      <c r="AV57" s="25"/>
      <c r="AW57" s="19" t="s">
        <v>2648</v>
      </c>
      <c r="AX57" s="19" t="s">
        <v>2411</v>
      </c>
      <c r="BA57" s="9" t="s">
        <v>3244</v>
      </c>
      <c r="BB57" s="9" t="s">
        <v>3245</v>
      </c>
    </row>
    <row r="58" spans="1:54" x14ac:dyDescent="0.25">
      <c r="A58" s="24" t="s">
        <v>173</v>
      </c>
      <c r="B58" s="24" t="s">
        <v>174</v>
      </c>
      <c r="J58" s="19" t="s">
        <v>394</v>
      </c>
      <c r="K58" s="17" t="s">
        <v>592</v>
      </c>
      <c r="M58" s="19" t="s">
        <v>732</v>
      </c>
      <c r="N58" s="19" t="s">
        <v>616</v>
      </c>
      <c r="O58" s="25"/>
      <c r="P58" s="25"/>
      <c r="Q58" s="25"/>
      <c r="S58" s="24" t="s">
        <v>1285</v>
      </c>
      <c r="T58" s="19" t="s">
        <v>1464</v>
      </c>
      <c r="U58" s="25"/>
      <c r="V58" s="28"/>
      <c r="W58" s="25"/>
      <c r="Y58" s="31" t="s">
        <v>2203</v>
      </c>
      <c r="Z58" s="31" t="s">
        <v>2395</v>
      </c>
      <c r="AA58" s="25"/>
      <c r="AB58" s="29"/>
      <c r="AC58" s="26"/>
      <c r="AE58" s="19" t="s">
        <v>1705</v>
      </c>
      <c r="AF58" s="19" t="s">
        <v>1706</v>
      </c>
      <c r="AG58" s="25"/>
      <c r="AH58" s="25"/>
      <c r="AI58" s="26"/>
      <c r="AJ58" s="25"/>
      <c r="AK58" s="25"/>
      <c r="AL58" s="25"/>
      <c r="AM58" s="25"/>
      <c r="AN58" s="25"/>
      <c r="AO58" s="25"/>
      <c r="AP58" s="25"/>
      <c r="AQ58" s="25"/>
      <c r="AR58" s="25"/>
      <c r="AS58" s="25"/>
      <c r="AT58" s="25"/>
      <c r="AU58" s="25"/>
      <c r="AV58" s="25"/>
      <c r="AW58" s="19" t="s">
        <v>2649</v>
      </c>
      <c r="AX58" s="19" t="s">
        <v>2947</v>
      </c>
      <c r="BA58" s="9" t="s">
        <v>3246</v>
      </c>
      <c r="BB58" s="9" t="s">
        <v>3247</v>
      </c>
    </row>
    <row r="59" spans="1:54" x14ac:dyDescent="0.25">
      <c r="A59" s="24" t="s">
        <v>175</v>
      </c>
      <c r="B59" s="24" t="s">
        <v>176</v>
      </c>
      <c r="J59" s="19" t="s">
        <v>395</v>
      </c>
      <c r="K59" s="17" t="s">
        <v>594</v>
      </c>
      <c r="M59" s="19" t="s">
        <v>733</v>
      </c>
      <c r="N59" s="19" t="s">
        <v>617</v>
      </c>
      <c r="O59" s="25"/>
      <c r="P59" s="25"/>
      <c r="Q59" s="25"/>
      <c r="S59" s="24" t="s">
        <v>1286</v>
      </c>
      <c r="T59" s="19" t="s">
        <v>1465</v>
      </c>
      <c r="U59" s="25"/>
      <c r="V59" s="28"/>
      <c r="W59" s="25"/>
      <c r="Y59" s="31" t="s">
        <v>2204</v>
      </c>
      <c r="Z59" s="31" t="s">
        <v>2396</v>
      </c>
      <c r="AA59" s="25"/>
      <c r="AB59" s="29"/>
      <c r="AC59" s="26"/>
      <c r="AE59" s="19" t="s">
        <v>1707</v>
      </c>
      <c r="AF59" s="19" t="s">
        <v>1708</v>
      </c>
      <c r="AG59" s="25"/>
      <c r="AH59" s="25"/>
      <c r="AI59" s="26"/>
      <c r="AJ59" s="25"/>
      <c r="AK59" s="25"/>
      <c r="AL59" s="25"/>
      <c r="AM59" s="25"/>
      <c r="AN59" s="25"/>
      <c r="AO59" s="25"/>
      <c r="AP59" s="25"/>
      <c r="AQ59" s="25"/>
      <c r="AR59" s="25"/>
      <c r="AS59" s="25"/>
      <c r="AT59" s="25"/>
      <c r="AU59" s="25"/>
      <c r="AV59" s="25"/>
      <c r="AW59" s="19" t="s">
        <v>2650</v>
      </c>
      <c r="AX59" s="19" t="s">
        <v>2948</v>
      </c>
      <c r="BA59" s="9" t="s">
        <v>3248</v>
      </c>
      <c r="BB59" s="9" t="s">
        <v>3249</v>
      </c>
    </row>
    <row r="60" spans="1:54" x14ac:dyDescent="0.25">
      <c r="A60" s="24" t="s">
        <v>177</v>
      </c>
      <c r="B60" s="24" t="s">
        <v>178</v>
      </c>
      <c r="J60" s="19" t="s">
        <v>396</v>
      </c>
      <c r="K60" s="17" t="s">
        <v>603</v>
      </c>
      <c r="M60" s="19" t="s">
        <v>734</v>
      </c>
      <c r="N60" s="19" t="s">
        <v>618</v>
      </c>
      <c r="O60" s="25"/>
      <c r="P60" s="25"/>
      <c r="Q60" s="25"/>
      <c r="S60" s="24" t="s">
        <v>1287</v>
      </c>
      <c r="T60" s="19" t="s">
        <v>1466</v>
      </c>
      <c r="U60" s="25"/>
      <c r="V60" s="28"/>
      <c r="W60" s="25"/>
      <c r="Y60" s="31" t="s">
        <v>2205</v>
      </c>
      <c r="Z60" s="31" t="s">
        <v>2397</v>
      </c>
      <c r="AA60" s="25"/>
      <c r="AB60" s="29"/>
      <c r="AC60" s="26"/>
      <c r="AE60" s="19" t="s">
        <v>1709</v>
      </c>
      <c r="AF60" s="19" t="s">
        <v>1710</v>
      </c>
      <c r="AG60" s="25"/>
      <c r="AH60" s="25"/>
      <c r="AI60" s="26"/>
      <c r="AJ60" s="25"/>
      <c r="AK60" s="25"/>
      <c r="AL60" s="25"/>
      <c r="AM60" s="25"/>
      <c r="AN60" s="25"/>
      <c r="AO60" s="25"/>
      <c r="AP60" s="25"/>
      <c r="AQ60" s="25"/>
      <c r="AR60" s="25"/>
      <c r="AS60" s="25"/>
      <c r="AT60" s="25"/>
      <c r="AU60" s="25"/>
      <c r="AV60" s="25"/>
      <c r="AW60" s="19" t="s">
        <v>2651</v>
      </c>
      <c r="AX60" s="19" t="s">
        <v>2949</v>
      </c>
      <c r="BA60" s="9" t="s">
        <v>3250</v>
      </c>
      <c r="BB60" s="9" t="s">
        <v>3251</v>
      </c>
    </row>
    <row r="61" spans="1:54" x14ac:dyDescent="0.25">
      <c r="A61" s="24" t="s">
        <v>179</v>
      </c>
      <c r="B61" s="24" t="s">
        <v>180</v>
      </c>
      <c r="J61" s="19" t="s">
        <v>397</v>
      </c>
      <c r="K61" s="17" t="s">
        <v>619</v>
      </c>
      <c r="M61" s="19" t="s">
        <v>735</v>
      </c>
      <c r="N61" s="19" t="s">
        <v>619</v>
      </c>
      <c r="O61" s="25"/>
      <c r="P61" s="25"/>
      <c r="Q61" s="25"/>
      <c r="S61" s="24" t="s">
        <v>1288</v>
      </c>
      <c r="T61" s="19" t="s">
        <v>1467</v>
      </c>
      <c r="U61" s="25"/>
      <c r="V61" s="28"/>
      <c r="W61" s="25"/>
      <c r="Y61" s="31" t="s">
        <v>2206</v>
      </c>
      <c r="Z61" s="31" t="s">
        <v>2398</v>
      </c>
      <c r="AA61" s="25"/>
      <c r="AB61" s="29"/>
      <c r="AC61" s="26"/>
      <c r="AE61" s="19" t="s">
        <v>1711</v>
      </c>
      <c r="AF61" s="19" t="s">
        <v>1712</v>
      </c>
      <c r="AG61" s="25"/>
      <c r="AH61" s="25"/>
      <c r="AI61" s="26"/>
      <c r="AJ61" s="25"/>
      <c r="AK61" s="25"/>
      <c r="AL61" s="25"/>
      <c r="AM61" s="25"/>
      <c r="AN61" s="25"/>
      <c r="AO61" s="25"/>
      <c r="AP61" s="25"/>
      <c r="AQ61" s="25"/>
      <c r="AR61" s="25"/>
      <c r="AS61" s="25"/>
      <c r="AT61" s="25"/>
      <c r="AU61" s="25"/>
      <c r="AV61" s="25"/>
      <c r="AW61" s="19" t="s">
        <v>2652</v>
      </c>
      <c r="AX61" s="19" t="s">
        <v>2950</v>
      </c>
      <c r="BA61" s="9" t="s">
        <v>3252</v>
      </c>
      <c r="BB61" s="9" t="s">
        <v>3253</v>
      </c>
    </row>
    <row r="62" spans="1:54" x14ac:dyDescent="0.25">
      <c r="A62" s="24" t="s">
        <v>181</v>
      </c>
      <c r="B62" s="24" t="s">
        <v>182</v>
      </c>
      <c r="J62" s="19" t="s">
        <v>398</v>
      </c>
      <c r="K62" s="17" t="s">
        <v>621</v>
      </c>
      <c r="M62" s="19" t="s">
        <v>736</v>
      </c>
      <c r="N62" s="19" t="s">
        <v>620</v>
      </c>
      <c r="O62" s="25"/>
      <c r="P62" s="25"/>
      <c r="Q62" s="25"/>
      <c r="S62" s="24" t="s">
        <v>1289</v>
      </c>
      <c r="T62" s="19" t="s">
        <v>1468</v>
      </c>
      <c r="U62" s="25"/>
      <c r="V62" s="28"/>
      <c r="W62" s="25"/>
      <c r="Y62" s="31" t="s">
        <v>2207</v>
      </c>
      <c r="Z62" s="31" t="s">
        <v>2399</v>
      </c>
      <c r="AA62" s="25"/>
      <c r="AB62" s="29"/>
      <c r="AC62" s="26"/>
      <c r="AE62" s="19" t="s">
        <v>1713</v>
      </c>
      <c r="AF62" s="19" t="s">
        <v>1714</v>
      </c>
      <c r="AG62" s="25"/>
      <c r="AH62" s="25"/>
      <c r="AI62" s="26"/>
      <c r="AJ62" s="25"/>
      <c r="AK62" s="25"/>
      <c r="AL62" s="25"/>
      <c r="AM62" s="25"/>
      <c r="AN62" s="25"/>
      <c r="AO62" s="25"/>
      <c r="AP62" s="25"/>
      <c r="AQ62" s="25"/>
      <c r="AR62" s="25"/>
      <c r="AS62" s="25"/>
      <c r="AT62" s="25"/>
      <c r="AU62" s="25"/>
      <c r="AV62" s="25"/>
      <c r="AW62" s="19" t="s">
        <v>2653</v>
      </c>
      <c r="AX62" s="19" t="s">
        <v>2951</v>
      </c>
      <c r="BA62" s="9" t="s">
        <v>3254</v>
      </c>
      <c r="BB62" s="9" t="s">
        <v>3255</v>
      </c>
    </row>
    <row r="63" spans="1:54" x14ac:dyDescent="0.25">
      <c r="A63" s="24" t="s">
        <v>183</v>
      </c>
      <c r="B63" s="24" t="s">
        <v>184</v>
      </c>
      <c r="J63" s="19" t="s">
        <v>399</v>
      </c>
      <c r="K63" s="17" t="s">
        <v>625</v>
      </c>
      <c r="M63" s="19" t="s">
        <v>737</v>
      </c>
      <c r="N63" s="19" t="s">
        <v>621</v>
      </c>
      <c r="O63" s="25"/>
      <c r="P63" s="25"/>
      <c r="Q63" s="25"/>
      <c r="S63" s="24" t="s">
        <v>1290</v>
      </c>
      <c r="T63" s="19" t="s">
        <v>1469</v>
      </c>
      <c r="U63" s="25"/>
      <c r="V63" s="28"/>
      <c r="W63" s="25"/>
      <c r="Y63" s="31" t="s">
        <v>2208</v>
      </c>
      <c r="Z63" s="31" t="s">
        <v>2400</v>
      </c>
      <c r="AA63" s="25"/>
      <c r="AB63" s="29"/>
      <c r="AC63" s="26"/>
      <c r="AE63" s="19" t="s">
        <v>1715</v>
      </c>
      <c r="AF63" s="19" t="s">
        <v>1716</v>
      </c>
      <c r="AG63" s="25"/>
      <c r="AH63" s="25"/>
      <c r="AI63" s="26"/>
      <c r="AJ63" s="25"/>
      <c r="AK63" s="25"/>
      <c r="AL63" s="25"/>
      <c r="AM63" s="25"/>
      <c r="AN63" s="25"/>
      <c r="AO63" s="25"/>
      <c r="AP63" s="25"/>
      <c r="AQ63" s="25"/>
      <c r="AR63" s="25"/>
      <c r="AS63" s="25"/>
      <c r="AT63" s="25"/>
      <c r="AU63" s="25"/>
      <c r="AV63" s="25"/>
      <c r="AW63" s="19" t="s">
        <v>2654</v>
      </c>
      <c r="AX63" s="19" t="s">
        <v>2952</v>
      </c>
      <c r="BA63" s="9" t="s">
        <v>3256</v>
      </c>
      <c r="BB63" s="9" t="s">
        <v>3257</v>
      </c>
    </row>
    <row r="64" spans="1:54" x14ac:dyDescent="0.25">
      <c r="A64" s="24" t="s">
        <v>185</v>
      </c>
      <c r="B64" s="24" t="s">
        <v>186</v>
      </c>
      <c r="J64" s="19" t="s">
        <v>400</v>
      </c>
      <c r="K64" s="17" t="s">
        <v>626</v>
      </c>
      <c r="M64" s="19" t="s">
        <v>738</v>
      </c>
      <c r="N64" s="19" t="s">
        <v>622</v>
      </c>
      <c r="O64" s="25"/>
      <c r="P64" s="25"/>
      <c r="Q64" s="25"/>
      <c r="S64" s="24" t="s">
        <v>1291</v>
      </c>
      <c r="T64" s="19" t="s">
        <v>1470</v>
      </c>
      <c r="U64" s="25"/>
      <c r="V64" s="28"/>
      <c r="W64" s="25"/>
      <c r="Y64" s="31" t="s">
        <v>2209</v>
      </c>
      <c r="Z64" s="31" t="s">
        <v>2401</v>
      </c>
      <c r="AA64" s="25"/>
      <c r="AB64" s="29"/>
      <c r="AC64" s="26"/>
      <c r="AE64" s="19" t="s">
        <v>1717</v>
      </c>
      <c r="AF64" s="19" t="s">
        <v>1718</v>
      </c>
      <c r="AG64" s="25"/>
      <c r="AH64" s="25"/>
      <c r="AI64" s="26"/>
      <c r="AJ64" s="25"/>
      <c r="AK64" s="25"/>
      <c r="AL64" s="25"/>
      <c r="AM64" s="25"/>
      <c r="AN64" s="25"/>
      <c r="AO64" s="25"/>
      <c r="AP64" s="25"/>
      <c r="AQ64" s="25"/>
      <c r="AR64" s="25"/>
      <c r="AS64" s="25"/>
      <c r="AT64" s="25"/>
      <c r="AU64" s="25"/>
      <c r="AV64" s="25"/>
      <c r="AW64" s="19" t="s">
        <v>2655</v>
      </c>
      <c r="AX64" s="19" t="s">
        <v>2953</v>
      </c>
      <c r="BA64" s="9" t="s">
        <v>3258</v>
      </c>
      <c r="BB64" s="9" t="s">
        <v>3259</v>
      </c>
    </row>
    <row r="65" spans="1:54" x14ac:dyDescent="0.25">
      <c r="A65" s="24" t="s">
        <v>187</v>
      </c>
      <c r="B65" s="24" t="s">
        <v>188</v>
      </c>
      <c r="J65" s="19" t="s">
        <v>401</v>
      </c>
      <c r="K65" s="17" t="s">
        <v>627</v>
      </c>
      <c r="M65" s="19" t="s">
        <v>739</v>
      </c>
      <c r="N65" s="19" t="s">
        <v>623</v>
      </c>
      <c r="O65" s="25"/>
      <c r="P65" s="25"/>
      <c r="Q65" s="25"/>
      <c r="S65" s="24" t="s">
        <v>1292</v>
      </c>
      <c r="T65" s="19" t="s">
        <v>1471</v>
      </c>
      <c r="U65" s="25"/>
      <c r="V65" s="28"/>
      <c r="W65" s="25"/>
      <c r="Y65" s="31" t="s">
        <v>2210</v>
      </c>
      <c r="Z65" s="31" t="s">
        <v>2402</v>
      </c>
      <c r="AA65" s="25"/>
      <c r="AB65" s="29"/>
      <c r="AC65" s="26"/>
      <c r="AE65" s="19" t="s">
        <v>1719</v>
      </c>
      <c r="AF65" s="19" t="s">
        <v>1720</v>
      </c>
      <c r="AG65" s="25"/>
      <c r="AH65" s="25"/>
      <c r="AI65" s="26"/>
      <c r="AJ65" s="25"/>
      <c r="AK65" s="25"/>
      <c r="AL65" s="25"/>
      <c r="AM65" s="25"/>
      <c r="AN65" s="25"/>
      <c r="AO65" s="25"/>
      <c r="AP65" s="25"/>
      <c r="AQ65" s="25"/>
      <c r="AR65" s="25"/>
      <c r="AS65" s="25"/>
      <c r="AT65" s="25"/>
      <c r="AU65" s="25"/>
      <c r="AV65" s="25"/>
      <c r="AW65" s="19" t="s">
        <v>2656</v>
      </c>
      <c r="AX65" s="19" t="s">
        <v>2954</v>
      </c>
      <c r="BA65" s="9" t="s">
        <v>3260</v>
      </c>
      <c r="BB65" s="9" t="s">
        <v>3261</v>
      </c>
    </row>
    <row r="66" spans="1:54" x14ac:dyDescent="0.25">
      <c r="A66" s="24" t="s">
        <v>189</v>
      </c>
      <c r="B66" s="24" t="s">
        <v>190</v>
      </c>
      <c r="J66" s="19" t="s">
        <v>402</v>
      </c>
      <c r="K66" s="17" t="s">
        <v>631</v>
      </c>
      <c r="M66" s="19" t="s">
        <v>740</v>
      </c>
      <c r="N66" s="19" t="s">
        <v>998</v>
      </c>
      <c r="O66" s="25"/>
      <c r="P66" s="25"/>
      <c r="Q66" s="25"/>
      <c r="S66" s="24" t="s">
        <v>1293</v>
      </c>
      <c r="T66" s="19" t="s">
        <v>1472</v>
      </c>
      <c r="U66" s="25"/>
      <c r="V66" s="28"/>
      <c r="W66" s="25"/>
      <c r="Y66" s="31" t="s">
        <v>2211</v>
      </c>
      <c r="Z66" s="31" t="s">
        <v>2403</v>
      </c>
      <c r="AA66" s="25"/>
      <c r="AB66" s="29"/>
      <c r="AC66" s="26"/>
      <c r="AE66" s="19" t="s">
        <v>1721</v>
      </c>
      <c r="AF66" s="19" t="s">
        <v>1722</v>
      </c>
      <c r="AG66" s="25"/>
      <c r="AH66" s="25"/>
      <c r="AI66" s="26"/>
      <c r="AJ66" s="25"/>
      <c r="AK66" s="25"/>
      <c r="AL66" s="25"/>
      <c r="AM66" s="25"/>
      <c r="AN66" s="25"/>
      <c r="AO66" s="25"/>
      <c r="AP66" s="25"/>
      <c r="AQ66" s="25"/>
      <c r="AR66" s="25"/>
      <c r="AS66" s="25"/>
      <c r="AT66" s="25"/>
      <c r="AU66" s="25"/>
      <c r="AV66" s="25"/>
      <c r="AW66" s="19" t="s">
        <v>2657</v>
      </c>
      <c r="AX66" s="19" t="s">
        <v>2955</v>
      </c>
      <c r="BA66" s="9" t="s">
        <v>3262</v>
      </c>
      <c r="BB66" s="9" t="s">
        <v>3263</v>
      </c>
    </row>
    <row r="67" spans="1:54" x14ac:dyDescent="0.25">
      <c r="A67" s="24" t="s">
        <v>191</v>
      </c>
      <c r="B67" s="24" t="s">
        <v>192</v>
      </c>
      <c r="J67" s="19" t="s">
        <v>403</v>
      </c>
      <c r="K67" s="17" t="s">
        <v>632</v>
      </c>
      <c r="M67" s="19" t="s">
        <v>741</v>
      </c>
      <c r="N67" s="19" t="s">
        <v>624</v>
      </c>
      <c r="O67" s="25"/>
      <c r="P67" s="25"/>
      <c r="Q67" s="25"/>
      <c r="S67" s="24" t="s">
        <v>1294</v>
      </c>
      <c r="T67" s="19" t="s">
        <v>1473</v>
      </c>
      <c r="U67" s="25"/>
      <c r="V67" s="28"/>
      <c r="W67" s="25"/>
      <c r="Y67" s="31" t="s">
        <v>2212</v>
      </c>
      <c r="Z67" s="31" t="s">
        <v>2404</v>
      </c>
      <c r="AA67" s="25"/>
      <c r="AB67" s="29"/>
      <c r="AC67" s="26"/>
      <c r="AE67" s="19" t="s">
        <v>1723</v>
      </c>
      <c r="AF67" s="19" t="s">
        <v>1724</v>
      </c>
      <c r="AG67" s="25"/>
      <c r="AH67" s="25"/>
      <c r="AI67" s="26"/>
      <c r="AJ67" s="25"/>
      <c r="AK67" s="25"/>
      <c r="AL67" s="25"/>
      <c r="AM67" s="25"/>
      <c r="AN67" s="25"/>
      <c r="AO67" s="25"/>
      <c r="AP67" s="25"/>
      <c r="AQ67" s="25"/>
      <c r="AR67" s="25"/>
      <c r="AS67" s="25"/>
      <c r="AT67" s="25"/>
      <c r="AU67" s="25"/>
      <c r="AV67" s="25"/>
      <c r="AW67" s="19" t="s">
        <v>2658</v>
      </c>
      <c r="AX67" s="19" t="s">
        <v>2956</v>
      </c>
      <c r="BA67" s="9" t="s">
        <v>3264</v>
      </c>
      <c r="BB67" s="9" t="s">
        <v>3265</v>
      </c>
    </row>
    <row r="68" spans="1:54" x14ac:dyDescent="0.25">
      <c r="A68" s="24" t="s">
        <v>193</v>
      </c>
      <c r="B68" s="24" t="s">
        <v>194</v>
      </c>
      <c r="J68" s="19" t="s">
        <v>404</v>
      </c>
      <c r="K68" s="17" t="s">
        <v>635</v>
      </c>
      <c r="M68" s="19" t="s">
        <v>742</v>
      </c>
      <c r="N68" s="19" t="s">
        <v>625</v>
      </c>
      <c r="O68" s="25"/>
      <c r="P68" s="25"/>
      <c r="Q68" s="25"/>
      <c r="S68" s="24" t="s">
        <v>1295</v>
      </c>
      <c r="T68" s="19" t="s">
        <v>1474</v>
      </c>
      <c r="U68" s="25"/>
      <c r="V68" s="28"/>
      <c r="W68" s="25"/>
      <c r="Y68" s="31" t="s">
        <v>2213</v>
      </c>
      <c r="Z68" s="31" t="s">
        <v>2405</v>
      </c>
      <c r="AA68" s="25"/>
      <c r="AB68" s="29"/>
      <c r="AC68" s="26"/>
      <c r="AE68" s="19" t="s">
        <v>1725</v>
      </c>
      <c r="AF68" s="19" t="s">
        <v>1726</v>
      </c>
      <c r="AG68" s="25"/>
      <c r="AH68" s="25"/>
      <c r="AI68" s="26"/>
      <c r="AJ68" s="25"/>
      <c r="AK68" s="25"/>
      <c r="AL68" s="25"/>
      <c r="AM68" s="25"/>
      <c r="AN68" s="25"/>
      <c r="AO68" s="25"/>
      <c r="AP68" s="25"/>
      <c r="AQ68" s="25"/>
      <c r="AR68" s="25"/>
      <c r="AS68" s="25"/>
      <c r="AT68" s="25"/>
      <c r="AU68" s="25"/>
      <c r="AV68" s="25"/>
      <c r="AW68" s="19" t="s">
        <v>2659</v>
      </c>
      <c r="AX68" s="19" t="s">
        <v>2957</v>
      </c>
      <c r="BA68" s="9" t="s">
        <v>3266</v>
      </c>
      <c r="BB68" s="9" t="s">
        <v>3267</v>
      </c>
    </row>
    <row r="69" spans="1:54" x14ac:dyDescent="0.25">
      <c r="A69" s="24" t="s">
        <v>195</v>
      </c>
      <c r="B69" s="24" t="s">
        <v>196</v>
      </c>
      <c r="J69" s="19" t="s">
        <v>405</v>
      </c>
      <c r="K69" s="17" t="s">
        <v>636</v>
      </c>
      <c r="M69" s="19" t="s">
        <v>743</v>
      </c>
      <c r="N69" s="19" t="s">
        <v>626</v>
      </c>
      <c r="O69" s="25"/>
      <c r="P69" s="25"/>
      <c r="Q69" s="25"/>
      <c r="S69" s="24" t="s">
        <v>1296</v>
      </c>
      <c r="T69" s="19" t="s">
        <v>1475</v>
      </c>
      <c r="U69" s="25"/>
      <c r="V69" s="28"/>
      <c r="W69" s="25"/>
      <c r="Y69" s="31" t="s">
        <v>2214</v>
      </c>
      <c r="Z69" s="31" t="s">
        <v>2406</v>
      </c>
      <c r="AA69" s="25"/>
      <c r="AB69" s="29"/>
      <c r="AC69" s="26"/>
      <c r="AE69" s="19" t="s">
        <v>1727</v>
      </c>
      <c r="AF69" s="19" t="s">
        <v>1728</v>
      </c>
      <c r="AG69" s="25"/>
      <c r="AH69" s="25"/>
      <c r="AI69" s="26"/>
      <c r="AJ69" s="25"/>
      <c r="AK69" s="25"/>
      <c r="AL69" s="25"/>
      <c r="AM69" s="25"/>
      <c r="AN69" s="25"/>
      <c r="AO69" s="25"/>
      <c r="AP69" s="25"/>
      <c r="AQ69" s="25"/>
      <c r="AR69" s="25"/>
      <c r="AS69" s="25"/>
      <c r="AT69" s="25"/>
      <c r="AU69" s="25"/>
      <c r="AV69" s="25"/>
      <c r="AW69" s="19" t="s">
        <v>2660</v>
      </c>
      <c r="AX69" s="19" t="s">
        <v>2958</v>
      </c>
      <c r="BA69" s="9" t="s">
        <v>3268</v>
      </c>
      <c r="BB69" s="9" t="s">
        <v>3269</v>
      </c>
    </row>
    <row r="70" spans="1:54" x14ac:dyDescent="0.25">
      <c r="A70" s="24" t="s">
        <v>197</v>
      </c>
      <c r="B70" s="24" t="s">
        <v>198</v>
      </c>
      <c r="J70" s="19" t="s">
        <v>406</v>
      </c>
      <c r="K70" s="17" t="s">
        <v>641</v>
      </c>
      <c r="M70" s="19" t="s">
        <v>744</v>
      </c>
      <c r="N70" s="19" t="s">
        <v>627</v>
      </c>
      <c r="O70" s="25"/>
      <c r="P70" s="25"/>
      <c r="Q70" s="25"/>
      <c r="S70" s="24" t="s">
        <v>1297</v>
      </c>
      <c r="T70" s="19" t="s">
        <v>1476</v>
      </c>
      <c r="U70" s="25"/>
      <c r="V70" s="28"/>
      <c r="W70" s="25"/>
      <c r="Y70" s="31" t="s">
        <v>2215</v>
      </c>
      <c r="Z70" s="31" t="s">
        <v>2407</v>
      </c>
      <c r="AA70" s="25"/>
      <c r="AB70" s="29"/>
      <c r="AC70" s="26"/>
      <c r="AE70" s="19" t="s">
        <v>1729</v>
      </c>
      <c r="AF70" s="19" t="s">
        <v>1730</v>
      </c>
      <c r="AG70" s="25"/>
      <c r="AH70" s="25"/>
      <c r="AI70" s="26"/>
      <c r="AJ70" s="25"/>
      <c r="AK70" s="25"/>
      <c r="AL70" s="25"/>
      <c r="AM70" s="25"/>
      <c r="AN70" s="25"/>
      <c r="AO70" s="25"/>
      <c r="AP70" s="25"/>
      <c r="AQ70" s="25"/>
      <c r="AR70" s="25"/>
      <c r="AS70" s="25"/>
      <c r="AT70" s="25"/>
      <c r="AU70" s="25"/>
      <c r="AV70" s="25"/>
      <c r="AW70" s="19" t="s">
        <v>2661</v>
      </c>
      <c r="AX70" s="19" t="s">
        <v>2959</v>
      </c>
      <c r="BA70" s="9" t="s">
        <v>3270</v>
      </c>
      <c r="BB70" s="9" t="s">
        <v>3271</v>
      </c>
    </row>
    <row r="71" spans="1:54" x14ac:dyDescent="0.25">
      <c r="A71" s="24" t="s">
        <v>199</v>
      </c>
      <c r="B71" s="24" t="s">
        <v>200</v>
      </c>
      <c r="J71" s="19" t="s">
        <v>407</v>
      </c>
      <c r="K71" s="17" t="s">
        <v>647</v>
      </c>
      <c r="M71" s="19" t="s">
        <v>745</v>
      </c>
      <c r="N71" s="19" t="s">
        <v>628</v>
      </c>
      <c r="O71" s="25"/>
      <c r="P71" s="25"/>
      <c r="Q71" s="25"/>
      <c r="S71" s="24" t="s">
        <v>1298</v>
      </c>
      <c r="T71" s="19" t="s">
        <v>1477</v>
      </c>
      <c r="U71" s="25"/>
      <c r="V71" s="28"/>
      <c r="W71" s="25"/>
      <c r="Y71" s="31" t="s">
        <v>2216</v>
      </c>
      <c r="Z71" s="31" t="s">
        <v>2408</v>
      </c>
      <c r="AA71" s="25"/>
      <c r="AB71" s="29"/>
      <c r="AC71" s="26"/>
      <c r="AE71" s="19" t="s">
        <v>1731</v>
      </c>
      <c r="AF71" s="19" t="s">
        <v>1732</v>
      </c>
      <c r="AG71" s="25"/>
      <c r="AH71" s="25"/>
      <c r="AI71" s="26"/>
      <c r="AJ71" s="25"/>
      <c r="AK71" s="25"/>
      <c r="AL71" s="25"/>
      <c r="AM71" s="25"/>
      <c r="AN71" s="25"/>
      <c r="AO71" s="25"/>
      <c r="AP71" s="25"/>
      <c r="AQ71" s="25"/>
      <c r="AR71" s="25"/>
      <c r="AS71" s="25"/>
      <c r="AT71" s="25"/>
      <c r="AU71" s="25"/>
      <c r="AV71" s="25"/>
      <c r="AW71" s="19" t="s">
        <v>2662</v>
      </c>
      <c r="AX71" s="19" t="s">
        <v>2960</v>
      </c>
      <c r="BA71" s="9" t="s">
        <v>3272</v>
      </c>
      <c r="BB71" s="9" t="s">
        <v>3273</v>
      </c>
    </row>
    <row r="72" spans="1:54" x14ac:dyDescent="0.25">
      <c r="A72" s="24" t="s">
        <v>201</v>
      </c>
      <c r="B72" s="24" t="s">
        <v>202</v>
      </c>
      <c r="J72" s="19" t="s">
        <v>408</v>
      </c>
      <c r="K72" s="17" t="s">
        <v>648</v>
      </c>
      <c r="M72" s="19" t="s">
        <v>746</v>
      </c>
      <c r="N72" s="19" t="s">
        <v>629</v>
      </c>
      <c r="O72" s="25"/>
      <c r="P72" s="25"/>
      <c r="Q72" s="25"/>
      <c r="S72" s="24" t="s">
        <v>1299</v>
      </c>
      <c r="T72" s="19" t="s">
        <v>1478</v>
      </c>
      <c r="U72" s="25"/>
      <c r="V72" s="28"/>
      <c r="W72" s="25"/>
      <c r="Y72" s="31" t="s">
        <v>2217</v>
      </c>
      <c r="Z72" s="31" t="s">
        <v>2409</v>
      </c>
      <c r="AA72" s="25"/>
      <c r="AB72" s="29"/>
      <c r="AC72" s="26"/>
      <c r="AE72" s="19" t="s">
        <v>1733</v>
      </c>
      <c r="AF72" s="19" t="s">
        <v>1734</v>
      </c>
      <c r="AG72" s="25"/>
      <c r="AH72" s="25"/>
      <c r="AI72" s="26"/>
      <c r="AJ72" s="25"/>
      <c r="AK72" s="25"/>
      <c r="AL72" s="25"/>
      <c r="AM72" s="25"/>
      <c r="AN72" s="25"/>
      <c r="AO72" s="25"/>
      <c r="AP72" s="25"/>
      <c r="AQ72" s="25"/>
      <c r="AR72" s="25"/>
      <c r="AS72" s="25"/>
      <c r="AT72" s="25"/>
      <c r="AU72" s="25"/>
      <c r="AV72" s="25"/>
      <c r="AW72" s="19" t="s">
        <v>2663</v>
      </c>
      <c r="AX72" s="19" t="s">
        <v>2961</v>
      </c>
      <c r="BA72" s="9" t="s">
        <v>3274</v>
      </c>
      <c r="BB72" s="9" t="s">
        <v>3275</v>
      </c>
    </row>
    <row r="73" spans="1:54" x14ac:dyDescent="0.25">
      <c r="A73" s="24" t="s">
        <v>203</v>
      </c>
      <c r="B73" s="24" t="s">
        <v>204</v>
      </c>
      <c r="J73" s="19" t="s">
        <v>409</v>
      </c>
      <c r="K73" s="17" t="s">
        <v>649</v>
      </c>
      <c r="M73" s="19" t="s">
        <v>747</v>
      </c>
      <c r="N73" s="19" t="s">
        <v>630</v>
      </c>
      <c r="O73" s="25"/>
      <c r="P73" s="25"/>
      <c r="Q73" s="25"/>
      <c r="S73" s="24" t="s">
        <v>1300</v>
      </c>
      <c r="T73" s="19" t="s">
        <v>1479</v>
      </c>
      <c r="U73" s="25"/>
      <c r="V73" s="28"/>
      <c r="W73" s="25"/>
      <c r="Y73" s="31" t="s">
        <v>2218</v>
      </c>
      <c r="Z73" s="31" t="s">
        <v>2410</v>
      </c>
      <c r="AA73" s="25"/>
      <c r="AB73" s="29"/>
      <c r="AC73" s="26"/>
      <c r="AE73" s="19" t="s">
        <v>1735</v>
      </c>
      <c r="AF73" s="19" t="s">
        <v>1736</v>
      </c>
      <c r="AG73" s="25"/>
      <c r="AH73" s="25"/>
      <c r="AI73" s="26"/>
      <c r="AJ73" s="25"/>
      <c r="AK73" s="25"/>
      <c r="AL73" s="25"/>
      <c r="AM73" s="25"/>
      <c r="AN73" s="25"/>
      <c r="AO73" s="25"/>
      <c r="AP73" s="25"/>
      <c r="AQ73" s="25"/>
      <c r="AR73" s="25"/>
      <c r="AS73" s="25"/>
      <c r="AT73" s="25"/>
      <c r="AU73" s="25"/>
      <c r="AV73" s="25"/>
      <c r="AW73" s="19" t="s">
        <v>2664</v>
      </c>
      <c r="AX73" s="19" t="s">
        <v>2962</v>
      </c>
      <c r="BA73" s="9" t="s">
        <v>3276</v>
      </c>
      <c r="BB73" s="9" t="s">
        <v>3277</v>
      </c>
    </row>
    <row r="74" spans="1:54" x14ac:dyDescent="0.25">
      <c r="A74" s="24" t="s">
        <v>205</v>
      </c>
      <c r="B74" s="24" t="s">
        <v>206</v>
      </c>
      <c r="J74" s="19" t="s">
        <v>410</v>
      </c>
      <c r="K74" s="17" t="s">
        <v>650</v>
      </c>
      <c r="M74" s="19" t="s">
        <v>748</v>
      </c>
      <c r="N74" s="19" t="s">
        <v>631</v>
      </c>
      <c r="O74" s="25"/>
      <c r="P74" s="25"/>
      <c r="Q74" s="25"/>
      <c r="S74" s="24" t="s">
        <v>1301</v>
      </c>
      <c r="T74" s="19" t="s">
        <v>1480</v>
      </c>
      <c r="U74" s="25"/>
      <c r="V74" s="28"/>
      <c r="W74" s="25"/>
      <c r="Y74" s="31" t="s">
        <v>2219</v>
      </c>
      <c r="Z74" s="31" t="s">
        <v>2411</v>
      </c>
      <c r="AA74" s="25"/>
      <c r="AB74" s="29"/>
      <c r="AC74" s="26"/>
      <c r="AE74" s="19" t="s">
        <v>1737</v>
      </c>
      <c r="AF74" s="19" t="s">
        <v>1738</v>
      </c>
      <c r="AG74" s="25"/>
      <c r="AH74" s="25"/>
      <c r="AI74" s="26"/>
      <c r="AJ74" s="25"/>
      <c r="AK74" s="25"/>
      <c r="AL74" s="25"/>
      <c r="AM74" s="25"/>
      <c r="AN74" s="25"/>
      <c r="AO74" s="25"/>
      <c r="AP74" s="25"/>
      <c r="AQ74" s="25"/>
      <c r="AR74" s="25"/>
      <c r="AS74" s="25"/>
      <c r="AT74" s="25"/>
      <c r="AU74" s="25"/>
      <c r="AV74" s="25"/>
      <c r="AW74" s="19" t="s">
        <v>2665</v>
      </c>
      <c r="AX74" s="19" t="s">
        <v>2963</v>
      </c>
      <c r="BA74" s="9" t="s">
        <v>3278</v>
      </c>
      <c r="BB74" s="9" t="s">
        <v>3279</v>
      </c>
    </row>
    <row r="75" spans="1:54" x14ac:dyDescent="0.25">
      <c r="A75" s="24" t="s">
        <v>207</v>
      </c>
      <c r="B75" s="24" t="s">
        <v>208</v>
      </c>
      <c r="J75" s="19" t="s">
        <v>411</v>
      </c>
      <c r="K75" s="17" t="s">
        <v>651</v>
      </c>
      <c r="M75" s="19" t="s">
        <v>749</v>
      </c>
      <c r="N75" s="19" t="s">
        <v>632</v>
      </c>
      <c r="O75" s="25"/>
      <c r="P75" s="25"/>
      <c r="Q75" s="25"/>
      <c r="S75" s="24" t="s">
        <v>1302</v>
      </c>
      <c r="T75" s="19" t="s">
        <v>1481</v>
      </c>
      <c r="U75" s="25"/>
      <c r="V75" s="28"/>
      <c r="W75" s="25"/>
      <c r="Y75" s="31" t="s">
        <v>2220</v>
      </c>
      <c r="Z75" s="31" t="s">
        <v>2412</v>
      </c>
      <c r="AA75" s="25"/>
      <c r="AB75" s="29"/>
      <c r="AC75" s="26"/>
      <c r="AE75" s="19" t="s">
        <v>1739</v>
      </c>
      <c r="AF75" s="19" t="s">
        <v>1740</v>
      </c>
      <c r="AG75" s="25"/>
      <c r="AH75" s="25"/>
      <c r="AI75" s="26"/>
      <c r="AJ75" s="25"/>
      <c r="AK75" s="25"/>
      <c r="AL75" s="25"/>
      <c r="AM75" s="25"/>
      <c r="AN75" s="25"/>
      <c r="AO75" s="25"/>
      <c r="AP75" s="25"/>
      <c r="AQ75" s="25"/>
      <c r="AR75" s="25"/>
      <c r="AS75" s="25"/>
      <c r="AT75" s="25"/>
      <c r="AU75" s="25"/>
      <c r="AV75" s="25"/>
      <c r="AW75" s="19" t="s">
        <v>2666</v>
      </c>
      <c r="AX75" s="19" t="s">
        <v>2964</v>
      </c>
      <c r="BA75" s="9" t="s">
        <v>3280</v>
      </c>
      <c r="BB75" s="9" t="s">
        <v>3281</v>
      </c>
    </row>
    <row r="76" spans="1:54" x14ac:dyDescent="0.25">
      <c r="A76" s="24" t="s">
        <v>3645</v>
      </c>
      <c r="B76" s="24" t="s">
        <v>124</v>
      </c>
      <c r="J76" s="19" t="s">
        <v>412</v>
      </c>
      <c r="K76" s="17" t="s">
        <v>652</v>
      </c>
      <c r="M76" s="19" t="s">
        <v>750</v>
      </c>
      <c r="N76" s="19" t="s">
        <v>633</v>
      </c>
      <c r="O76" s="25"/>
      <c r="P76" s="25"/>
      <c r="Q76" s="25"/>
      <c r="S76" s="24" t="s">
        <v>1303</v>
      </c>
      <c r="T76" s="19" t="s">
        <v>1482</v>
      </c>
      <c r="U76" s="25"/>
      <c r="V76" s="28"/>
      <c r="W76" s="25"/>
      <c r="Y76" s="31" t="s">
        <v>2221</v>
      </c>
      <c r="Z76" s="31" t="s">
        <v>2413</v>
      </c>
      <c r="AA76" s="25"/>
      <c r="AB76" s="29"/>
      <c r="AC76" s="26"/>
      <c r="AE76" s="19" t="s">
        <v>1741</v>
      </c>
      <c r="AF76" s="19" t="s">
        <v>1742</v>
      </c>
      <c r="AG76" s="25"/>
      <c r="AH76" s="25"/>
      <c r="AI76" s="26"/>
      <c r="AJ76" s="25"/>
      <c r="AK76" s="25"/>
      <c r="AL76" s="25"/>
      <c r="AM76" s="25"/>
      <c r="AN76" s="25"/>
      <c r="AO76" s="25"/>
      <c r="AP76" s="25"/>
      <c r="AQ76" s="25"/>
      <c r="AR76" s="25"/>
      <c r="AS76" s="25"/>
      <c r="AT76" s="25"/>
      <c r="AU76" s="25"/>
      <c r="AV76" s="25"/>
      <c r="AW76" s="19" t="s">
        <v>2667</v>
      </c>
      <c r="AX76" s="19" t="s">
        <v>2965</v>
      </c>
      <c r="BA76" s="9" t="s">
        <v>3282</v>
      </c>
      <c r="BB76" s="9" t="s">
        <v>3283</v>
      </c>
    </row>
    <row r="77" spans="1:54" ht="30" x14ac:dyDescent="0.25">
      <c r="A77" s="24" t="s">
        <v>209</v>
      </c>
      <c r="B77" s="24" t="s">
        <v>210</v>
      </c>
      <c r="J77" s="19" t="s">
        <v>413</v>
      </c>
      <c r="K77" s="17" t="s">
        <v>653</v>
      </c>
      <c r="M77" s="19" t="s">
        <v>751</v>
      </c>
      <c r="N77" s="19" t="s">
        <v>999</v>
      </c>
      <c r="O77" s="25"/>
      <c r="P77" s="25"/>
      <c r="Q77" s="25"/>
      <c r="S77" s="24" t="s">
        <v>1304</v>
      </c>
      <c r="T77" s="19" t="s">
        <v>1483</v>
      </c>
      <c r="U77" s="25"/>
      <c r="V77" s="28"/>
      <c r="W77" s="25"/>
      <c r="Y77" s="31" t="s">
        <v>2222</v>
      </c>
      <c r="Z77" s="31" t="s">
        <v>2414</v>
      </c>
      <c r="AA77" s="25"/>
      <c r="AB77" s="29"/>
      <c r="AC77" s="26"/>
      <c r="AE77" s="19" t="s">
        <v>1743</v>
      </c>
      <c r="AF77" s="19" t="s">
        <v>1744</v>
      </c>
      <c r="AG77" s="25"/>
      <c r="AH77" s="25"/>
      <c r="AI77" s="26"/>
      <c r="AJ77" s="25"/>
      <c r="AK77" s="25"/>
      <c r="AL77" s="25"/>
      <c r="AM77" s="25"/>
      <c r="AN77" s="25"/>
      <c r="AO77" s="25"/>
      <c r="AP77" s="25"/>
      <c r="AQ77" s="25"/>
      <c r="AR77" s="25"/>
      <c r="AS77" s="25"/>
      <c r="AT77" s="25"/>
      <c r="AU77" s="25"/>
      <c r="AV77" s="25"/>
      <c r="AW77" s="19" t="s">
        <v>2668</v>
      </c>
      <c r="AX77" s="19" t="s">
        <v>2966</v>
      </c>
      <c r="BA77" s="9" t="s">
        <v>3284</v>
      </c>
      <c r="BB77" s="9" t="s">
        <v>3285</v>
      </c>
    </row>
    <row r="78" spans="1:54" ht="30" x14ac:dyDescent="0.25">
      <c r="A78" s="24" t="s">
        <v>211</v>
      </c>
      <c r="B78" s="24" t="s">
        <v>212</v>
      </c>
      <c r="J78" s="19" t="s">
        <v>414</v>
      </c>
      <c r="K78" s="17" t="s">
        <v>654</v>
      </c>
      <c r="M78" s="19" t="s">
        <v>752</v>
      </c>
      <c r="N78" s="19" t="s">
        <v>634</v>
      </c>
      <c r="O78" s="25"/>
      <c r="P78" s="25"/>
      <c r="Q78" s="25"/>
      <c r="S78" s="24" t="s">
        <v>1305</v>
      </c>
      <c r="T78" s="19" t="s">
        <v>1484</v>
      </c>
      <c r="U78" s="25"/>
      <c r="V78" s="28"/>
      <c r="W78" s="25"/>
      <c r="Y78" s="31" t="s">
        <v>2223</v>
      </c>
      <c r="Z78" s="31" t="s">
        <v>2415</v>
      </c>
      <c r="AA78" s="25"/>
      <c r="AB78" s="29"/>
      <c r="AC78" s="26"/>
      <c r="AE78" s="19" t="s">
        <v>1745</v>
      </c>
      <c r="AF78" s="19" t="s">
        <v>1746</v>
      </c>
      <c r="AG78" s="25"/>
      <c r="AH78" s="25"/>
      <c r="AI78" s="26"/>
      <c r="AJ78" s="25"/>
      <c r="AK78" s="25"/>
      <c r="AL78" s="25"/>
      <c r="AM78" s="25"/>
      <c r="AN78" s="25"/>
      <c r="AO78" s="25"/>
      <c r="AP78" s="25"/>
      <c r="AQ78" s="25"/>
      <c r="AR78" s="25"/>
      <c r="AS78" s="25"/>
      <c r="AT78" s="25"/>
      <c r="AU78" s="25"/>
      <c r="AV78" s="25"/>
      <c r="AW78" s="19" t="s">
        <v>2669</v>
      </c>
      <c r="AX78" s="19" t="s">
        <v>2967</v>
      </c>
      <c r="BA78" s="9" t="s">
        <v>3286</v>
      </c>
      <c r="BB78" s="9" t="s">
        <v>3287</v>
      </c>
    </row>
    <row r="79" spans="1:54" x14ac:dyDescent="0.25">
      <c r="A79" s="24" t="s">
        <v>213</v>
      </c>
      <c r="B79" s="24" t="s">
        <v>214</v>
      </c>
      <c r="J79" s="19" t="s">
        <v>415</v>
      </c>
      <c r="K79" s="17" t="s">
        <v>655</v>
      </c>
      <c r="M79" s="19" t="s">
        <v>753</v>
      </c>
      <c r="N79" s="19" t="s">
        <v>635</v>
      </c>
      <c r="O79" s="25"/>
      <c r="P79" s="25"/>
      <c r="Q79" s="25"/>
      <c r="S79" s="24" t="s">
        <v>1306</v>
      </c>
      <c r="T79" s="19" t="s">
        <v>1485</v>
      </c>
      <c r="U79" s="25"/>
      <c r="V79" s="28"/>
      <c r="W79" s="25"/>
      <c r="Y79" s="31" t="s">
        <v>2224</v>
      </c>
      <c r="Z79" s="31" t="s">
        <v>2416</v>
      </c>
      <c r="AA79" s="25"/>
      <c r="AB79" s="29"/>
      <c r="AC79" s="26"/>
      <c r="AE79" s="19" t="s">
        <v>1747</v>
      </c>
      <c r="AF79" s="19" t="s">
        <v>1748</v>
      </c>
      <c r="AG79" s="25"/>
      <c r="AH79" s="25"/>
      <c r="AI79" s="26"/>
      <c r="AJ79" s="25"/>
      <c r="AK79" s="25"/>
      <c r="AL79" s="25"/>
      <c r="AM79" s="25"/>
      <c r="AN79" s="25"/>
      <c r="AO79" s="25"/>
      <c r="AP79" s="25"/>
      <c r="AQ79" s="25"/>
      <c r="AR79" s="25"/>
      <c r="AS79" s="25"/>
      <c r="AT79" s="25"/>
      <c r="AU79" s="25"/>
      <c r="AV79" s="25"/>
      <c r="AW79" s="19" t="s">
        <v>2670</v>
      </c>
      <c r="AX79" s="19" t="s">
        <v>2968</v>
      </c>
      <c r="BA79" s="9" t="s">
        <v>3288</v>
      </c>
      <c r="BB79" s="9" t="s">
        <v>3289</v>
      </c>
    </row>
    <row r="80" spans="1:54" x14ac:dyDescent="0.25">
      <c r="A80" s="24" t="s">
        <v>215</v>
      </c>
      <c r="B80" s="24" t="s">
        <v>216</v>
      </c>
      <c r="J80" s="19" t="s">
        <v>416</v>
      </c>
      <c r="K80" s="17" t="s">
        <v>656</v>
      </c>
      <c r="M80" s="19" t="s">
        <v>754</v>
      </c>
      <c r="N80" s="19" t="s">
        <v>636</v>
      </c>
      <c r="O80" s="25"/>
      <c r="P80" s="25"/>
      <c r="Q80" s="25"/>
      <c r="S80" s="24" t="s">
        <v>1307</v>
      </c>
      <c r="T80" s="19" t="s">
        <v>1486</v>
      </c>
      <c r="U80" s="25"/>
      <c r="V80" s="28"/>
      <c r="W80" s="25"/>
      <c r="Y80" s="31" t="s">
        <v>2225</v>
      </c>
      <c r="Z80" s="31" t="s">
        <v>2417</v>
      </c>
      <c r="AA80" s="25"/>
      <c r="AB80" s="29"/>
      <c r="AC80" s="26"/>
      <c r="AE80" s="19" t="s">
        <v>1749</v>
      </c>
      <c r="AF80" s="19" t="s">
        <v>1750</v>
      </c>
      <c r="AG80" s="25"/>
      <c r="AH80" s="25"/>
      <c r="AI80" s="26"/>
      <c r="AJ80" s="25"/>
      <c r="AK80" s="25"/>
      <c r="AL80" s="25"/>
      <c r="AM80" s="25"/>
      <c r="AN80" s="25"/>
      <c r="AO80" s="25"/>
      <c r="AP80" s="25"/>
      <c r="AQ80" s="25"/>
      <c r="AR80" s="25"/>
      <c r="AS80" s="25"/>
      <c r="AT80" s="25"/>
      <c r="AU80" s="25"/>
      <c r="AV80" s="25"/>
      <c r="AW80" s="19" t="s">
        <v>2671</v>
      </c>
      <c r="AX80" s="19" t="s">
        <v>2969</v>
      </c>
      <c r="BA80" s="9" t="s">
        <v>3290</v>
      </c>
      <c r="BB80" s="9" t="s">
        <v>3291</v>
      </c>
    </row>
    <row r="81" spans="1:54" x14ac:dyDescent="0.25">
      <c r="A81" s="24" t="s">
        <v>217</v>
      </c>
      <c r="B81" s="24" t="s">
        <v>218</v>
      </c>
      <c r="J81" s="19" t="s">
        <v>417</v>
      </c>
      <c r="K81" s="17" t="s">
        <v>657</v>
      </c>
      <c r="M81" s="19" t="s">
        <v>755</v>
      </c>
      <c r="N81" s="19" t="s">
        <v>637</v>
      </c>
      <c r="O81" s="25"/>
      <c r="P81" s="25"/>
      <c r="Q81" s="25"/>
      <c r="S81" s="24" t="s">
        <v>1308</v>
      </c>
      <c r="T81" s="19" t="s">
        <v>1487</v>
      </c>
      <c r="U81" s="25"/>
      <c r="V81" s="28"/>
      <c r="W81" s="25"/>
      <c r="Y81" s="31" t="s">
        <v>2226</v>
      </c>
      <c r="Z81" s="31" t="s">
        <v>2418</v>
      </c>
      <c r="AA81" s="25"/>
      <c r="AB81" s="29"/>
      <c r="AC81" s="26"/>
      <c r="AE81" s="19" t="s">
        <v>1751</v>
      </c>
      <c r="AF81" s="19" t="s">
        <v>1752</v>
      </c>
      <c r="AG81" s="25"/>
      <c r="AH81" s="25"/>
      <c r="AI81" s="26"/>
      <c r="AJ81" s="25"/>
      <c r="AK81" s="25"/>
      <c r="AL81" s="25"/>
      <c r="AM81" s="25"/>
      <c r="AN81" s="25"/>
      <c r="AO81" s="25"/>
      <c r="AP81" s="25"/>
      <c r="AQ81" s="25"/>
      <c r="AR81" s="25"/>
      <c r="AS81" s="25"/>
      <c r="AT81" s="25"/>
      <c r="AU81" s="25"/>
      <c r="AV81" s="25"/>
      <c r="AW81" s="19" t="s">
        <v>2672</v>
      </c>
      <c r="AX81" s="19" t="s">
        <v>2970</v>
      </c>
      <c r="BA81" s="9" t="s">
        <v>3292</v>
      </c>
      <c r="BB81" s="9" t="s">
        <v>3293</v>
      </c>
    </row>
    <row r="82" spans="1:54" x14ac:dyDescent="0.25">
      <c r="A82" s="24" t="s">
        <v>219</v>
      </c>
      <c r="B82" s="24" t="s">
        <v>220</v>
      </c>
      <c r="J82" s="19" t="s">
        <v>418</v>
      </c>
      <c r="K82" s="17" t="s">
        <v>658</v>
      </c>
      <c r="M82" s="19" t="s">
        <v>756</v>
      </c>
      <c r="N82" s="19" t="s">
        <v>638</v>
      </c>
      <c r="O82" s="25"/>
      <c r="P82" s="25"/>
      <c r="Q82" s="25"/>
      <c r="S82" s="24" t="s">
        <v>1309</v>
      </c>
      <c r="T82" s="19" t="s">
        <v>1488</v>
      </c>
      <c r="U82" s="25"/>
      <c r="V82" s="28"/>
      <c r="W82" s="25"/>
      <c r="Y82" s="31" t="s">
        <v>2227</v>
      </c>
      <c r="Z82" s="31" t="s">
        <v>2419</v>
      </c>
      <c r="AA82" s="25"/>
      <c r="AB82" s="29"/>
      <c r="AC82" s="26"/>
      <c r="AE82" s="19" t="s">
        <v>1753</v>
      </c>
      <c r="AF82" s="19" t="s">
        <v>1754</v>
      </c>
      <c r="AG82" s="25"/>
      <c r="AH82" s="25"/>
      <c r="AI82" s="26"/>
      <c r="AJ82" s="25"/>
      <c r="AK82" s="25"/>
      <c r="AL82" s="25"/>
      <c r="AM82" s="25"/>
      <c r="AN82" s="25"/>
      <c r="AO82" s="25"/>
      <c r="AP82" s="25"/>
      <c r="AQ82" s="25"/>
      <c r="AR82" s="25"/>
      <c r="AS82" s="25"/>
      <c r="AT82" s="25"/>
      <c r="AU82" s="25"/>
      <c r="AV82" s="25"/>
      <c r="AW82" s="19" t="s">
        <v>2673</v>
      </c>
      <c r="AX82" s="19" t="s">
        <v>2971</v>
      </c>
      <c r="BA82" s="9" t="s">
        <v>3294</v>
      </c>
      <c r="BB82" s="9" t="s">
        <v>3295</v>
      </c>
    </row>
    <row r="83" spans="1:54" x14ac:dyDescent="0.25">
      <c r="A83" s="24" t="s">
        <v>221</v>
      </c>
      <c r="B83" s="24" t="s">
        <v>222</v>
      </c>
      <c r="J83" s="19" t="s">
        <v>419</v>
      </c>
      <c r="K83" s="17" t="s">
        <v>659</v>
      </c>
      <c r="M83" s="19" t="s">
        <v>757</v>
      </c>
      <c r="N83" s="19" t="s">
        <v>639</v>
      </c>
      <c r="O83" s="25"/>
      <c r="P83" s="25"/>
      <c r="Q83" s="25"/>
      <c r="S83" s="24" t="s">
        <v>1310</v>
      </c>
      <c r="T83" s="19" t="s">
        <v>1489</v>
      </c>
      <c r="U83" s="25"/>
      <c r="V83" s="28"/>
      <c r="W83" s="25"/>
      <c r="Y83" s="31" t="s">
        <v>2228</v>
      </c>
      <c r="Z83" s="31" t="s">
        <v>2420</v>
      </c>
      <c r="AA83" s="25"/>
      <c r="AB83" s="29"/>
      <c r="AC83" s="26"/>
      <c r="AE83" s="19" t="s">
        <v>1755</v>
      </c>
      <c r="AF83" s="19" t="s">
        <v>1756</v>
      </c>
      <c r="AG83" s="25"/>
      <c r="AH83" s="25"/>
      <c r="AI83" s="26"/>
      <c r="AJ83" s="25"/>
      <c r="AK83" s="25"/>
      <c r="AL83" s="25"/>
      <c r="AM83" s="25"/>
      <c r="AN83" s="25"/>
      <c r="AO83" s="25"/>
      <c r="AP83" s="25"/>
      <c r="AQ83" s="25"/>
      <c r="AR83" s="25"/>
      <c r="AS83" s="25"/>
      <c r="AT83" s="25"/>
      <c r="AU83" s="25"/>
      <c r="AV83" s="25"/>
      <c r="AW83" s="19" t="s">
        <v>2674</v>
      </c>
      <c r="AX83" s="19" t="s">
        <v>2972</v>
      </c>
      <c r="BA83" s="9" t="s">
        <v>3296</v>
      </c>
      <c r="BB83" s="9" t="s">
        <v>3297</v>
      </c>
    </row>
    <row r="84" spans="1:54" x14ac:dyDescent="0.25">
      <c r="A84" s="24" t="s">
        <v>223</v>
      </c>
      <c r="B84" s="24" t="s">
        <v>224</v>
      </c>
      <c r="J84" s="19" t="s">
        <v>420</v>
      </c>
      <c r="K84" s="17" t="s">
        <v>660</v>
      </c>
      <c r="M84" s="19" t="s">
        <v>758</v>
      </c>
      <c r="N84" s="19" t="s">
        <v>640</v>
      </c>
      <c r="O84" s="25"/>
      <c r="P84" s="25"/>
      <c r="Q84" s="25"/>
      <c r="S84" s="24" t="s">
        <v>1311</v>
      </c>
      <c r="T84" s="19" t="s">
        <v>1490</v>
      </c>
      <c r="U84" s="25"/>
      <c r="V84" s="28"/>
      <c r="W84" s="25"/>
      <c r="Y84" s="31" t="s">
        <v>2229</v>
      </c>
      <c r="Z84" s="31" t="s">
        <v>2421</v>
      </c>
      <c r="AA84" s="25"/>
      <c r="AB84" s="29"/>
      <c r="AC84" s="26"/>
      <c r="AE84" s="19" t="s">
        <v>1757</v>
      </c>
      <c r="AF84" s="19" t="s">
        <v>1758</v>
      </c>
      <c r="AG84" s="25"/>
      <c r="AH84" s="25"/>
      <c r="AI84" s="26"/>
      <c r="AJ84" s="25"/>
      <c r="AK84" s="25"/>
      <c r="AL84" s="25"/>
      <c r="AM84" s="25"/>
      <c r="AN84" s="25"/>
      <c r="AO84" s="25"/>
      <c r="AP84" s="25"/>
      <c r="AQ84" s="25"/>
      <c r="AR84" s="25"/>
      <c r="AS84" s="25"/>
      <c r="AT84" s="25"/>
      <c r="AU84" s="25"/>
      <c r="AV84" s="25"/>
      <c r="AW84" s="19" t="s">
        <v>2675</v>
      </c>
      <c r="AX84" s="19" t="s">
        <v>2973</v>
      </c>
      <c r="BA84" s="9" t="s">
        <v>3298</v>
      </c>
      <c r="BB84" s="9" t="s">
        <v>3299</v>
      </c>
    </row>
    <row r="85" spans="1:54" x14ac:dyDescent="0.25">
      <c r="A85" s="24" t="s">
        <v>225</v>
      </c>
      <c r="B85" s="24" t="s">
        <v>226</v>
      </c>
      <c r="J85" s="19" t="s">
        <v>421</v>
      </c>
      <c r="K85" s="17" t="s">
        <v>661</v>
      </c>
      <c r="M85" s="19" t="s">
        <v>759</v>
      </c>
      <c r="N85" s="19" t="s">
        <v>641</v>
      </c>
      <c r="O85" s="25"/>
      <c r="P85" s="25"/>
      <c r="Q85" s="25"/>
      <c r="S85" s="24" t="s">
        <v>1312</v>
      </c>
      <c r="T85" s="19" t="s">
        <v>1491</v>
      </c>
      <c r="U85" s="25"/>
      <c r="V85" s="28"/>
      <c r="W85" s="25"/>
      <c r="Y85" s="31" t="s">
        <v>2230</v>
      </c>
      <c r="Z85" s="31" t="s">
        <v>2422</v>
      </c>
      <c r="AA85" s="25"/>
      <c r="AB85" s="29"/>
      <c r="AC85" s="26"/>
      <c r="AE85" s="19" t="s">
        <v>1759</v>
      </c>
      <c r="AF85" s="19" t="s">
        <v>1760</v>
      </c>
      <c r="AG85" s="25"/>
      <c r="AH85" s="25"/>
      <c r="AI85" s="26"/>
      <c r="AJ85" s="25"/>
      <c r="AK85" s="25"/>
      <c r="AL85" s="25"/>
      <c r="AM85" s="25"/>
      <c r="AN85" s="25"/>
      <c r="AO85" s="25"/>
      <c r="AP85" s="25"/>
      <c r="AQ85" s="25"/>
      <c r="AR85" s="25"/>
      <c r="AS85" s="25"/>
      <c r="AT85" s="25"/>
      <c r="AU85" s="25"/>
      <c r="AV85" s="25"/>
      <c r="AW85" s="19" t="s">
        <v>2676</v>
      </c>
      <c r="AX85" s="19" t="s">
        <v>2974</v>
      </c>
      <c r="BA85" s="9" t="s">
        <v>3300</v>
      </c>
      <c r="BB85" s="9" t="s">
        <v>3301</v>
      </c>
    </row>
    <row r="86" spans="1:54" x14ac:dyDescent="0.25">
      <c r="A86" s="24" t="s">
        <v>227</v>
      </c>
      <c r="B86" s="24" t="s">
        <v>227</v>
      </c>
      <c r="J86" s="19" t="s">
        <v>422</v>
      </c>
      <c r="K86" s="17" t="s">
        <v>662</v>
      </c>
      <c r="M86" s="19" t="s">
        <v>760</v>
      </c>
      <c r="N86" s="19" t="s">
        <v>642</v>
      </c>
      <c r="O86" s="25"/>
      <c r="P86" s="25"/>
      <c r="Q86" s="25"/>
      <c r="S86" s="24" t="s">
        <v>1313</v>
      </c>
      <c r="T86" s="19" t="s">
        <v>1492</v>
      </c>
      <c r="U86" s="25"/>
      <c r="V86" s="28"/>
      <c r="W86" s="25"/>
      <c r="Y86" s="31" t="s">
        <v>2231</v>
      </c>
      <c r="Z86" s="31" t="s">
        <v>2423</v>
      </c>
      <c r="AA86" s="25"/>
      <c r="AB86" s="29"/>
      <c r="AC86" s="26"/>
      <c r="AE86" s="19" t="s">
        <v>1761</v>
      </c>
      <c r="AF86" s="19" t="s">
        <v>1762</v>
      </c>
      <c r="AG86" s="25"/>
      <c r="AH86" s="25"/>
      <c r="AI86" s="26"/>
      <c r="AJ86" s="25"/>
      <c r="AK86" s="25"/>
      <c r="AL86" s="25"/>
      <c r="AM86" s="25"/>
      <c r="AN86" s="25"/>
      <c r="AO86" s="25"/>
      <c r="AP86" s="25"/>
      <c r="AQ86" s="25"/>
      <c r="AR86" s="25"/>
      <c r="AS86" s="25"/>
      <c r="AT86" s="25"/>
      <c r="AU86" s="25"/>
      <c r="AV86" s="25"/>
      <c r="AW86" s="19" t="s">
        <v>2677</v>
      </c>
      <c r="AX86" s="19" t="s">
        <v>2975</v>
      </c>
      <c r="BA86" s="9" t="s">
        <v>3302</v>
      </c>
      <c r="BB86" s="9" t="s">
        <v>3303</v>
      </c>
    </row>
    <row r="87" spans="1:54" x14ac:dyDescent="0.25">
      <c r="A87" s="24" t="s">
        <v>228</v>
      </c>
      <c r="B87" s="24" t="s">
        <v>229</v>
      </c>
      <c r="J87" s="19" t="s">
        <v>423</v>
      </c>
      <c r="K87" s="17" t="s">
        <v>663</v>
      </c>
      <c r="M87" s="19" t="s">
        <v>761</v>
      </c>
      <c r="N87" s="19" t="s">
        <v>643</v>
      </c>
      <c r="O87" s="25"/>
      <c r="P87" s="25"/>
      <c r="Q87" s="25"/>
      <c r="S87" s="24" t="s">
        <v>1314</v>
      </c>
      <c r="T87" s="19" t="s">
        <v>1493</v>
      </c>
      <c r="U87" s="25"/>
      <c r="V87" s="28"/>
      <c r="W87" s="25"/>
      <c r="Y87" s="31" t="s">
        <v>2232</v>
      </c>
      <c r="Z87" s="31" t="s">
        <v>2424</v>
      </c>
      <c r="AA87" s="25"/>
      <c r="AB87" s="29"/>
      <c r="AC87" s="26"/>
      <c r="AE87" s="19" t="s">
        <v>1763</v>
      </c>
      <c r="AF87" s="19" t="s">
        <v>1764</v>
      </c>
      <c r="AG87" s="25"/>
      <c r="AH87" s="25"/>
      <c r="AI87" s="26"/>
      <c r="AJ87" s="25"/>
      <c r="AK87" s="25"/>
      <c r="AL87" s="25"/>
      <c r="AM87" s="25"/>
      <c r="AN87" s="25"/>
      <c r="AO87" s="25"/>
      <c r="AP87" s="25"/>
      <c r="AQ87" s="25"/>
      <c r="AR87" s="25"/>
      <c r="AS87" s="25"/>
      <c r="AT87" s="25"/>
      <c r="AU87" s="25"/>
      <c r="AV87" s="25"/>
      <c r="AW87" s="19" t="s">
        <v>2678</v>
      </c>
      <c r="AX87" s="19" t="s">
        <v>2976</v>
      </c>
      <c r="BA87" s="9" t="s">
        <v>3304</v>
      </c>
      <c r="BB87" s="9" t="s">
        <v>3305</v>
      </c>
    </row>
    <row r="88" spans="1:54" x14ac:dyDescent="0.25">
      <c r="A88" s="24" t="s">
        <v>230</v>
      </c>
      <c r="B88" s="24" t="s">
        <v>230</v>
      </c>
      <c r="J88" s="19" t="s">
        <v>424</v>
      </c>
      <c r="K88" s="17" t="s">
        <v>664</v>
      </c>
      <c r="M88" s="19" t="s">
        <v>762</v>
      </c>
      <c r="N88" s="19" t="s">
        <v>1000</v>
      </c>
      <c r="O88" s="25"/>
      <c r="P88" s="25"/>
      <c r="Q88" s="25"/>
      <c r="S88" s="24" t="s">
        <v>1315</v>
      </c>
      <c r="T88" s="19" t="s">
        <v>1494</v>
      </c>
      <c r="U88" s="25"/>
      <c r="V88" s="28"/>
      <c r="W88" s="25"/>
      <c r="Y88" s="31" t="s">
        <v>2233</v>
      </c>
      <c r="Z88" s="31" t="s">
        <v>2425</v>
      </c>
      <c r="AA88" s="25"/>
      <c r="AB88" s="29"/>
      <c r="AC88" s="26"/>
      <c r="AE88" s="19" t="s">
        <v>1765</v>
      </c>
      <c r="AF88" s="19" t="s">
        <v>1766</v>
      </c>
      <c r="AG88" s="25"/>
      <c r="AH88" s="25"/>
      <c r="AI88" s="26"/>
      <c r="AJ88" s="25"/>
      <c r="AK88" s="25"/>
      <c r="AL88" s="25"/>
      <c r="AM88" s="25"/>
      <c r="AN88" s="25"/>
      <c r="AO88" s="25"/>
      <c r="AP88" s="25"/>
      <c r="AQ88" s="25"/>
      <c r="AR88" s="25"/>
      <c r="AS88" s="25"/>
      <c r="AT88" s="25"/>
      <c r="AU88" s="25"/>
      <c r="AV88" s="25"/>
      <c r="AW88" s="19" t="s">
        <v>2679</v>
      </c>
      <c r="AX88" s="19" t="s">
        <v>2977</v>
      </c>
      <c r="BA88" s="9" t="s">
        <v>3306</v>
      </c>
      <c r="BB88" s="9" t="s">
        <v>3307</v>
      </c>
    </row>
    <row r="89" spans="1:54" x14ac:dyDescent="0.25">
      <c r="A89" s="24" t="s">
        <v>231</v>
      </c>
      <c r="B89" s="24" t="s">
        <v>232</v>
      </c>
      <c r="J89" s="19" t="s">
        <v>425</v>
      </c>
      <c r="K89" s="17" t="s">
        <v>665</v>
      </c>
      <c r="M89" s="19" t="s">
        <v>763</v>
      </c>
      <c r="N89" s="19" t="s">
        <v>644</v>
      </c>
      <c r="O89" s="25"/>
      <c r="P89" s="25"/>
      <c r="Q89" s="25"/>
      <c r="S89" s="24" t="s">
        <v>1316</v>
      </c>
      <c r="T89" s="19" t="s">
        <v>1495</v>
      </c>
      <c r="U89" s="25"/>
      <c r="V89" s="28"/>
      <c r="W89" s="25"/>
      <c r="Y89" s="31" t="s">
        <v>2234</v>
      </c>
      <c r="Z89" s="31" t="s">
        <v>2426</v>
      </c>
      <c r="AA89" s="25"/>
      <c r="AB89" s="29"/>
      <c r="AC89" s="26"/>
      <c r="AE89" s="19" t="s">
        <v>1767</v>
      </c>
      <c r="AF89" s="19" t="s">
        <v>1768</v>
      </c>
      <c r="AG89" s="25"/>
      <c r="AH89" s="25"/>
      <c r="AI89" s="26"/>
      <c r="AJ89" s="25"/>
      <c r="AK89" s="25"/>
      <c r="AL89" s="25"/>
      <c r="AM89" s="25"/>
      <c r="AN89" s="25"/>
      <c r="AO89" s="25"/>
      <c r="AP89" s="25"/>
      <c r="AQ89" s="25"/>
      <c r="AR89" s="25"/>
      <c r="AS89" s="25"/>
      <c r="AT89" s="25"/>
      <c r="AU89" s="25"/>
      <c r="AV89" s="25"/>
      <c r="AW89" s="19" t="s">
        <v>2680</v>
      </c>
      <c r="AX89" s="19" t="s">
        <v>2978</v>
      </c>
      <c r="BA89" s="9" t="s">
        <v>3308</v>
      </c>
      <c r="BB89" s="9" t="s">
        <v>3309</v>
      </c>
    </row>
    <row r="90" spans="1:54" ht="30" x14ac:dyDescent="0.25">
      <c r="A90" s="24" t="s">
        <v>233</v>
      </c>
      <c r="B90" s="24" t="s">
        <v>233</v>
      </c>
      <c r="J90" s="19" t="s">
        <v>426</v>
      </c>
      <c r="K90" s="17" t="s">
        <v>666</v>
      </c>
      <c r="M90" s="19" t="s">
        <v>764</v>
      </c>
      <c r="N90" s="19" t="s">
        <v>645</v>
      </c>
      <c r="O90" s="25"/>
      <c r="P90" s="25"/>
      <c r="Q90" s="25"/>
      <c r="S90" s="24" t="s">
        <v>1317</v>
      </c>
      <c r="T90" s="19" t="s">
        <v>1496</v>
      </c>
      <c r="U90" s="25"/>
      <c r="V90" s="28"/>
      <c r="W90" s="25"/>
      <c r="Y90" s="31" t="s">
        <v>2235</v>
      </c>
      <c r="Z90" s="31" t="s">
        <v>2427</v>
      </c>
      <c r="AA90" s="25"/>
      <c r="AB90" s="29"/>
      <c r="AC90" s="26"/>
      <c r="AE90" s="19" t="s">
        <v>1769</v>
      </c>
      <c r="AF90" s="19" t="s">
        <v>1770</v>
      </c>
      <c r="AG90" s="25"/>
      <c r="AH90" s="25"/>
      <c r="AI90" s="26"/>
      <c r="AJ90" s="25"/>
      <c r="AK90" s="25"/>
      <c r="AL90" s="25"/>
      <c r="AM90" s="25"/>
      <c r="AN90" s="25"/>
      <c r="AO90" s="25"/>
      <c r="AP90" s="25"/>
      <c r="AQ90" s="25"/>
      <c r="AR90" s="25"/>
      <c r="AS90" s="25"/>
      <c r="AT90" s="25"/>
      <c r="AU90" s="25"/>
      <c r="AV90" s="25"/>
      <c r="AW90" s="19" t="s">
        <v>2681</v>
      </c>
      <c r="AX90" s="19" t="s">
        <v>2979</v>
      </c>
      <c r="BA90" s="9" t="s">
        <v>3310</v>
      </c>
      <c r="BB90" s="9" t="s">
        <v>3311</v>
      </c>
    </row>
    <row r="91" spans="1:54" ht="30" x14ac:dyDescent="0.25">
      <c r="A91" s="24" t="s">
        <v>234</v>
      </c>
      <c r="B91" s="24" t="s">
        <v>234</v>
      </c>
      <c r="J91" s="19" t="s">
        <v>427</v>
      </c>
      <c r="K91" s="17" t="s">
        <v>667</v>
      </c>
      <c r="M91" s="19" t="s">
        <v>765</v>
      </c>
      <c r="N91" s="19" t="s">
        <v>646</v>
      </c>
      <c r="O91" s="25"/>
      <c r="P91" s="25"/>
      <c r="Q91" s="25"/>
      <c r="S91" s="24" t="s">
        <v>1318</v>
      </c>
      <c r="T91" s="19" t="s">
        <v>1497</v>
      </c>
      <c r="U91" s="25"/>
      <c r="V91" s="28"/>
      <c r="W91" s="25"/>
      <c r="Y91" s="31" t="s">
        <v>2236</v>
      </c>
      <c r="Z91" s="31" t="s">
        <v>2428</v>
      </c>
      <c r="AA91" s="25"/>
      <c r="AB91" s="29"/>
      <c r="AC91" s="26"/>
      <c r="AE91" s="19" t="s">
        <v>1771</v>
      </c>
      <c r="AF91" s="19" t="s">
        <v>1772</v>
      </c>
      <c r="AG91" s="25"/>
      <c r="AH91" s="25"/>
      <c r="AI91" s="26"/>
      <c r="AJ91" s="25"/>
      <c r="AK91" s="25"/>
      <c r="AL91" s="25"/>
      <c r="AM91" s="25"/>
      <c r="AN91" s="25"/>
      <c r="AO91" s="25"/>
      <c r="AP91" s="25"/>
      <c r="AQ91" s="25"/>
      <c r="AR91" s="25"/>
      <c r="AS91" s="25"/>
      <c r="AT91" s="25"/>
      <c r="AU91" s="25"/>
      <c r="AV91" s="25"/>
      <c r="AW91" s="19" t="s">
        <v>2682</v>
      </c>
      <c r="AX91" s="19" t="s">
        <v>2980</v>
      </c>
      <c r="BA91" s="9" t="s">
        <v>3312</v>
      </c>
      <c r="BB91" s="9" t="s">
        <v>3313</v>
      </c>
    </row>
    <row r="92" spans="1:54" x14ac:dyDescent="0.25">
      <c r="A92" s="24" t="s">
        <v>235</v>
      </c>
      <c r="B92" s="24" t="s">
        <v>236</v>
      </c>
      <c r="J92" s="19" t="s">
        <v>428</v>
      </c>
      <c r="K92" s="17" t="s">
        <v>668</v>
      </c>
      <c r="M92" s="19" t="s">
        <v>766</v>
      </c>
      <c r="N92" s="19" t="s">
        <v>1001</v>
      </c>
      <c r="O92" s="25"/>
      <c r="P92" s="25"/>
      <c r="Q92" s="25"/>
      <c r="S92" s="24" t="s">
        <v>1319</v>
      </c>
      <c r="T92" s="19" t="s">
        <v>1498</v>
      </c>
      <c r="U92" s="25"/>
      <c r="V92" s="28"/>
      <c r="W92" s="25"/>
      <c r="Y92" s="31" t="s">
        <v>2237</v>
      </c>
      <c r="Z92" s="31" t="s">
        <v>2429</v>
      </c>
      <c r="AA92" s="25"/>
      <c r="AB92" s="29"/>
      <c r="AC92" s="26"/>
      <c r="AE92" s="19" t="s">
        <v>1773</v>
      </c>
      <c r="AF92" s="19" t="s">
        <v>1774</v>
      </c>
      <c r="AG92" s="25"/>
      <c r="AH92" s="25"/>
      <c r="AI92" s="26"/>
      <c r="AJ92" s="25"/>
      <c r="AK92" s="25"/>
      <c r="AL92" s="25"/>
      <c r="AM92" s="25"/>
      <c r="AN92" s="25"/>
      <c r="AO92" s="25"/>
      <c r="AP92" s="25"/>
      <c r="AQ92" s="25"/>
      <c r="AR92" s="25"/>
      <c r="AS92" s="25"/>
      <c r="AT92" s="25"/>
      <c r="AU92" s="25"/>
      <c r="AV92" s="25"/>
      <c r="AW92" s="19" t="s">
        <v>2683</v>
      </c>
      <c r="AX92" s="19" t="s">
        <v>2981</v>
      </c>
      <c r="BA92" s="9" t="s">
        <v>3314</v>
      </c>
      <c r="BB92" s="9" t="s">
        <v>3315</v>
      </c>
    </row>
    <row r="93" spans="1:54" x14ac:dyDescent="0.25">
      <c r="A93" s="24" t="s">
        <v>237</v>
      </c>
      <c r="B93" s="24" t="s">
        <v>237</v>
      </c>
      <c r="J93" s="19" t="s">
        <v>429</v>
      </c>
      <c r="K93" s="17" t="s">
        <v>669</v>
      </c>
      <c r="M93" s="19" t="s">
        <v>767</v>
      </c>
      <c r="N93" s="19" t="s">
        <v>1002</v>
      </c>
      <c r="O93" s="25"/>
      <c r="P93" s="25"/>
      <c r="Q93" s="25"/>
      <c r="S93" s="24" t="s">
        <v>1320</v>
      </c>
      <c r="T93" s="19" t="s">
        <v>1499</v>
      </c>
      <c r="U93" s="25"/>
      <c r="V93" s="28"/>
      <c r="W93" s="25"/>
      <c r="Y93" s="31" t="s">
        <v>2238</v>
      </c>
      <c r="Z93" s="31" t="s">
        <v>2430</v>
      </c>
      <c r="AA93" s="25"/>
      <c r="AB93" s="29"/>
      <c r="AC93" s="26"/>
      <c r="AE93" s="19" t="s">
        <v>1775</v>
      </c>
      <c r="AF93" s="19" t="s">
        <v>1776</v>
      </c>
      <c r="AG93" s="25"/>
      <c r="AH93" s="25"/>
      <c r="AI93" s="26"/>
      <c r="AJ93" s="25"/>
      <c r="AK93" s="25"/>
      <c r="AL93" s="25"/>
      <c r="AM93" s="25"/>
      <c r="AN93" s="25"/>
      <c r="AO93" s="25"/>
      <c r="AP93" s="25"/>
      <c r="AQ93" s="25"/>
      <c r="AR93" s="25"/>
      <c r="AS93" s="25"/>
      <c r="AT93" s="25"/>
      <c r="AU93" s="25"/>
      <c r="AV93" s="25"/>
      <c r="AW93" s="19" t="s">
        <v>2684</v>
      </c>
      <c r="AX93" s="19" t="s">
        <v>2982</v>
      </c>
      <c r="BA93" s="9" t="s">
        <v>3316</v>
      </c>
      <c r="BB93" s="9" t="s">
        <v>3317</v>
      </c>
    </row>
    <row r="94" spans="1:54" x14ac:dyDescent="0.25">
      <c r="A94" s="24" t="s">
        <v>238</v>
      </c>
      <c r="B94" s="24" t="s">
        <v>239</v>
      </c>
      <c r="J94" s="19" t="s">
        <v>430</v>
      </c>
      <c r="K94" s="17" t="s">
        <v>670</v>
      </c>
      <c r="M94" s="19" t="s">
        <v>768</v>
      </c>
      <c r="N94" s="19" t="s">
        <v>1003</v>
      </c>
      <c r="O94" s="25"/>
      <c r="P94" s="25"/>
      <c r="Q94" s="25"/>
      <c r="S94" s="24" t="s">
        <v>1321</v>
      </c>
      <c r="T94" s="19" t="s">
        <v>1500</v>
      </c>
      <c r="U94" s="25"/>
      <c r="V94" s="28"/>
      <c r="W94" s="25"/>
      <c r="Y94" s="31" t="s">
        <v>2239</v>
      </c>
      <c r="Z94" s="31" t="s">
        <v>2431</v>
      </c>
      <c r="AA94" s="25"/>
      <c r="AB94" s="29"/>
      <c r="AC94" s="26"/>
      <c r="AE94" s="19" t="s">
        <v>1777</v>
      </c>
      <c r="AF94" s="19" t="s">
        <v>1778</v>
      </c>
      <c r="AG94" s="25"/>
      <c r="AH94" s="25"/>
      <c r="AI94" s="26"/>
      <c r="AJ94" s="25"/>
      <c r="AK94" s="25"/>
      <c r="AL94" s="25"/>
      <c r="AM94" s="25"/>
      <c r="AN94" s="25"/>
      <c r="AO94" s="25"/>
      <c r="AP94" s="25"/>
      <c r="AQ94" s="25"/>
      <c r="AR94" s="25"/>
      <c r="AS94" s="25"/>
      <c r="AT94" s="25"/>
      <c r="AU94" s="25"/>
      <c r="AV94" s="25"/>
      <c r="AW94" s="19" t="s">
        <v>2685</v>
      </c>
      <c r="AX94" s="19" t="s">
        <v>2983</v>
      </c>
      <c r="BA94" s="9" t="s">
        <v>3318</v>
      </c>
      <c r="BB94" s="9" t="s">
        <v>3319</v>
      </c>
    </row>
    <row r="95" spans="1:54" x14ac:dyDescent="0.25">
      <c r="A95" s="24" t="s">
        <v>240</v>
      </c>
      <c r="B95" s="24" t="s">
        <v>241</v>
      </c>
      <c r="J95" s="19" t="s">
        <v>431</v>
      </c>
      <c r="K95" s="17" t="s">
        <v>671</v>
      </c>
      <c r="M95" s="19" t="s">
        <v>769</v>
      </c>
      <c r="N95" s="19" t="s">
        <v>1004</v>
      </c>
      <c r="O95" s="25"/>
      <c r="P95" s="25"/>
      <c r="Q95" s="25"/>
      <c r="S95" s="24" t="s">
        <v>1322</v>
      </c>
      <c r="T95" s="19" t="s">
        <v>1501</v>
      </c>
      <c r="U95" s="25"/>
      <c r="V95" s="28"/>
      <c r="W95" s="25"/>
      <c r="Y95" s="31" t="s">
        <v>2240</v>
      </c>
      <c r="Z95" s="31" t="s">
        <v>2432</v>
      </c>
      <c r="AA95" s="25"/>
      <c r="AB95" s="29"/>
      <c r="AC95" s="26"/>
      <c r="AE95" s="19" t="s">
        <v>1779</v>
      </c>
      <c r="AF95" s="19" t="s">
        <v>1780</v>
      </c>
      <c r="AG95" s="25"/>
      <c r="AH95" s="25"/>
      <c r="AI95" s="26"/>
      <c r="AJ95" s="25"/>
      <c r="AK95" s="25"/>
      <c r="AL95" s="25"/>
      <c r="AM95" s="25"/>
      <c r="AN95" s="25"/>
      <c r="AO95" s="25"/>
      <c r="AP95" s="25"/>
      <c r="AQ95" s="25"/>
      <c r="AR95" s="25"/>
      <c r="AS95" s="25"/>
      <c r="AT95" s="25"/>
      <c r="AU95" s="25"/>
      <c r="AV95" s="25"/>
      <c r="AW95" s="19" t="s">
        <v>2686</v>
      </c>
      <c r="AX95" s="19" t="s">
        <v>2984</v>
      </c>
      <c r="BA95" s="9" t="s">
        <v>3320</v>
      </c>
      <c r="BB95" s="9" t="s">
        <v>3321</v>
      </c>
    </row>
    <row r="96" spans="1:54" x14ac:dyDescent="0.25">
      <c r="A96" s="24" t="s">
        <v>3646</v>
      </c>
      <c r="B96" s="24" t="s">
        <v>3647</v>
      </c>
      <c r="J96" s="19" t="s">
        <v>433</v>
      </c>
      <c r="K96" s="17" t="s">
        <v>432</v>
      </c>
      <c r="M96" s="19" t="s">
        <v>770</v>
      </c>
      <c r="N96" s="19" t="s">
        <v>1005</v>
      </c>
      <c r="O96" s="25"/>
      <c r="P96" s="25"/>
      <c r="Q96" s="25"/>
      <c r="S96" s="24" t="s">
        <v>1323</v>
      </c>
      <c r="T96" s="19" t="s">
        <v>1502</v>
      </c>
      <c r="U96" s="25"/>
      <c r="V96" s="28"/>
      <c r="W96" s="25"/>
      <c r="Y96" s="31" t="s">
        <v>2241</v>
      </c>
      <c r="Z96" s="31" t="s">
        <v>2433</v>
      </c>
      <c r="AA96" s="25"/>
      <c r="AB96" s="29"/>
      <c r="AC96" s="26"/>
      <c r="AE96" s="19" t="s">
        <v>1781</v>
      </c>
      <c r="AF96" s="19" t="s">
        <v>1782</v>
      </c>
      <c r="AG96" s="25"/>
      <c r="AH96" s="25"/>
      <c r="AI96" s="26"/>
      <c r="AJ96" s="25"/>
      <c r="AK96" s="25"/>
      <c r="AL96" s="25"/>
      <c r="AM96" s="25"/>
      <c r="AN96" s="25"/>
      <c r="AO96" s="25"/>
      <c r="AP96" s="25"/>
      <c r="AQ96" s="25"/>
      <c r="AR96" s="25"/>
      <c r="AS96" s="25"/>
      <c r="AT96" s="25"/>
      <c r="AU96" s="25"/>
      <c r="AV96" s="25"/>
      <c r="AW96" s="19" t="s">
        <v>2687</v>
      </c>
      <c r="AX96" s="19" t="s">
        <v>2985</v>
      </c>
      <c r="BA96" s="9" t="s">
        <v>3322</v>
      </c>
      <c r="BB96" s="9" t="s">
        <v>3323</v>
      </c>
    </row>
    <row r="97" spans="1:106" x14ac:dyDescent="0.25">
      <c r="A97" s="24" t="s">
        <v>3648</v>
      </c>
      <c r="B97" s="24" t="s">
        <v>3649</v>
      </c>
      <c r="J97" s="19" t="s">
        <v>340</v>
      </c>
      <c r="K97" s="17" t="s">
        <v>434</v>
      </c>
      <c r="M97" s="19" t="s">
        <v>771</v>
      </c>
      <c r="N97" s="19" t="s">
        <v>1006</v>
      </c>
      <c r="O97" s="25"/>
      <c r="P97" s="25"/>
      <c r="Q97" s="25"/>
      <c r="S97" s="24" t="s">
        <v>1324</v>
      </c>
      <c r="T97" s="19" t="s">
        <v>1503</v>
      </c>
      <c r="U97" s="25"/>
      <c r="V97" s="28"/>
      <c r="W97" s="25"/>
      <c r="Y97" s="31" t="s">
        <v>2242</v>
      </c>
      <c r="Z97" s="31" t="s">
        <v>2434</v>
      </c>
      <c r="AA97" s="25"/>
      <c r="AB97" s="29"/>
      <c r="AC97" s="26"/>
      <c r="AE97" s="19" t="s">
        <v>1783</v>
      </c>
      <c r="AF97" s="19" t="s">
        <v>1784</v>
      </c>
      <c r="AG97" s="25"/>
      <c r="AH97" s="25"/>
      <c r="AI97" s="26"/>
      <c r="AJ97" s="25"/>
      <c r="AK97" s="25"/>
      <c r="AL97" s="25"/>
      <c r="AM97" s="25"/>
      <c r="AN97" s="25"/>
      <c r="AO97" s="25"/>
      <c r="AP97" s="25"/>
      <c r="AQ97" s="25"/>
      <c r="AR97" s="25"/>
      <c r="AS97" s="25"/>
      <c r="AT97" s="25"/>
      <c r="AU97" s="25"/>
      <c r="AV97" s="25"/>
      <c r="AW97" s="19" t="s">
        <v>2688</v>
      </c>
      <c r="AX97" s="19" t="s">
        <v>2986</v>
      </c>
      <c r="BA97" s="9" t="s">
        <v>3324</v>
      </c>
      <c r="BB97" s="9" t="s">
        <v>3325</v>
      </c>
    </row>
    <row r="98" spans="1:106" x14ac:dyDescent="0.25">
      <c r="A98" s="24" t="s">
        <v>3650</v>
      </c>
      <c r="B98" s="24" t="s">
        <v>3651</v>
      </c>
      <c r="J98" s="19" t="s">
        <v>341</v>
      </c>
      <c r="K98" s="17" t="s">
        <v>435</v>
      </c>
      <c r="M98" s="19" t="s">
        <v>772</v>
      </c>
      <c r="N98" s="19" t="s">
        <v>1007</v>
      </c>
      <c r="O98" s="25"/>
      <c r="P98" s="25"/>
      <c r="Q98" s="25"/>
      <c r="S98" s="24" t="s">
        <v>1325</v>
      </c>
      <c r="T98" s="19" t="s">
        <v>1504</v>
      </c>
      <c r="U98" s="25"/>
      <c r="V98" s="28"/>
      <c r="W98" s="25"/>
      <c r="Y98" s="31" t="s">
        <v>2243</v>
      </c>
      <c r="Z98" s="31" t="s">
        <v>2435</v>
      </c>
      <c r="AA98" s="25"/>
      <c r="AB98" s="29"/>
      <c r="AC98" s="26"/>
      <c r="AE98" s="19" t="s">
        <v>1785</v>
      </c>
      <c r="AF98" s="19" t="s">
        <v>1786</v>
      </c>
      <c r="AG98" s="25"/>
      <c r="AH98" s="25"/>
      <c r="AI98" s="26"/>
      <c r="AJ98" s="25"/>
      <c r="AK98" s="25"/>
      <c r="AL98" s="25"/>
      <c r="AM98" s="25"/>
      <c r="AN98" s="25"/>
      <c r="AO98" s="25"/>
      <c r="AP98" s="25"/>
      <c r="AQ98" s="25"/>
      <c r="AR98" s="25"/>
      <c r="AS98" s="25"/>
      <c r="AT98" s="25"/>
      <c r="AU98" s="25"/>
      <c r="AV98" s="25"/>
      <c r="AW98" s="19" t="s">
        <v>2689</v>
      </c>
      <c r="AX98" s="19" t="s">
        <v>2987</v>
      </c>
      <c r="BA98" s="9" t="s">
        <v>3326</v>
      </c>
      <c r="BB98" s="9" t="s">
        <v>3327</v>
      </c>
    </row>
    <row r="99" spans="1:106" x14ac:dyDescent="0.25">
      <c r="A99" s="24" t="s">
        <v>3652</v>
      </c>
      <c r="B99" s="24" t="s">
        <v>3653</v>
      </c>
      <c r="J99" s="19" t="s">
        <v>437</v>
      </c>
      <c r="K99" s="17" t="s">
        <v>436</v>
      </c>
      <c r="M99" s="19" t="s">
        <v>773</v>
      </c>
      <c r="N99" s="19" t="s">
        <v>1008</v>
      </c>
      <c r="O99" s="25"/>
      <c r="P99" s="25"/>
      <c r="Q99" s="25"/>
      <c r="S99" s="24" t="s">
        <v>1326</v>
      </c>
      <c r="T99" s="19" t="s">
        <v>1505</v>
      </c>
      <c r="U99" s="25"/>
      <c r="V99" s="28"/>
      <c r="W99" s="25"/>
      <c r="Y99" s="31" t="s">
        <v>2244</v>
      </c>
      <c r="Z99" s="31" t="s">
        <v>2436</v>
      </c>
      <c r="AA99" s="25"/>
      <c r="AB99" s="29"/>
      <c r="AC99" s="26"/>
      <c r="AE99" s="19" t="s">
        <v>1787</v>
      </c>
      <c r="AF99" s="19" t="s">
        <v>1788</v>
      </c>
      <c r="AG99" s="25"/>
      <c r="AH99" s="25"/>
      <c r="AI99" s="26"/>
      <c r="AJ99" s="25"/>
      <c r="AK99" s="25"/>
      <c r="AL99" s="25"/>
      <c r="AM99" s="25"/>
      <c r="AN99" s="25"/>
      <c r="AO99" s="25"/>
      <c r="AP99" s="25"/>
      <c r="AQ99" s="25"/>
      <c r="AR99" s="25"/>
      <c r="AS99" s="25"/>
      <c r="AT99" s="25"/>
      <c r="AU99" s="25"/>
      <c r="AV99" s="25"/>
      <c r="AW99" s="19" t="s">
        <v>2690</v>
      </c>
      <c r="AX99" s="19" t="s">
        <v>2988</v>
      </c>
      <c r="BA99" s="9" t="s">
        <v>3328</v>
      </c>
      <c r="BB99" s="9" t="s">
        <v>3329</v>
      </c>
    </row>
    <row r="100" spans="1:106" x14ac:dyDescent="0.25">
      <c r="A100" s="24" t="s">
        <v>3654</v>
      </c>
      <c r="B100" s="24" t="s">
        <v>3655</v>
      </c>
      <c r="J100" s="19" t="s">
        <v>439</v>
      </c>
      <c r="K100" s="17" t="s">
        <v>438</v>
      </c>
      <c r="M100" s="19" t="s">
        <v>774</v>
      </c>
      <c r="N100" s="19" t="s">
        <v>1009</v>
      </c>
      <c r="O100" s="25"/>
      <c r="P100" s="25"/>
      <c r="Q100" s="25"/>
      <c r="S100" s="24" t="s">
        <v>1327</v>
      </c>
      <c r="T100" s="19" t="s">
        <v>1506</v>
      </c>
      <c r="U100" s="25"/>
      <c r="V100" s="28"/>
      <c r="W100" s="25"/>
      <c r="Y100" s="31" t="s">
        <v>2245</v>
      </c>
      <c r="Z100" s="31" t="s">
        <v>2437</v>
      </c>
      <c r="AA100" s="25"/>
      <c r="AB100" s="29"/>
      <c r="AC100" s="26"/>
      <c r="AE100" s="19" t="s">
        <v>1789</v>
      </c>
      <c r="AF100" s="19" t="s">
        <v>1790</v>
      </c>
      <c r="AG100" s="25"/>
      <c r="AH100" s="25"/>
      <c r="AI100" s="26"/>
      <c r="AJ100" s="25"/>
      <c r="AK100" s="25"/>
      <c r="AL100" s="25"/>
      <c r="AM100" s="25"/>
      <c r="AN100" s="25"/>
      <c r="AO100" s="25"/>
      <c r="AP100" s="25"/>
      <c r="AQ100" s="25"/>
      <c r="AR100" s="25"/>
      <c r="AS100" s="25"/>
      <c r="AT100" s="25"/>
      <c r="AU100" s="25"/>
      <c r="AV100" s="25"/>
      <c r="AW100" s="19" t="s">
        <v>2691</v>
      </c>
      <c r="AX100" s="19" t="s">
        <v>2989</v>
      </c>
      <c r="BA100" s="9" t="s">
        <v>3330</v>
      </c>
      <c r="BB100" s="9" t="s">
        <v>3331</v>
      </c>
    </row>
    <row r="101" spans="1:106" x14ac:dyDescent="0.25">
      <c r="A101" s="24" t="s">
        <v>3810</v>
      </c>
      <c r="B101" s="24" t="s">
        <v>3810</v>
      </c>
      <c r="J101" s="19" t="s">
        <v>441</v>
      </c>
      <c r="K101" s="17" t="s">
        <v>440</v>
      </c>
      <c r="M101" s="19" t="s">
        <v>775</v>
      </c>
      <c r="N101" s="19" t="s">
        <v>1010</v>
      </c>
      <c r="O101" s="25"/>
      <c r="P101" s="25"/>
      <c r="Q101" s="25"/>
      <c r="S101" s="24" t="s">
        <v>1328</v>
      </c>
      <c r="T101" s="19" t="s">
        <v>1507</v>
      </c>
      <c r="U101" s="25"/>
      <c r="V101" s="28"/>
      <c r="W101" s="25"/>
      <c r="Y101" s="31" t="s">
        <v>2246</v>
      </c>
      <c r="Z101" s="31" t="s">
        <v>2438</v>
      </c>
      <c r="AA101" s="25"/>
      <c r="AB101" s="29"/>
      <c r="AC101" s="26"/>
      <c r="AE101" s="19" t="s">
        <v>1791</v>
      </c>
      <c r="AF101" s="19" t="s">
        <v>1792</v>
      </c>
      <c r="AG101" s="25"/>
      <c r="AH101" s="25"/>
      <c r="AI101" s="26"/>
      <c r="AJ101" s="25"/>
      <c r="AK101" s="25"/>
      <c r="AL101" s="25"/>
      <c r="AM101" s="25"/>
      <c r="AN101" s="25"/>
      <c r="AO101" s="25"/>
      <c r="AP101" s="25"/>
      <c r="AQ101" s="25"/>
      <c r="AR101" s="25"/>
      <c r="AS101" s="25"/>
      <c r="AT101" s="25"/>
      <c r="AU101" s="25"/>
      <c r="AV101" s="25"/>
      <c r="AW101" s="19" t="s">
        <v>2692</v>
      </c>
      <c r="AX101" s="19" t="s">
        <v>2990</v>
      </c>
      <c r="BA101" s="9" t="s">
        <v>3332</v>
      </c>
      <c r="BB101" s="9" t="s">
        <v>3333</v>
      </c>
    </row>
    <row r="102" spans="1:106" x14ac:dyDescent="0.25">
      <c r="A102" s="24" t="s">
        <v>3811</v>
      </c>
      <c r="B102" s="24" t="s">
        <v>3811</v>
      </c>
      <c r="J102" s="19" t="s">
        <v>443</v>
      </c>
      <c r="K102" s="17" t="s">
        <v>442</v>
      </c>
      <c r="M102" s="19" t="s">
        <v>776</v>
      </c>
      <c r="N102" s="19" t="s">
        <v>1011</v>
      </c>
      <c r="O102" s="25"/>
      <c r="P102" s="25"/>
      <c r="Q102" s="25"/>
      <c r="S102" s="24" t="s">
        <v>2871</v>
      </c>
      <c r="T102" s="19" t="s">
        <v>2872</v>
      </c>
      <c r="U102" s="25"/>
      <c r="V102" s="28"/>
      <c r="W102" s="25"/>
      <c r="Y102" s="31" t="s">
        <v>2247</v>
      </c>
      <c r="Z102" s="31" t="s">
        <v>2439</v>
      </c>
      <c r="AA102" s="25"/>
      <c r="AB102" s="29"/>
      <c r="AC102" s="26"/>
      <c r="AE102" s="19" t="s">
        <v>1793</v>
      </c>
      <c r="AF102" s="19" t="s">
        <v>1794</v>
      </c>
      <c r="AG102" s="25"/>
      <c r="AH102" s="25"/>
      <c r="AI102" s="26"/>
      <c r="AJ102" s="25"/>
      <c r="AK102" s="25"/>
      <c r="AL102" s="25"/>
      <c r="AM102" s="25"/>
      <c r="AN102" s="25"/>
      <c r="AO102" s="25"/>
      <c r="AP102" s="25"/>
      <c r="AQ102" s="25"/>
      <c r="AR102" s="25"/>
      <c r="AS102" s="25"/>
      <c r="AT102" s="25"/>
      <c r="AU102" s="25"/>
      <c r="AV102" s="25"/>
      <c r="AW102" s="19" t="s">
        <v>2693</v>
      </c>
      <c r="AX102" s="19" t="s">
        <v>2991</v>
      </c>
      <c r="BA102" s="9" t="s">
        <v>3334</v>
      </c>
      <c r="BB102" s="9" t="s">
        <v>3335</v>
      </c>
      <c r="BI102" t="s">
        <v>2854</v>
      </c>
      <c r="BJ102" t="s">
        <v>2854</v>
      </c>
      <c r="CS102" t="s">
        <v>2854</v>
      </c>
      <c r="CT102" t="s">
        <v>2854</v>
      </c>
      <c r="DA102" t="s">
        <v>2854</v>
      </c>
      <c r="DB102" t="s">
        <v>2854</v>
      </c>
    </row>
    <row r="103" spans="1:106" ht="30" x14ac:dyDescent="0.25">
      <c r="A103" s="24" t="s">
        <v>3812</v>
      </c>
      <c r="B103" s="24" t="s">
        <v>3812</v>
      </c>
      <c r="J103" s="19" t="s">
        <v>445</v>
      </c>
      <c r="K103" s="17" t="s">
        <v>444</v>
      </c>
      <c r="M103" s="19" t="s">
        <v>777</v>
      </c>
      <c r="N103" s="19" t="s">
        <v>1012</v>
      </c>
      <c r="O103" s="25"/>
      <c r="P103" s="25"/>
      <c r="Q103" s="25"/>
      <c r="S103" s="19" t="s">
        <v>1329</v>
      </c>
      <c r="T103" s="19" t="s">
        <v>1508</v>
      </c>
      <c r="U103" s="25"/>
      <c r="V103" s="28"/>
      <c r="W103" s="25"/>
      <c r="Y103" s="31" t="s">
        <v>2248</v>
      </c>
      <c r="Z103" s="31" t="s">
        <v>2440</v>
      </c>
      <c r="AA103" s="25"/>
      <c r="AB103" s="29"/>
      <c r="AC103" s="26"/>
      <c r="AE103" s="19" t="s">
        <v>1795</v>
      </c>
      <c r="AF103" s="19" t="s">
        <v>1796</v>
      </c>
      <c r="AG103" s="25"/>
      <c r="AH103" s="25"/>
      <c r="AI103" s="26"/>
      <c r="AJ103" s="25"/>
      <c r="AK103" s="25"/>
      <c r="AL103" s="25"/>
      <c r="AM103" s="25"/>
      <c r="AN103" s="25"/>
      <c r="AO103" s="25"/>
      <c r="AP103" s="25"/>
      <c r="AQ103" s="25"/>
      <c r="AR103" s="25"/>
      <c r="AS103" s="25"/>
      <c r="AT103" s="25"/>
      <c r="AU103" s="25"/>
      <c r="AV103" s="25"/>
      <c r="AW103" s="19" t="s">
        <v>2694</v>
      </c>
      <c r="AX103" s="19" t="s">
        <v>2992</v>
      </c>
      <c r="BA103" s="9" t="s">
        <v>3336</v>
      </c>
      <c r="BB103" s="9" t="s">
        <v>3337</v>
      </c>
    </row>
    <row r="104" spans="1:106" ht="30" x14ac:dyDescent="0.25">
      <c r="A104" s="24" t="s">
        <v>3813</v>
      </c>
      <c r="B104" s="24" t="s">
        <v>3813</v>
      </c>
      <c r="J104" s="19" t="s">
        <v>346</v>
      </c>
      <c r="K104" s="17" t="s">
        <v>446</v>
      </c>
      <c r="M104" s="19" t="s">
        <v>778</v>
      </c>
      <c r="N104" s="19" t="s">
        <v>1013</v>
      </c>
      <c r="O104" s="25"/>
      <c r="P104" s="25"/>
      <c r="Q104" s="25"/>
      <c r="S104" s="19" t="s">
        <v>1330</v>
      </c>
      <c r="T104" s="19" t="s">
        <v>1509</v>
      </c>
      <c r="U104" s="25"/>
      <c r="V104" s="28"/>
      <c r="W104" s="25"/>
      <c r="Y104" s="31" t="s">
        <v>2249</v>
      </c>
      <c r="Z104" s="31" t="s">
        <v>2441</v>
      </c>
      <c r="AA104" s="25"/>
      <c r="AB104" s="29"/>
      <c r="AC104" s="26"/>
      <c r="AE104" s="19" t="s">
        <v>1797</v>
      </c>
      <c r="AF104" s="19" t="s">
        <v>1798</v>
      </c>
      <c r="AG104" s="25"/>
      <c r="AH104" s="25"/>
      <c r="AI104" s="26"/>
      <c r="AJ104" s="25"/>
      <c r="AK104" s="25"/>
      <c r="AL104" s="25"/>
      <c r="AM104" s="25"/>
      <c r="AN104" s="25"/>
      <c r="AO104" s="25"/>
      <c r="AP104" s="25"/>
      <c r="AQ104" s="25"/>
      <c r="AR104" s="25"/>
      <c r="AS104" s="25"/>
      <c r="AT104" s="25"/>
      <c r="AU104" s="25"/>
      <c r="AV104" s="25"/>
      <c r="AW104" s="19" t="s">
        <v>2695</v>
      </c>
      <c r="AX104" s="19" t="s">
        <v>2993</v>
      </c>
      <c r="BA104" s="9" t="s">
        <v>3338</v>
      </c>
      <c r="BB104" s="9" t="s">
        <v>3339</v>
      </c>
    </row>
    <row r="105" spans="1:106" x14ac:dyDescent="0.25">
      <c r="A105" s="24" t="s">
        <v>3814</v>
      </c>
      <c r="B105" s="24" t="s">
        <v>3815</v>
      </c>
      <c r="J105" s="19" t="s">
        <v>448</v>
      </c>
      <c r="K105" s="17" t="s">
        <v>447</v>
      </c>
      <c r="M105" s="19" t="s">
        <v>779</v>
      </c>
      <c r="N105" s="19" t="s">
        <v>1014</v>
      </c>
      <c r="O105" s="25"/>
      <c r="P105" s="25"/>
      <c r="Q105" s="25"/>
      <c r="S105" s="19" t="s">
        <v>1331</v>
      </c>
      <c r="T105" s="19" t="s">
        <v>1510</v>
      </c>
      <c r="U105" s="25"/>
      <c r="V105" s="28"/>
      <c r="W105" s="25"/>
      <c r="Y105" s="31" t="s">
        <v>2250</v>
      </c>
      <c r="Z105" s="31" t="s">
        <v>2442</v>
      </c>
      <c r="AA105" s="25"/>
      <c r="AB105" s="29"/>
      <c r="AC105" s="26"/>
      <c r="AE105" s="19" t="s">
        <v>1799</v>
      </c>
      <c r="AF105" s="19" t="s">
        <v>1800</v>
      </c>
      <c r="AG105" s="25"/>
      <c r="AH105" s="25"/>
      <c r="AI105" s="26"/>
      <c r="AJ105" s="25"/>
      <c r="AK105" s="25"/>
      <c r="AL105" s="25"/>
      <c r="AM105" s="25"/>
      <c r="AN105" s="25"/>
      <c r="AO105" s="25"/>
      <c r="AP105" s="25"/>
      <c r="AQ105" s="25"/>
      <c r="AR105" s="25"/>
      <c r="AS105" s="25"/>
      <c r="AT105" s="25"/>
      <c r="AU105" s="25"/>
      <c r="AV105" s="25"/>
      <c r="AW105" s="19" t="s">
        <v>2696</v>
      </c>
      <c r="AX105" s="19" t="s">
        <v>2994</v>
      </c>
      <c r="BA105" s="9" t="s">
        <v>3340</v>
      </c>
      <c r="BB105" s="9" t="s">
        <v>3341</v>
      </c>
    </row>
    <row r="106" spans="1:106" x14ac:dyDescent="0.25">
      <c r="A106" s="23"/>
      <c r="J106" s="19" t="s">
        <v>450</v>
      </c>
      <c r="K106" s="17" t="s">
        <v>449</v>
      </c>
      <c r="M106" s="19" t="s">
        <v>780</v>
      </c>
      <c r="N106" s="19" t="s">
        <v>1015</v>
      </c>
      <c r="O106" s="25"/>
      <c r="P106" s="25"/>
      <c r="Q106" s="25"/>
      <c r="S106" s="19" t="s">
        <v>1332</v>
      </c>
      <c r="T106" s="19" t="s">
        <v>1511</v>
      </c>
      <c r="U106" s="25"/>
      <c r="V106" s="28"/>
      <c r="W106" s="25"/>
      <c r="Y106" s="31" t="s">
        <v>2251</v>
      </c>
      <c r="Z106" s="31" t="s">
        <v>2443</v>
      </c>
      <c r="AA106" s="25"/>
      <c r="AB106" s="29"/>
      <c r="AC106" s="26"/>
      <c r="AE106" s="19" t="s">
        <v>1801</v>
      </c>
      <c r="AF106" s="19" t="s">
        <v>1802</v>
      </c>
      <c r="AG106" s="25"/>
      <c r="AH106" s="25"/>
      <c r="AI106" s="26"/>
      <c r="AJ106" s="25"/>
      <c r="AK106" s="25"/>
      <c r="AL106" s="25"/>
      <c r="AM106" s="25"/>
      <c r="AN106" s="25"/>
      <c r="AO106" s="25"/>
      <c r="AP106" s="25"/>
      <c r="AQ106" s="25"/>
      <c r="AR106" s="25"/>
      <c r="AS106" s="25"/>
      <c r="AT106" s="25"/>
      <c r="AU106" s="25"/>
      <c r="AV106" s="25"/>
      <c r="AW106" s="19" t="s">
        <v>2697</v>
      </c>
      <c r="AX106" s="19" t="s">
        <v>2995</v>
      </c>
      <c r="BA106" s="9" t="s">
        <v>3342</v>
      </c>
      <c r="BB106" s="9" t="s">
        <v>3343</v>
      </c>
    </row>
    <row r="107" spans="1:106" x14ac:dyDescent="0.25">
      <c r="J107" s="19" t="s">
        <v>452</v>
      </c>
      <c r="K107" s="17" t="s">
        <v>451</v>
      </c>
      <c r="M107" s="19" t="s">
        <v>781</v>
      </c>
      <c r="N107" s="19" t="s">
        <v>1016</v>
      </c>
      <c r="O107" s="25"/>
      <c r="P107" s="25"/>
      <c r="Q107" s="25"/>
      <c r="S107" s="19" t="s">
        <v>1333</v>
      </c>
      <c r="T107" s="19" t="s">
        <v>1512</v>
      </c>
      <c r="U107" s="25"/>
      <c r="V107" s="28"/>
      <c r="W107" s="25"/>
      <c r="Y107" s="31" t="s">
        <v>2252</v>
      </c>
      <c r="Z107" s="31" t="s">
        <v>2444</v>
      </c>
      <c r="AA107" s="25"/>
      <c r="AB107" s="29"/>
      <c r="AC107" s="26"/>
      <c r="AE107" s="19" t="s">
        <v>1803</v>
      </c>
      <c r="AF107" s="19" t="s">
        <v>1804</v>
      </c>
      <c r="AG107" s="25"/>
      <c r="AH107" s="25"/>
      <c r="AI107" s="26"/>
      <c r="AJ107" s="25"/>
      <c r="AK107" s="25"/>
      <c r="AL107" s="25"/>
      <c r="AM107" s="25"/>
      <c r="AN107" s="25"/>
      <c r="AO107" s="25"/>
      <c r="AP107" s="25"/>
      <c r="AQ107" s="25"/>
      <c r="AR107" s="25"/>
      <c r="AS107" s="25"/>
      <c r="AT107" s="25"/>
      <c r="AU107" s="25"/>
      <c r="AV107" s="25"/>
      <c r="AW107" s="19" t="s">
        <v>2698</v>
      </c>
      <c r="AX107" s="19" t="s">
        <v>2996</v>
      </c>
      <c r="BA107" s="9" t="s">
        <v>3344</v>
      </c>
      <c r="BB107" s="9" t="s">
        <v>3345</v>
      </c>
    </row>
    <row r="108" spans="1:106" x14ac:dyDescent="0.25">
      <c r="J108" s="19" t="s">
        <v>454</v>
      </c>
      <c r="K108" s="17" t="s">
        <v>453</v>
      </c>
      <c r="M108" s="19" t="s">
        <v>782</v>
      </c>
      <c r="N108" s="19" t="s">
        <v>1017</v>
      </c>
      <c r="O108" s="25"/>
      <c r="P108" s="25"/>
      <c r="Q108" s="25"/>
      <c r="S108" s="19" t="s">
        <v>1334</v>
      </c>
      <c r="T108" s="19" t="s">
        <v>1513</v>
      </c>
      <c r="U108" s="25"/>
      <c r="V108" s="28"/>
      <c r="W108" s="25"/>
      <c r="Y108" s="31" t="s">
        <v>2253</v>
      </c>
      <c r="Z108" s="31" t="s">
        <v>2445</v>
      </c>
      <c r="AA108" s="25"/>
      <c r="AB108" s="29"/>
      <c r="AC108" s="26"/>
      <c r="AE108" s="19" t="s">
        <v>1805</v>
      </c>
      <c r="AF108" s="19" t="s">
        <v>1806</v>
      </c>
      <c r="AG108" s="25"/>
      <c r="AH108" s="25"/>
      <c r="AI108" s="26"/>
      <c r="AJ108" s="25"/>
      <c r="AK108" s="25"/>
      <c r="AL108" s="25"/>
      <c r="AM108" s="25"/>
      <c r="AN108" s="25"/>
      <c r="AO108" s="25"/>
      <c r="AP108" s="25"/>
      <c r="AQ108" s="25"/>
      <c r="AR108" s="25"/>
      <c r="AS108" s="25"/>
      <c r="AT108" s="25"/>
      <c r="AU108" s="25"/>
      <c r="AV108" s="25"/>
      <c r="AW108" s="19" t="s">
        <v>2699</v>
      </c>
      <c r="AX108" s="19" t="s">
        <v>2997</v>
      </c>
      <c r="BA108" s="9" t="s">
        <v>3346</v>
      </c>
      <c r="BB108" s="9" t="s">
        <v>3347</v>
      </c>
    </row>
    <row r="109" spans="1:106" ht="30" x14ac:dyDescent="0.25">
      <c r="J109" s="19" t="s">
        <v>366</v>
      </c>
      <c r="K109" s="17" t="s">
        <v>455</v>
      </c>
      <c r="M109" s="19" t="s">
        <v>783</v>
      </c>
      <c r="N109" s="19" t="s">
        <v>1018</v>
      </c>
      <c r="O109" s="25"/>
      <c r="P109" s="25"/>
      <c r="Q109" s="25"/>
      <c r="S109" s="19" t="s">
        <v>1335</v>
      </c>
      <c r="T109" s="19" t="s">
        <v>1514</v>
      </c>
      <c r="U109" s="25"/>
      <c r="V109" s="28"/>
      <c r="W109" s="25"/>
      <c r="Y109" s="31" t="s">
        <v>2254</v>
      </c>
      <c r="Z109" s="31" t="s">
        <v>2446</v>
      </c>
      <c r="AA109" s="25"/>
      <c r="AB109" s="29"/>
      <c r="AC109" s="26"/>
      <c r="AE109" s="19" t="s">
        <v>1807</v>
      </c>
      <c r="AF109" s="19" t="s">
        <v>1808</v>
      </c>
      <c r="AG109" s="25"/>
      <c r="AH109" s="25"/>
      <c r="AI109" s="26"/>
      <c r="AJ109" s="25"/>
      <c r="AK109" s="25"/>
      <c r="AL109" s="25"/>
      <c r="AM109" s="25"/>
      <c r="AN109" s="25"/>
      <c r="AO109" s="25"/>
      <c r="AP109" s="25"/>
      <c r="AQ109" s="25"/>
      <c r="AR109" s="25"/>
      <c r="AS109" s="25"/>
      <c r="AT109" s="25"/>
      <c r="AU109" s="25"/>
      <c r="AV109" s="25"/>
      <c r="AW109" s="19" t="s">
        <v>2700</v>
      </c>
      <c r="AX109" s="19" t="s">
        <v>2998</v>
      </c>
      <c r="BA109" s="9" t="s">
        <v>3348</v>
      </c>
      <c r="BB109" s="9" t="s">
        <v>3349</v>
      </c>
    </row>
    <row r="110" spans="1:106" x14ac:dyDescent="0.25">
      <c r="J110" s="19" t="s">
        <v>393</v>
      </c>
      <c r="K110" s="17" t="s">
        <v>456</v>
      </c>
      <c r="M110" s="19" t="s">
        <v>784</v>
      </c>
      <c r="N110" s="19" t="s">
        <v>1019</v>
      </c>
      <c r="O110" s="25"/>
      <c r="P110" s="25"/>
      <c r="Q110" s="25"/>
      <c r="S110" s="19" t="s">
        <v>1336</v>
      </c>
      <c r="T110" s="19" t="s">
        <v>1515</v>
      </c>
      <c r="U110" s="25"/>
      <c r="V110" s="28"/>
      <c r="W110" s="25"/>
      <c r="Y110" s="31" t="s">
        <v>2255</v>
      </c>
      <c r="Z110" s="31" t="s">
        <v>2447</v>
      </c>
      <c r="AA110" s="25"/>
      <c r="AB110" s="29"/>
      <c r="AC110" s="26"/>
      <c r="AE110" s="19" t="s">
        <v>1809</v>
      </c>
      <c r="AF110" s="19" t="s">
        <v>1810</v>
      </c>
      <c r="AG110" s="25"/>
      <c r="AH110" s="25"/>
      <c r="AI110" s="26"/>
      <c r="AJ110" s="25"/>
      <c r="AK110" s="25"/>
      <c r="AL110" s="25"/>
      <c r="AM110" s="25"/>
      <c r="AN110" s="25"/>
      <c r="AO110" s="25"/>
      <c r="AP110" s="25"/>
      <c r="AQ110" s="25"/>
      <c r="AR110" s="25"/>
      <c r="AS110" s="25"/>
      <c r="AT110" s="25"/>
      <c r="AU110" s="25"/>
      <c r="AV110" s="25"/>
      <c r="AW110" s="19" t="s">
        <v>2701</v>
      </c>
      <c r="AX110" s="19" t="s">
        <v>2999</v>
      </c>
      <c r="BA110" s="9" t="s">
        <v>3350</v>
      </c>
      <c r="BB110" s="9" t="s">
        <v>3351</v>
      </c>
    </row>
    <row r="111" spans="1:106" x14ac:dyDescent="0.25">
      <c r="J111" s="19" t="s">
        <v>458</v>
      </c>
      <c r="K111" s="17" t="s">
        <v>457</v>
      </c>
      <c r="M111" s="19" t="s">
        <v>785</v>
      </c>
      <c r="N111" s="19" t="s">
        <v>1020</v>
      </c>
      <c r="O111" s="25"/>
      <c r="P111" s="25"/>
      <c r="Q111" s="25"/>
      <c r="S111" s="19" t="s">
        <v>1337</v>
      </c>
      <c r="T111" s="19" t="s">
        <v>1516</v>
      </c>
      <c r="U111" s="25"/>
      <c r="V111" s="28"/>
      <c r="W111" s="25"/>
      <c r="Y111" s="31" t="s">
        <v>2256</v>
      </c>
      <c r="Z111" s="31" t="s">
        <v>2448</v>
      </c>
      <c r="AA111" s="25"/>
      <c r="AB111" s="29"/>
      <c r="AC111" s="26"/>
      <c r="AE111" s="19" t="s">
        <v>1811</v>
      </c>
      <c r="AF111" s="19" t="s">
        <v>1812</v>
      </c>
      <c r="AG111" s="25"/>
      <c r="AH111" s="25"/>
      <c r="AI111" s="26"/>
      <c r="AJ111" s="25"/>
      <c r="AK111" s="25"/>
      <c r="AL111" s="25"/>
      <c r="AM111" s="25"/>
      <c r="AN111" s="25"/>
      <c r="AO111" s="25"/>
      <c r="AP111" s="25"/>
      <c r="AQ111" s="25"/>
      <c r="AR111" s="25"/>
      <c r="AS111" s="25"/>
      <c r="AT111" s="25"/>
      <c r="AU111" s="25"/>
      <c r="AV111" s="25"/>
      <c r="AW111" s="19" t="s">
        <v>2702</v>
      </c>
      <c r="AX111" s="19" t="s">
        <v>3000</v>
      </c>
      <c r="BA111" s="9" t="s">
        <v>3352</v>
      </c>
      <c r="BB111" s="9" t="s">
        <v>3353</v>
      </c>
    </row>
    <row r="112" spans="1:106" x14ac:dyDescent="0.25">
      <c r="J112" s="19" t="s">
        <v>460</v>
      </c>
      <c r="K112" s="17" t="s">
        <v>459</v>
      </c>
      <c r="M112" s="19" t="s">
        <v>786</v>
      </c>
      <c r="N112" s="19" t="s">
        <v>1021</v>
      </c>
      <c r="O112" s="25"/>
      <c r="P112" s="25"/>
      <c r="Q112" s="25"/>
      <c r="S112" s="19" t="s">
        <v>1338</v>
      </c>
      <c r="T112" s="19" t="s">
        <v>1517</v>
      </c>
      <c r="U112" s="25"/>
      <c r="V112" s="28"/>
      <c r="W112" s="25"/>
      <c r="Y112" s="31" t="s">
        <v>2257</v>
      </c>
      <c r="Z112" s="31" t="s">
        <v>2449</v>
      </c>
      <c r="AA112" s="25"/>
      <c r="AB112" s="29"/>
      <c r="AC112" s="26"/>
      <c r="AE112" s="19" t="s">
        <v>1813</v>
      </c>
      <c r="AF112" s="19" t="s">
        <v>1814</v>
      </c>
      <c r="AG112" s="25"/>
      <c r="AH112" s="25"/>
      <c r="AI112" s="26"/>
      <c r="AJ112" s="25"/>
      <c r="AK112" s="25"/>
      <c r="AL112" s="25"/>
      <c r="AM112" s="25"/>
      <c r="AN112" s="25"/>
      <c r="AO112" s="25"/>
      <c r="AP112" s="25"/>
      <c r="AQ112" s="25"/>
      <c r="AR112" s="25"/>
      <c r="AS112" s="25"/>
      <c r="AT112" s="25"/>
      <c r="AU112" s="25"/>
      <c r="AV112" s="25"/>
      <c r="AW112" s="19" t="s">
        <v>2703</v>
      </c>
      <c r="AX112" s="19" t="s">
        <v>3001</v>
      </c>
      <c r="BA112" s="9" t="s">
        <v>3354</v>
      </c>
      <c r="BB112" s="9" t="s">
        <v>3355</v>
      </c>
    </row>
    <row r="113" spans="10:54" x14ac:dyDescent="0.25">
      <c r="J113" s="19" t="s">
        <v>462</v>
      </c>
      <c r="K113" s="17" t="s">
        <v>461</v>
      </c>
      <c r="M113" s="19" t="s">
        <v>787</v>
      </c>
      <c r="N113" s="19" t="s">
        <v>1022</v>
      </c>
      <c r="O113" s="25"/>
      <c r="P113" s="25"/>
      <c r="Q113" s="25"/>
      <c r="S113" s="19" t="s">
        <v>1339</v>
      </c>
      <c r="T113" s="19" t="s">
        <v>1518</v>
      </c>
      <c r="U113" s="25"/>
      <c r="V113" s="28"/>
      <c r="W113" s="25"/>
      <c r="Y113" s="31" t="s">
        <v>2258</v>
      </c>
      <c r="Z113" s="31" t="s">
        <v>2450</v>
      </c>
      <c r="AA113" s="25"/>
      <c r="AB113" s="29"/>
      <c r="AC113" s="26"/>
      <c r="AE113" s="19" t="s">
        <v>1815</v>
      </c>
      <c r="AF113" s="19" t="s">
        <v>1816</v>
      </c>
      <c r="AG113" s="25"/>
      <c r="AH113" s="25"/>
      <c r="AI113" s="26"/>
      <c r="AJ113" s="25"/>
      <c r="AK113" s="25"/>
      <c r="AL113" s="25"/>
      <c r="AM113" s="25"/>
      <c r="AN113" s="25"/>
      <c r="AO113" s="25"/>
      <c r="AP113" s="25"/>
      <c r="AQ113" s="25"/>
      <c r="AR113" s="25"/>
      <c r="AS113" s="25"/>
      <c r="AT113" s="25"/>
      <c r="AU113" s="25"/>
      <c r="AV113" s="25"/>
      <c r="AW113" s="19" t="s">
        <v>2704</v>
      </c>
      <c r="AX113" s="19" t="s">
        <v>3002</v>
      </c>
      <c r="BA113" s="9" t="s">
        <v>3356</v>
      </c>
      <c r="BB113" s="9" t="s">
        <v>3357</v>
      </c>
    </row>
    <row r="114" spans="10:54" x14ac:dyDescent="0.25">
      <c r="J114" s="19" t="s">
        <v>410</v>
      </c>
      <c r="K114" s="17" t="s">
        <v>463</v>
      </c>
      <c r="M114" s="19" t="s">
        <v>788</v>
      </c>
      <c r="N114" s="19" t="s">
        <v>1023</v>
      </c>
      <c r="O114" s="25"/>
      <c r="P114" s="25"/>
      <c r="Q114" s="25"/>
      <c r="S114" s="19" t="s">
        <v>1340</v>
      </c>
      <c r="T114" s="19" t="s">
        <v>1519</v>
      </c>
      <c r="U114" s="25"/>
      <c r="V114" s="28"/>
      <c r="W114" s="25"/>
      <c r="Y114" s="31" t="s">
        <v>2259</v>
      </c>
      <c r="Z114" s="31" t="s">
        <v>2451</v>
      </c>
      <c r="AA114" s="25"/>
      <c r="AB114" s="29"/>
      <c r="AC114" s="26"/>
      <c r="AE114" s="19" t="s">
        <v>1817</v>
      </c>
      <c r="AF114" s="19" t="s">
        <v>1818</v>
      </c>
      <c r="AG114" s="25"/>
      <c r="AH114" s="25"/>
      <c r="AI114" s="26"/>
      <c r="AJ114" s="25"/>
      <c r="AK114" s="25"/>
      <c r="AL114" s="25"/>
      <c r="AM114" s="25"/>
      <c r="AN114" s="25"/>
      <c r="AO114" s="25"/>
      <c r="AP114" s="25"/>
      <c r="AQ114" s="25"/>
      <c r="AR114" s="25"/>
      <c r="AS114" s="25"/>
      <c r="AT114" s="25"/>
      <c r="AU114" s="25"/>
      <c r="AV114" s="25"/>
      <c r="AW114" s="19" t="s">
        <v>2705</v>
      </c>
      <c r="AX114" s="19" t="s">
        <v>3003</v>
      </c>
      <c r="BA114" s="9" t="s">
        <v>3358</v>
      </c>
      <c r="BB114" s="9" t="s">
        <v>3359</v>
      </c>
    </row>
    <row r="115" spans="10:54" ht="30" x14ac:dyDescent="0.25">
      <c r="J115" s="19" t="s">
        <v>465</v>
      </c>
      <c r="K115" s="17" t="s">
        <v>464</v>
      </c>
      <c r="M115" s="19" t="s">
        <v>789</v>
      </c>
      <c r="N115" s="19" t="s">
        <v>1024</v>
      </c>
      <c r="O115" s="25"/>
      <c r="P115" s="25"/>
      <c r="Q115" s="25"/>
      <c r="S115" s="19" t="s">
        <v>1341</v>
      </c>
      <c r="T115" s="19" t="s">
        <v>1520</v>
      </c>
      <c r="U115" s="25"/>
      <c r="V115" s="28"/>
      <c r="W115" s="25"/>
      <c r="Y115" s="31" t="s">
        <v>2260</v>
      </c>
      <c r="Z115" s="31" t="s">
        <v>2452</v>
      </c>
      <c r="AA115" s="25"/>
      <c r="AB115" s="29"/>
      <c r="AC115" s="26"/>
      <c r="AE115" s="19" t="s">
        <v>1819</v>
      </c>
      <c r="AF115" s="19" t="s">
        <v>1820</v>
      </c>
      <c r="AG115" s="25"/>
      <c r="AH115" s="25"/>
      <c r="AI115" s="26"/>
      <c r="AJ115" s="25"/>
      <c r="AK115" s="25"/>
      <c r="AL115" s="25"/>
      <c r="AM115" s="25"/>
      <c r="AN115" s="25"/>
      <c r="AO115" s="25"/>
      <c r="AP115" s="25"/>
      <c r="AQ115" s="25"/>
      <c r="AR115" s="25"/>
      <c r="AS115" s="25"/>
      <c r="AT115" s="25"/>
      <c r="AU115" s="25"/>
      <c r="AV115" s="25"/>
      <c r="AW115" s="19" t="s">
        <v>2706</v>
      </c>
      <c r="AX115" s="19" t="s">
        <v>3004</v>
      </c>
      <c r="BA115" s="9" t="s">
        <v>3360</v>
      </c>
      <c r="BB115" s="9" t="s">
        <v>3361</v>
      </c>
    </row>
    <row r="116" spans="10:54" ht="30" x14ac:dyDescent="0.25">
      <c r="J116" s="19" t="s">
        <v>467</v>
      </c>
      <c r="K116" s="17" t="s">
        <v>466</v>
      </c>
      <c r="M116" s="19" t="s">
        <v>790</v>
      </c>
      <c r="N116" s="19" t="s">
        <v>1025</v>
      </c>
      <c r="O116" s="25"/>
      <c r="P116" s="25"/>
      <c r="Q116" s="25"/>
      <c r="S116" s="19" t="s">
        <v>1342</v>
      </c>
      <c r="T116" s="19" t="s">
        <v>1521</v>
      </c>
      <c r="U116" s="25"/>
      <c r="V116" s="28"/>
      <c r="W116" s="25"/>
      <c r="Y116" s="31" t="s">
        <v>2261</v>
      </c>
      <c r="Z116" s="31" t="s">
        <v>2453</v>
      </c>
      <c r="AA116" s="25"/>
      <c r="AB116" s="29"/>
      <c r="AC116" s="26"/>
      <c r="AE116" s="19" t="s">
        <v>1821</v>
      </c>
      <c r="AF116" s="19" t="s">
        <v>1822</v>
      </c>
      <c r="AG116" s="25"/>
      <c r="AH116" s="25"/>
      <c r="AI116" s="26"/>
      <c r="AJ116" s="25"/>
      <c r="AK116" s="25"/>
      <c r="AL116" s="25"/>
      <c r="AM116" s="25"/>
      <c r="AN116" s="25"/>
      <c r="AO116" s="25"/>
      <c r="AP116" s="25"/>
      <c r="AQ116" s="25"/>
      <c r="AR116" s="25"/>
      <c r="AS116" s="25"/>
      <c r="AT116" s="25"/>
      <c r="AU116" s="25"/>
      <c r="AV116" s="25"/>
      <c r="AW116" s="19" t="s">
        <v>2707</v>
      </c>
      <c r="AX116" s="19" t="s">
        <v>3005</v>
      </c>
      <c r="BA116" s="9" t="s">
        <v>3362</v>
      </c>
      <c r="BB116" s="9" t="s">
        <v>3363</v>
      </c>
    </row>
    <row r="117" spans="10:54" x14ac:dyDescent="0.25">
      <c r="J117" s="19" t="s">
        <v>469</v>
      </c>
      <c r="K117" s="17" t="s">
        <v>468</v>
      </c>
      <c r="M117" s="19" t="s">
        <v>791</v>
      </c>
      <c r="N117" s="19" t="s">
        <v>1026</v>
      </c>
      <c r="O117" s="25"/>
      <c r="P117" s="25"/>
      <c r="Q117" s="25"/>
      <c r="S117" s="19" t="s">
        <v>1343</v>
      </c>
      <c r="T117" s="19" t="s">
        <v>1522</v>
      </c>
      <c r="U117" s="25"/>
      <c r="V117" s="28"/>
      <c r="W117" s="25"/>
      <c r="Y117" s="31" t="s">
        <v>2262</v>
      </c>
      <c r="Z117" s="31" t="s">
        <v>2454</v>
      </c>
      <c r="AA117" s="25"/>
      <c r="AB117" s="29"/>
      <c r="AC117" s="26"/>
      <c r="AE117" s="19" t="s">
        <v>1823</v>
      </c>
      <c r="AF117" s="19" t="s">
        <v>1824</v>
      </c>
      <c r="AG117" s="25"/>
      <c r="AH117" s="25"/>
      <c r="AI117" s="26"/>
      <c r="AJ117" s="25"/>
      <c r="AK117" s="25"/>
      <c r="AL117" s="25"/>
      <c r="AM117" s="25"/>
      <c r="AN117" s="25"/>
      <c r="AO117" s="25"/>
      <c r="AP117" s="25"/>
      <c r="AQ117" s="25"/>
      <c r="AR117" s="25"/>
      <c r="AS117" s="25"/>
      <c r="AT117" s="25"/>
      <c r="AU117" s="25"/>
      <c r="AV117" s="25"/>
      <c r="AW117" s="19" t="s">
        <v>2708</v>
      </c>
      <c r="AX117" s="19" t="s">
        <v>3006</v>
      </c>
      <c r="BA117" s="9" t="s">
        <v>3364</v>
      </c>
      <c r="BB117" s="9" t="s">
        <v>3365</v>
      </c>
    </row>
    <row r="118" spans="10:54" x14ac:dyDescent="0.25">
      <c r="J118" s="19" t="s">
        <v>471</v>
      </c>
      <c r="K118" s="17" t="s">
        <v>470</v>
      </c>
      <c r="M118" s="19" t="s">
        <v>792</v>
      </c>
      <c r="N118" s="19" t="s">
        <v>1027</v>
      </c>
      <c r="O118" s="25"/>
      <c r="P118" s="25"/>
      <c r="Q118" s="25"/>
      <c r="S118" s="19" t="s">
        <v>1344</v>
      </c>
      <c r="T118" s="19" t="s">
        <v>1523</v>
      </c>
      <c r="U118" s="25"/>
      <c r="V118" s="28"/>
      <c r="W118" s="25"/>
      <c r="Y118" s="31" t="s">
        <v>2263</v>
      </c>
      <c r="Z118" s="31" t="s">
        <v>2455</v>
      </c>
      <c r="AA118" s="25"/>
      <c r="AB118" s="29"/>
      <c r="AC118" s="26"/>
      <c r="AE118" s="19" t="s">
        <v>1825</v>
      </c>
      <c r="AF118" s="19" t="s">
        <v>1826</v>
      </c>
      <c r="AG118" s="25"/>
      <c r="AH118" s="25"/>
      <c r="AI118" s="26"/>
      <c r="AJ118" s="25"/>
      <c r="AK118" s="25"/>
      <c r="AL118" s="25"/>
      <c r="AM118" s="25"/>
      <c r="AN118" s="25"/>
      <c r="AO118" s="25"/>
      <c r="AP118" s="25"/>
      <c r="AQ118" s="25"/>
      <c r="AR118" s="25"/>
      <c r="AS118" s="25"/>
      <c r="AT118" s="25"/>
      <c r="AU118" s="25"/>
      <c r="AV118" s="25"/>
      <c r="AW118" s="19" t="s">
        <v>2709</v>
      </c>
      <c r="AX118" s="19" t="s">
        <v>3007</v>
      </c>
      <c r="BA118" s="9" t="s">
        <v>3366</v>
      </c>
      <c r="BB118" s="9" t="s">
        <v>3367</v>
      </c>
    </row>
    <row r="119" spans="10:54" x14ac:dyDescent="0.25">
      <c r="J119" s="19" t="s">
        <v>433</v>
      </c>
      <c r="K119" s="17" t="s">
        <v>472</v>
      </c>
      <c r="M119" s="19" t="s">
        <v>793</v>
      </c>
      <c r="N119" s="19" t="s">
        <v>1028</v>
      </c>
      <c r="O119" s="25"/>
      <c r="P119" s="25"/>
      <c r="Q119" s="25"/>
      <c r="S119" s="19" t="s">
        <v>1345</v>
      </c>
      <c r="T119" s="19" t="s">
        <v>1524</v>
      </c>
      <c r="U119" s="25"/>
      <c r="V119" s="28"/>
      <c r="W119" s="25"/>
      <c r="Y119" s="31" t="s">
        <v>2264</v>
      </c>
      <c r="Z119" s="31" t="s">
        <v>2456</v>
      </c>
      <c r="AA119" s="25"/>
      <c r="AB119" s="29"/>
      <c r="AC119" s="26"/>
      <c r="AE119" s="19" t="s">
        <v>1827</v>
      </c>
      <c r="AF119" s="19" t="s">
        <v>1828</v>
      </c>
      <c r="AG119" s="25"/>
      <c r="AH119" s="25"/>
      <c r="AI119" s="26"/>
      <c r="AJ119" s="25"/>
      <c r="AK119" s="25"/>
      <c r="AL119" s="25"/>
      <c r="AM119" s="25"/>
      <c r="AN119" s="25"/>
      <c r="AO119" s="25"/>
      <c r="AP119" s="25"/>
      <c r="AQ119" s="25"/>
      <c r="AR119" s="25"/>
      <c r="AS119" s="25"/>
      <c r="AT119" s="25"/>
      <c r="AU119" s="25"/>
      <c r="AV119" s="25"/>
      <c r="AW119" s="19" t="s">
        <v>2710</v>
      </c>
      <c r="AX119" s="19" t="s">
        <v>3008</v>
      </c>
      <c r="BA119" s="9" t="s">
        <v>3368</v>
      </c>
      <c r="BB119" s="9" t="s">
        <v>3369</v>
      </c>
    </row>
    <row r="120" spans="10:54" x14ac:dyDescent="0.25">
      <c r="J120" s="19" t="s">
        <v>473</v>
      </c>
      <c r="K120" s="17" t="s">
        <v>587</v>
      </c>
      <c r="M120" s="19" t="s">
        <v>794</v>
      </c>
      <c r="N120" s="19" t="s">
        <v>1029</v>
      </c>
      <c r="O120" s="25"/>
      <c r="P120" s="25"/>
      <c r="Q120" s="25"/>
      <c r="S120" s="19" t="s">
        <v>1346</v>
      </c>
      <c r="T120" s="19" t="s">
        <v>1525</v>
      </c>
      <c r="U120" s="25"/>
      <c r="V120" s="28"/>
      <c r="W120" s="25"/>
      <c r="Y120" s="31" t="s">
        <v>2265</v>
      </c>
      <c r="Z120" s="31" t="s">
        <v>2457</v>
      </c>
      <c r="AA120" s="25"/>
      <c r="AB120" s="29"/>
      <c r="AC120" s="26"/>
      <c r="AE120" s="19" t="s">
        <v>1829</v>
      </c>
      <c r="AF120" s="19" t="s">
        <v>1830</v>
      </c>
      <c r="AG120" s="25"/>
      <c r="AH120" s="25"/>
      <c r="AI120" s="26"/>
      <c r="AJ120" s="25"/>
      <c r="AK120" s="25"/>
      <c r="AL120" s="25"/>
      <c r="AM120" s="25"/>
      <c r="AN120" s="25"/>
      <c r="AO120" s="25"/>
      <c r="AP120" s="25"/>
      <c r="AQ120" s="25"/>
      <c r="AR120" s="25"/>
      <c r="AS120" s="25"/>
      <c r="AT120" s="25"/>
      <c r="AU120" s="25"/>
      <c r="AV120" s="25"/>
      <c r="AW120" s="19" t="s">
        <v>2711</v>
      </c>
      <c r="AX120" s="19" t="s">
        <v>3009</v>
      </c>
      <c r="BA120" s="9" t="s">
        <v>3370</v>
      </c>
      <c r="BB120" s="9" t="s">
        <v>3371</v>
      </c>
    </row>
    <row r="121" spans="10:54" x14ac:dyDescent="0.25">
      <c r="J121" s="19" t="s">
        <v>473</v>
      </c>
      <c r="K121" s="17" t="s">
        <v>474</v>
      </c>
      <c r="M121" s="19" t="s">
        <v>795</v>
      </c>
      <c r="N121" s="19" t="s">
        <v>1030</v>
      </c>
      <c r="O121" s="25"/>
      <c r="P121" s="25"/>
      <c r="Q121" s="25"/>
      <c r="S121" s="19" t="s">
        <v>1347</v>
      </c>
      <c r="T121" s="19" t="s">
        <v>1526</v>
      </c>
      <c r="U121" s="25"/>
      <c r="V121" s="28"/>
      <c r="W121" s="25"/>
      <c r="Y121" s="31" t="s">
        <v>2266</v>
      </c>
      <c r="Z121" s="31" t="s">
        <v>2458</v>
      </c>
      <c r="AA121" s="25"/>
      <c r="AB121" s="29"/>
      <c r="AC121" s="26"/>
      <c r="AE121" s="19" t="s">
        <v>1831</v>
      </c>
      <c r="AF121" s="19" t="s">
        <v>1832</v>
      </c>
      <c r="AG121" s="25"/>
      <c r="AH121" s="25"/>
      <c r="AI121" s="26"/>
      <c r="AJ121" s="25"/>
      <c r="AK121" s="25"/>
      <c r="AL121" s="25"/>
      <c r="AM121" s="25"/>
      <c r="AN121" s="25"/>
      <c r="AO121" s="25"/>
      <c r="AP121" s="25"/>
      <c r="AQ121" s="25"/>
      <c r="AR121" s="25"/>
      <c r="AS121" s="25"/>
      <c r="AT121" s="25"/>
      <c r="AU121" s="25"/>
      <c r="AV121" s="25"/>
      <c r="AW121" s="19" t="s">
        <v>2712</v>
      </c>
      <c r="AX121" s="19" t="s">
        <v>3010</v>
      </c>
      <c r="BA121" s="9" t="s">
        <v>3372</v>
      </c>
      <c r="BB121" s="9" t="s">
        <v>3373</v>
      </c>
    </row>
    <row r="122" spans="10:54" x14ac:dyDescent="0.25">
      <c r="J122" s="19" t="s">
        <v>476</v>
      </c>
      <c r="K122" s="17" t="s">
        <v>475</v>
      </c>
      <c r="M122" s="19" t="s">
        <v>796</v>
      </c>
      <c r="N122" s="19" t="s">
        <v>647</v>
      </c>
      <c r="O122" s="25"/>
      <c r="P122" s="25"/>
      <c r="Q122" s="25"/>
      <c r="S122" s="19" t="s">
        <v>1348</v>
      </c>
      <c r="T122" s="19" t="s">
        <v>1527</v>
      </c>
      <c r="U122" s="25"/>
      <c r="V122" s="28"/>
      <c r="W122" s="25"/>
      <c r="Y122" s="31" t="s">
        <v>2267</v>
      </c>
      <c r="Z122" s="31" t="s">
        <v>2459</v>
      </c>
      <c r="AA122" s="25"/>
      <c r="AB122" s="29"/>
      <c r="AC122" s="26"/>
      <c r="AE122" s="19" t="s">
        <v>1833</v>
      </c>
      <c r="AF122" s="19" t="s">
        <v>1834</v>
      </c>
      <c r="AG122" s="25"/>
      <c r="AH122" s="25"/>
      <c r="AI122" s="26"/>
      <c r="AJ122" s="25"/>
      <c r="AK122" s="25"/>
      <c r="AL122" s="25"/>
      <c r="AM122" s="25"/>
      <c r="AN122" s="25"/>
      <c r="AO122" s="25"/>
      <c r="AP122" s="25"/>
      <c r="AQ122" s="25"/>
      <c r="AR122" s="25"/>
      <c r="AS122" s="25"/>
      <c r="AT122" s="25"/>
      <c r="AU122" s="25"/>
      <c r="AV122" s="25"/>
      <c r="AW122" s="19" t="s">
        <v>2713</v>
      </c>
      <c r="AX122" s="19" t="s">
        <v>3011</v>
      </c>
      <c r="BA122" s="9" t="s">
        <v>3374</v>
      </c>
      <c r="BB122" s="9" t="s">
        <v>3375</v>
      </c>
    </row>
    <row r="123" spans="10:54" x14ac:dyDescent="0.25">
      <c r="J123" s="19" t="s">
        <v>477</v>
      </c>
      <c r="K123" s="17" t="s">
        <v>672</v>
      </c>
      <c r="M123" s="19" t="s">
        <v>797</v>
      </c>
      <c r="N123" s="19" t="s">
        <v>674</v>
      </c>
      <c r="O123" s="25"/>
      <c r="P123" s="25"/>
      <c r="Q123" s="25"/>
      <c r="S123" s="19" t="s">
        <v>1349</v>
      </c>
      <c r="T123" s="19" t="s">
        <v>1528</v>
      </c>
      <c r="U123" s="25"/>
      <c r="V123" s="28"/>
      <c r="W123" s="25"/>
      <c r="Y123" s="31" t="s">
        <v>2268</v>
      </c>
      <c r="Z123" s="31" t="s">
        <v>2460</v>
      </c>
      <c r="AA123" s="25"/>
      <c r="AB123" s="29"/>
      <c r="AC123" s="26"/>
      <c r="AE123" s="19" t="s">
        <v>1835</v>
      </c>
      <c r="AF123" s="19" t="s">
        <v>1836</v>
      </c>
      <c r="AG123" s="25"/>
      <c r="AH123" s="25"/>
      <c r="AI123" s="26"/>
      <c r="AJ123" s="25"/>
      <c r="AK123" s="25"/>
      <c r="AL123" s="25"/>
      <c r="AM123" s="25"/>
      <c r="AN123" s="25"/>
      <c r="AO123" s="25"/>
      <c r="AP123" s="25"/>
      <c r="AQ123" s="25"/>
      <c r="AR123" s="25"/>
      <c r="AS123" s="25"/>
      <c r="AT123" s="25"/>
      <c r="AU123" s="25"/>
      <c r="AV123" s="25"/>
      <c r="AW123" s="19" t="s">
        <v>2714</v>
      </c>
      <c r="AX123" s="19" t="s">
        <v>3012</v>
      </c>
      <c r="BA123" s="9" t="s">
        <v>3376</v>
      </c>
      <c r="BB123" s="9" t="s">
        <v>3377</v>
      </c>
    </row>
    <row r="124" spans="10:54" x14ac:dyDescent="0.25">
      <c r="J124" s="19" t="s">
        <v>479</v>
      </c>
      <c r="K124" s="17" t="s">
        <v>478</v>
      </c>
      <c r="M124" s="19" t="s">
        <v>798</v>
      </c>
      <c r="N124" s="19" t="s">
        <v>1031</v>
      </c>
      <c r="O124" s="25"/>
      <c r="P124" s="25"/>
      <c r="Q124" s="25"/>
      <c r="S124" s="19" t="s">
        <v>1350</v>
      </c>
      <c r="T124" s="19" t="s">
        <v>1529</v>
      </c>
      <c r="U124" s="25"/>
      <c r="V124" s="28"/>
      <c r="W124" s="25"/>
      <c r="Y124" s="31" t="s">
        <v>2269</v>
      </c>
      <c r="Z124" s="31" t="s">
        <v>2461</v>
      </c>
      <c r="AA124" s="25"/>
      <c r="AB124" s="29"/>
      <c r="AC124" s="26"/>
      <c r="AE124" s="19" t="s">
        <v>1837</v>
      </c>
      <c r="AF124" s="19" t="s">
        <v>1838</v>
      </c>
      <c r="AG124" s="25"/>
      <c r="AH124" s="25"/>
      <c r="AI124" s="26"/>
      <c r="AJ124" s="25"/>
      <c r="AK124" s="25"/>
      <c r="AL124" s="25"/>
      <c r="AM124" s="25"/>
      <c r="AN124" s="25"/>
      <c r="AO124" s="25"/>
      <c r="AP124" s="25"/>
      <c r="AQ124" s="25"/>
      <c r="AR124" s="25"/>
      <c r="AS124" s="25"/>
      <c r="AT124" s="25"/>
      <c r="AU124" s="25"/>
      <c r="AV124" s="25"/>
      <c r="AW124" s="19" t="s">
        <v>2715</v>
      </c>
      <c r="AX124" s="19" t="s">
        <v>3013</v>
      </c>
      <c r="BA124" s="9" t="s">
        <v>3378</v>
      </c>
      <c r="BB124" s="9" t="s">
        <v>3379</v>
      </c>
    </row>
    <row r="125" spans="10:54" x14ac:dyDescent="0.25">
      <c r="J125" s="19" t="s">
        <v>480</v>
      </c>
      <c r="K125" s="17" t="s">
        <v>673</v>
      </c>
      <c r="M125" s="19" t="s">
        <v>799</v>
      </c>
      <c r="N125" s="19" t="s">
        <v>1032</v>
      </c>
      <c r="O125" s="25"/>
      <c r="P125" s="25"/>
      <c r="Q125" s="25"/>
      <c r="S125" s="19" t="s">
        <v>1351</v>
      </c>
      <c r="T125" s="19" t="s">
        <v>1530</v>
      </c>
      <c r="U125" s="25"/>
      <c r="V125" s="28"/>
      <c r="W125" s="25"/>
      <c r="Y125" s="31" t="s">
        <v>2270</v>
      </c>
      <c r="Z125" s="31" t="s">
        <v>2462</v>
      </c>
      <c r="AA125" s="25"/>
      <c r="AB125" s="29"/>
      <c r="AC125" s="26"/>
      <c r="AE125" s="19" t="s">
        <v>1839</v>
      </c>
      <c r="AF125" s="19" t="s">
        <v>1840</v>
      </c>
      <c r="AG125" s="25"/>
      <c r="AH125" s="25"/>
      <c r="AI125" s="26"/>
      <c r="AJ125" s="25"/>
      <c r="AK125" s="25"/>
      <c r="AL125" s="25"/>
      <c r="AM125" s="25"/>
      <c r="AN125" s="25"/>
      <c r="AO125" s="25"/>
      <c r="AP125" s="25"/>
      <c r="AQ125" s="25"/>
      <c r="AR125" s="25"/>
      <c r="AS125" s="25"/>
      <c r="AT125" s="25"/>
      <c r="AU125" s="25"/>
      <c r="AV125" s="25"/>
      <c r="AW125" s="19" t="s">
        <v>2716</v>
      </c>
      <c r="AX125" s="19" t="s">
        <v>3014</v>
      </c>
      <c r="BA125" s="9" t="s">
        <v>3380</v>
      </c>
      <c r="BB125" s="9" t="s">
        <v>3381</v>
      </c>
    </row>
    <row r="126" spans="10:54" x14ac:dyDescent="0.25">
      <c r="J126" s="19" t="s">
        <v>482</v>
      </c>
      <c r="K126" s="17" t="s">
        <v>481</v>
      </c>
      <c r="M126" s="19" t="s">
        <v>800</v>
      </c>
      <c r="N126" s="19" t="s">
        <v>1033</v>
      </c>
      <c r="O126" s="25"/>
      <c r="P126" s="25"/>
      <c r="Q126" s="25"/>
      <c r="S126" s="19" t="s">
        <v>1352</v>
      </c>
      <c r="T126" s="19" t="s">
        <v>1531</v>
      </c>
      <c r="U126" s="25"/>
      <c r="V126" s="28"/>
      <c r="W126" s="25"/>
      <c r="Y126" s="31" t="s">
        <v>2271</v>
      </c>
      <c r="Z126" s="31" t="s">
        <v>2463</v>
      </c>
      <c r="AA126" s="25"/>
      <c r="AB126" s="29"/>
      <c r="AC126" s="26"/>
      <c r="AE126" s="19" t="s">
        <v>1841</v>
      </c>
      <c r="AF126" s="19" t="s">
        <v>1842</v>
      </c>
      <c r="AG126" s="25"/>
      <c r="AH126" s="25"/>
      <c r="AI126" s="26"/>
      <c r="AJ126" s="25"/>
      <c r="AK126" s="25"/>
      <c r="AL126" s="25"/>
      <c r="AM126" s="25"/>
      <c r="AN126" s="25"/>
      <c r="AO126" s="25"/>
      <c r="AP126" s="25"/>
      <c r="AQ126" s="25"/>
      <c r="AR126" s="25"/>
      <c r="AS126" s="25"/>
      <c r="AT126" s="25"/>
      <c r="AU126" s="25"/>
      <c r="AV126" s="25"/>
      <c r="AW126" s="19" t="s">
        <v>2717</v>
      </c>
      <c r="AX126" s="19" t="s">
        <v>3015</v>
      </c>
      <c r="BA126" s="9" t="s">
        <v>3382</v>
      </c>
      <c r="BB126" s="9" t="s">
        <v>3383</v>
      </c>
    </row>
    <row r="127" spans="10:54" x14ac:dyDescent="0.25">
      <c r="J127" s="19" t="s">
        <v>484</v>
      </c>
      <c r="K127" s="17" t="s">
        <v>483</v>
      </c>
      <c r="M127" s="19" t="s">
        <v>801</v>
      </c>
      <c r="N127" s="19" t="s">
        <v>1034</v>
      </c>
      <c r="O127" s="25"/>
      <c r="P127" s="25"/>
      <c r="Q127" s="25"/>
      <c r="S127" s="19" t="s">
        <v>1353</v>
      </c>
      <c r="T127" s="19" t="s">
        <v>1532</v>
      </c>
      <c r="U127" s="25"/>
      <c r="V127" s="28"/>
      <c r="W127" s="25"/>
      <c r="Y127" s="31" t="s">
        <v>2272</v>
      </c>
      <c r="Z127" s="31" t="s">
        <v>2464</v>
      </c>
      <c r="AA127" s="25"/>
      <c r="AB127" s="29"/>
      <c r="AC127" s="26"/>
      <c r="AE127" s="19" t="s">
        <v>1843</v>
      </c>
      <c r="AF127" s="19" t="s">
        <v>1844</v>
      </c>
      <c r="AG127" s="25"/>
      <c r="AH127" s="25"/>
      <c r="AI127" s="26"/>
      <c r="AJ127" s="25"/>
      <c r="AK127" s="25"/>
      <c r="AL127" s="25"/>
      <c r="AM127" s="25"/>
      <c r="AN127" s="25"/>
      <c r="AO127" s="25"/>
      <c r="AP127" s="25"/>
      <c r="AQ127" s="25"/>
      <c r="AR127" s="25"/>
      <c r="AS127" s="25"/>
      <c r="AT127" s="25"/>
      <c r="AU127" s="25"/>
      <c r="AV127" s="25"/>
      <c r="AW127" s="19" t="s">
        <v>2718</v>
      </c>
      <c r="AX127" s="19" t="s">
        <v>3016</v>
      </c>
      <c r="BA127" s="9" t="s">
        <v>3384</v>
      </c>
      <c r="BB127" s="9" t="s">
        <v>3385</v>
      </c>
    </row>
    <row r="128" spans="10:54" x14ac:dyDescent="0.25">
      <c r="J128" s="19" t="s">
        <v>486</v>
      </c>
      <c r="K128" s="17" t="s">
        <v>485</v>
      </c>
      <c r="M128" s="19" t="s">
        <v>802</v>
      </c>
      <c r="N128" s="19" t="s">
        <v>1035</v>
      </c>
      <c r="O128" s="25"/>
      <c r="P128" s="25"/>
      <c r="Q128" s="25"/>
      <c r="S128" s="19" t="s">
        <v>1354</v>
      </c>
      <c r="T128" s="19" t="s">
        <v>1533</v>
      </c>
      <c r="U128" s="25"/>
      <c r="V128" s="28"/>
      <c r="W128" s="25"/>
      <c r="Y128" s="31" t="s">
        <v>2273</v>
      </c>
      <c r="Z128" s="31" t="s">
        <v>2465</v>
      </c>
      <c r="AA128" s="25"/>
      <c r="AB128" s="29"/>
      <c r="AC128" s="26"/>
      <c r="AE128" s="19" t="s">
        <v>1845</v>
      </c>
      <c r="AF128" s="19" t="s">
        <v>1846</v>
      </c>
      <c r="AG128" s="25"/>
      <c r="AH128" s="25"/>
      <c r="AI128" s="26"/>
      <c r="AJ128" s="25"/>
      <c r="AK128" s="25"/>
      <c r="AL128" s="25"/>
      <c r="AM128" s="25"/>
      <c r="AN128" s="25"/>
      <c r="AO128" s="25"/>
      <c r="AP128" s="25"/>
      <c r="AQ128" s="25"/>
      <c r="AR128" s="25"/>
      <c r="AS128" s="25"/>
      <c r="AT128" s="25"/>
      <c r="AU128" s="25"/>
      <c r="AV128" s="25"/>
      <c r="AW128" s="19" t="s">
        <v>2719</v>
      </c>
      <c r="AX128" s="19" t="s">
        <v>3017</v>
      </c>
      <c r="BA128" s="9" t="s">
        <v>3386</v>
      </c>
      <c r="BB128" s="9" t="s">
        <v>3387</v>
      </c>
    </row>
    <row r="129" spans="10:54" x14ac:dyDescent="0.25">
      <c r="J129" s="19" t="s">
        <v>488</v>
      </c>
      <c r="K129" s="17" t="s">
        <v>487</v>
      </c>
      <c r="M129" s="19" t="s">
        <v>803</v>
      </c>
      <c r="N129" s="19" t="s">
        <v>1036</v>
      </c>
      <c r="O129" s="25"/>
      <c r="P129" s="25"/>
      <c r="Q129" s="25"/>
      <c r="S129" s="19" t="s">
        <v>1355</v>
      </c>
      <c r="T129" s="19" t="s">
        <v>1534</v>
      </c>
      <c r="U129" s="25"/>
      <c r="V129" s="28"/>
      <c r="W129" s="25"/>
      <c r="Y129" s="31" t="s">
        <v>2274</v>
      </c>
      <c r="Z129" s="31" t="s">
        <v>2466</v>
      </c>
      <c r="AA129" s="25"/>
      <c r="AB129" s="29"/>
      <c r="AC129" s="26"/>
      <c r="AE129" s="19" t="s">
        <v>1847</v>
      </c>
      <c r="AF129" s="19" t="s">
        <v>1848</v>
      </c>
      <c r="AG129" s="25"/>
      <c r="AH129" s="25"/>
      <c r="AI129" s="26"/>
      <c r="AJ129" s="25"/>
      <c r="AK129" s="25"/>
      <c r="AL129" s="25"/>
      <c r="AM129" s="25"/>
      <c r="AN129" s="25"/>
      <c r="AO129" s="25"/>
      <c r="AP129" s="25"/>
      <c r="AQ129" s="25"/>
      <c r="AR129" s="25"/>
      <c r="AS129" s="25"/>
      <c r="AT129" s="25"/>
      <c r="AU129" s="25"/>
      <c r="AV129" s="25"/>
      <c r="AW129" s="19" t="s">
        <v>2720</v>
      </c>
      <c r="AX129" s="19" t="s">
        <v>3018</v>
      </c>
      <c r="BA129" s="9" t="s">
        <v>3388</v>
      </c>
      <c r="BB129" s="9" t="s">
        <v>3389</v>
      </c>
    </row>
    <row r="130" spans="10:54" x14ac:dyDescent="0.25">
      <c r="J130" s="19" t="s">
        <v>490</v>
      </c>
      <c r="K130" s="17" t="s">
        <v>489</v>
      </c>
      <c r="M130" s="19" t="s">
        <v>804</v>
      </c>
      <c r="N130" s="19" t="s">
        <v>1037</v>
      </c>
      <c r="O130" s="25"/>
      <c r="P130" s="25"/>
      <c r="Q130" s="25"/>
      <c r="S130" s="19" t="s">
        <v>1356</v>
      </c>
      <c r="T130" s="19" t="s">
        <v>1535</v>
      </c>
      <c r="U130" s="25"/>
      <c r="V130" s="28"/>
      <c r="W130" s="25"/>
      <c r="Y130" s="31" t="s">
        <v>2275</v>
      </c>
      <c r="Z130" s="31" t="s">
        <v>2467</v>
      </c>
      <c r="AA130" s="25"/>
      <c r="AB130" s="29"/>
      <c r="AC130" s="26"/>
      <c r="AE130" s="19" t="s">
        <v>1849</v>
      </c>
      <c r="AF130" s="19" t="s">
        <v>1850</v>
      </c>
      <c r="AG130" s="25"/>
      <c r="AH130" s="25"/>
      <c r="AI130" s="26"/>
      <c r="AJ130" s="25"/>
      <c r="AK130" s="25"/>
      <c r="AL130" s="25"/>
      <c r="AM130" s="25"/>
      <c r="AN130" s="25"/>
      <c r="AO130" s="25"/>
      <c r="AP130" s="25"/>
      <c r="AQ130" s="25"/>
      <c r="AR130" s="25"/>
      <c r="AS130" s="25"/>
      <c r="AT130" s="25"/>
      <c r="AU130" s="25"/>
      <c r="AV130" s="25"/>
      <c r="AW130" s="19" t="s">
        <v>2721</v>
      </c>
      <c r="AX130" s="19" t="s">
        <v>3019</v>
      </c>
      <c r="BA130" s="9" t="s">
        <v>3390</v>
      </c>
      <c r="BB130" s="9" t="s">
        <v>3391</v>
      </c>
    </row>
    <row r="131" spans="10:54" x14ac:dyDescent="0.25">
      <c r="J131" s="19" t="s">
        <v>492</v>
      </c>
      <c r="K131" s="17" t="s">
        <v>491</v>
      </c>
      <c r="M131" s="19" t="s">
        <v>805</v>
      </c>
      <c r="N131" s="19" t="s">
        <v>1038</v>
      </c>
      <c r="O131" s="25"/>
      <c r="P131" s="25"/>
      <c r="Q131" s="25"/>
      <c r="S131" s="19" t="s">
        <v>1357</v>
      </c>
      <c r="T131" s="19" t="s">
        <v>1536</v>
      </c>
      <c r="U131" s="25"/>
      <c r="V131" s="28"/>
      <c r="W131" s="25"/>
      <c r="Y131" s="31" t="s">
        <v>2276</v>
      </c>
      <c r="Z131" s="31" t="s">
        <v>2468</v>
      </c>
      <c r="AA131" s="25"/>
      <c r="AB131" s="29"/>
      <c r="AC131" s="26"/>
      <c r="AE131" s="19" t="s">
        <v>1851</v>
      </c>
      <c r="AF131" s="19" t="s">
        <v>1852</v>
      </c>
      <c r="AG131" s="25"/>
      <c r="AH131" s="25"/>
      <c r="AI131" s="26"/>
      <c r="AJ131" s="25"/>
      <c r="AK131" s="25"/>
      <c r="AL131" s="25"/>
      <c r="AM131" s="25"/>
      <c r="AN131" s="25"/>
      <c r="AO131" s="25"/>
      <c r="AP131" s="25"/>
      <c r="AQ131" s="25"/>
      <c r="AR131" s="25"/>
      <c r="AS131" s="25"/>
      <c r="AT131" s="25"/>
      <c r="AU131" s="25"/>
      <c r="AV131" s="25"/>
      <c r="AW131" s="19" t="s">
        <v>2722</v>
      </c>
      <c r="AX131" s="19" t="s">
        <v>3020</v>
      </c>
      <c r="BA131" s="9" t="s">
        <v>3392</v>
      </c>
      <c r="BB131" s="9" t="s">
        <v>3393</v>
      </c>
    </row>
    <row r="132" spans="10:54" x14ac:dyDescent="0.25">
      <c r="J132" s="19" t="s">
        <v>493</v>
      </c>
      <c r="K132" s="17" t="s">
        <v>493</v>
      </c>
      <c r="M132" s="19" t="s">
        <v>806</v>
      </c>
      <c r="N132" s="19" t="s">
        <v>1039</v>
      </c>
      <c r="O132" s="25"/>
      <c r="P132" s="25"/>
      <c r="Q132" s="25"/>
      <c r="S132" s="19" t="s">
        <v>1358</v>
      </c>
      <c r="T132" s="19" t="s">
        <v>1537</v>
      </c>
      <c r="U132" s="25"/>
      <c r="V132" s="28"/>
      <c r="W132" s="25"/>
      <c r="Y132" s="31" t="s">
        <v>2277</v>
      </c>
      <c r="Z132" s="31" t="s">
        <v>2469</v>
      </c>
      <c r="AA132" s="25"/>
      <c r="AB132" s="29"/>
      <c r="AC132" s="26"/>
      <c r="AE132" s="19" t="s">
        <v>1853</v>
      </c>
      <c r="AF132" s="19" t="s">
        <v>1854</v>
      </c>
      <c r="AG132" s="25"/>
      <c r="AH132" s="25"/>
      <c r="AI132" s="26"/>
      <c r="AJ132" s="25"/>
      <c r="AK132" s="25"/>
      <c r="AL132" s="25"/>
      <c r="AM132" s="25"/>
      <c r="AN132" s="25"/>
      <c r="AO132" s="25"/>
      <c r="AP132" s="25"/>
      <c r="AQ132" s="25"/>
      <c r="AR132" s="25"/>
      <c r="AS132" s="25"/>
      <c r="AT132" s="25"/>
      <c r="AU132" s="25"/>
      <c r="AV132" s="25"/>
      <c r="AW132" s="19" t="s">
        <v>2723</v>
      </c>
      <c r="AX132" s="19" t="s">
        <v>3021</v>
      </c>
      <c r="BA132" s="9" t="s">
        <v>3394</v>
      </c>
      <c r="BB132" s="9" t="s">
        <v>3395</v>
      </c>
    </row>
    <row r="133" spans="10:54" x14ac:dyDescent="0.25">
      <c r="J133" s="19" t="s">
        <v>495</v>
      </c>
      <c r="K133" s="17" t="s">
        <v>494</v>
      </c>
      <c r="M133" s="19" t="s">
        <v>807</v>
      </c>
      <c r="N133" s="19" t="s">
        <v>1040</v>
      </c>
      <c r="O133" s="25"/>
      <c r="P133" s="25"/>
      <c r="Q133" s="25"/>
      <c r="S133" s="19" t="s">
        <v>1359</v>
      </c>
      <c r="T133" s="19" t="s">
        <v>1538</v>
      </c>
      <c r="U133" s="25"/>
      <c r="V133" s="28"/>
      <c r="W133" s="25"/>
      <c r="Y133" s="31" t="s">
        <v>2278</v>
      </c>
      <c r="Z133" s="31" t="s">
        <v>2470</v>
      </c>
      <c r="AA133" s="25"/>
      <c r="AB133" s="29"/>
      <c r="AC133" s="26"/>
      <c r="AE133" s="19" t="s">
        <v>1855</v>
      </c>
      <c r="AF133" s="19" t="s">
        <v>1856</v>
      </c>
      <c r="AG133" s="25"/>
      <c r="AH133" s="25"/>
      <c r="AI133" s="26"/>
      <c r="AJ133" s="25"/>
      <c r="AK133" s="25"/>
      <c r="AL133" s="25"/>
      <c r="AM133" s="25"/>
      <c r="AN133" s="25"/>
      <c r="AO133" s="25"/>
      <c r="AP133" s="25"/>
      <c r="AQ133" s="25"/>
      <c r="AR133" s="25"/>
      <c r="AS133" s="25"/>
      <c r="AT133" s="25"/>
      <c r="AU133" s="25"/>
      <c r="AV133" s="25"/>
      <c r="AW133" s="19" t="s">
        <v>2724</v>
      </c>
      <c r="AX133" s="19" t="s">
        <v>3022</v>
      </c>
      <c r="BA133" s="9" t="s">
        <v>3396</v>
      </c>
      <c r="BB133" s="9" t="s">
        <v>3397</v>
      </c>
    </row>
    <row r="134" spans="10:54" x14ac:dyDescent="0.25">
      <c r="J134" s="19" t="s">
        <v>497</v>
      </c>
      <c r="K134" s="17" t="s">
        <v>496</v>
      </c>
      <c r="M134" s="19" t="s">
        <v>808</v>
      </c>
      <c r="N134" s="19" t="s">
        <v>1041</v>
      </c>
      <c r="O134" s="25"/>
      <c r="P134" s="25"/>
      <c r="Q134" s="25"/>
      <c r="S134" s="19" t="s">
        <v>1360</v>
      </c>
      <c r="T134" s="19" t="s">
        <v>1539</v>
      </c>
      <c r="U134" s="25"/>
      <c r="V134" s="28"/>
      <c r="W134" s="25"/>
      <c r="Y134" s="31" t="s">
        <v>2279</v>
      </c>
      <c r="Z134" s="31" t="s">
        <v>2471</v>
      </c>
      <c r="AA134" s="25"/>
      <c r="AB134" s="29"/>
      <c r="AC134" s="26"/>
      <c r="AE134" s="19" t="s">
        <v>1857</v>
      </c>
      <c r="AF134" s="19" t="s">
        <v>1858</v>
      </c>
      <c r="AG134" s="25"/>
      <c r="AH134" s="25"/>
      <c r="AI134" s="26"/>
      <c r="AJ134" s="25"/>
      <c r="AK134" s="25"/>
      <c r="AL134" s="25"/>
      <c r="AM134" s="25"/>
      <c r="AN134" s="25"/>
      <c r="AO134" s="25"/>
      <c r="AP134" s="25"/>
      <c r="AQ134" s="25"/>
      <c r="AR134" s="25"/>
      <c r="AS134" s="25"/>
      <c r="AT134" s="25"/>
      <c r="AU134" s="25"/>
      <c r="AV134" s="25"/>
      <c r="AW134" s="19" t="s">
        <v>2725</v>
      </c>
      <c r="AX134" s="19" t="s">
        <v>3023</v>
      </c>
      <c r="BA134" s="9" t="s">
        <v>3398</v>
      </c>
      <c r="BB134" s="9" t="s">
        <v>3399</v>
      </c>
    </row>
    <row r="135" spans="10:54" x14ac:dyDescent="0.25">
      <c r="J135" s="19" t="s">
        <v>499</v>
      </c>
      <c r="K135" s="17" t="s">
        <v>498</v>
      </c>
      <c r="M135" s="19" t="s">
        <v>809</v>
      </c>
      <c r="N135" s="19" t="s">
        <v>1042</v>
      </c>
      <c r="O135" s="25"/>
      <c r="P135" s="25"/>
      <c r="Q135" s="25"/>
      <c r="S135" s="19" t="s">
        <v>1361</v>
      </c>
      <c r="T135" s="19" t="s">
        <v>1540</v>
      </c>
      <c r="U135" s="25"/>
      <c r="V135" s="28"/>
      <c r="W135" s="25"/>
      <c r="Y135" s="31" t="s">
        <v>2280</v>
      </c>
      <c r="Z135" s="31" t="s">
        <v>2472</v>
      </c>
      <c r="AA135" s="25"/>
      <c r="AB135" s="29"/>
      <c r="AC135" s="26"/>
      <c r="AE135" s="19" t="s">
        <v>1859</v>
      </c>
      <c r="AF135" s="19" t="s">
        <v>1860</v>
      </c>
      <c r="AG135" s="25"/>
      <c r="AH135" s="25"/>
      <c r="AI135" s="26"/>
      <c r="AJ135" s="25"/>
      <c r="AK135" s="25"/>
      <c r="AL135" s="25"/>
      <c r="AM135" s="25"/>
      <c r="AN135" s="25"/>
      <c r="AO135" s="25"/>
      <c r="AP135" s="25"/>
      <c r="AQ135" s="25"/>
      <c r="AR135" s="25"/>
      <c r="AS135" s="25"/>
      <c r="AT135" s="25"/>
      <c r="AU135" s="25"/>
      <c r="AV135" s="25"/>
      <c r="AW135" s="19" t="s">
        <v>2726</v>
      </c>
      <c r="AX135" s="19" t="s">
        <v>3024</v>
      </c>
      <c r="BA135" s="9" t="s">
        <v>3400</v>
      </c>
      <c r="BB135" s="9" t="s">
        <v>3401</v>
      </c>
    </row>
    <row r="136" spans="10:54" x14ac:dyDescent="0.25">
      <c r="J136" s="19" t="s">
        <v>501</v>
      </c>
      <c r="K136" s="17" t="s">
        <v>500</v>
      </c>
      <c r="M136" s="19" t="s">
        <v>810</v>
      </c>
      <c r="N136" s="19" t="s">
        <v>1043</v>
      </c>
      <c r="O136" s="25"/>
      <c r="P136" s="25"/>
      <c r="Q136" s="25"/>
      <c r="S136" s="19" t="s">
        <v>1362</v>
      </c>
      <c r="T136" s="19" t="s">
        <v>1541</v>
      </c>
      <c r="U136" s="25"/>
      <c r="V136" s="28"/>
      <c r="W136" s="25"/>
      <c r="Y136" s="31" t="s">
        <v>2281</v>
      </c>
      <c r="Z136" s="31" t="s">
        <v>2473</v>
      </c>
      <c r="AA136" s="25"/>
      <c r="AB136" s="29"/>
      <c r="AC136" s="26"/>
      <c r="AE136" s="19" t="s">
        <v>1861</v>
      </c>
      <c r="AF136" s="19" t="s">
        <v>1862</v>
      </c>
      <c r="AG136" s="25"/>
      <c r="AH136" s="25"/>
      <c r="AI136" s="26"/>
      <c r="AJ136" s="25"/>
      <c r="AK136" s="25"/>
      <c r="AL136" s="25"/>
      <c r="AM136" s="25"/>
      <c r="AN136" s="25"/>
      <c r="AO136" s="25"/>
      <c r="AP136" s="25"/>
      <c r="AQ136" s="25"/>
      <c r="AR136" s="25"/>
      <c r="AS136" s="25"/>
      <c r="AT136" s="25"/>
      <c r="AU136" s="25"/>
      <c r="AV136" s="25"/>
      <c r="AW136" s="19" t="s">
        <v>2727</v>
      </c>
      <c r="AX136" s="19" t="s">
        <v>3025</v>
      </c>
      <c r="BA136" s="9" t="s">
        <v>3402</v>
      </c>
      <c r="BB136" s="9" t="s">
        <v>3403</v>
      </c>
    </row>
    <row r="137" spans="10:54" x14ac:dyDescent="0.25">
      <c r="J137" s="19" t="s">
        <v>503</v>
      </c>
      <c r="K137" s="17" t="s">
        <v>502</v>
      </c>
      <c r="M137" s="19" t="s">
        <v>811</v>
      </c>
      <c r="N137" s="19" t="s">
        <v>1044</v>
      </c>
      <c r="O137" s="25"/>
      <c r="P137" s="25"/>
      <c r="Q137" s="25"/>
      <c r="S137" s="19" t="s">
        <v>1363</v>
      </c>
      <c r="T137" s="19" t="s">
        <v>1542</v>
      </c>
      <c r="U137" s="25"/>
      <c r="V137" s="28"/>
      <c r="W137" s="25"/>
      <c r="Y137" s="31" t="s">
        <v>2282</v>
      </c>
      <c r="Z137" s="31" t="s">
        <v>2474</v>
      </c>
      <c r="AA137" s="25"/>
      <c r="AB137" s="29"/>
      <c r="AC137" s="26"/>
      <c r="AE137" s="19" t="s">
        <v>1863</v>
      </c>
      <c r="AF137" s="19" t="s">
        <v>1864</v>
      </c>
      <c r="AG137" s="25"/>
      <c r="AH137" s="25"/>
      <c r="AI137" s="26"/>
      <c r="AJ137" s="25"/>
      <c r="AK137" s="25"/>
      <c r="AL137" s="25"/>
      <c r="AM137" s="25"/>
      <c r="AN137" s="25"/>
      <c r="AO137" s="25"/>
      <c r="AP137" s="25"/>
      <c r="AQ137" s="25"/>
      <c r="AR137" s="25"/>
      <c r="AS137" s="25"/>
      <c r="AT137" s="25"/>
      <c r="AU137" s="25"/>
      <c r="AV137" s="25"/>
      <c r="AW137" s="19" t="s">
        <v>2728</v>
      </c>
      <c r="AX137" s="19" t="s">
        <v>3026</v>
      </c>
      <c r="BA137" s="9" t="s">
        <v>3404</v>
      </c>
      <c r="BB137" s="9" t="s">
        <v>3405</v>
      </c>
    </row>
    <row r="138" spans="10:54" ht="30" x14ac:dyDescent="0.25">
      <c r="J138" s="19" t="s">
        <v>505</v>
      </c>
      <c r="K138" s="17" t="s">
        <v>504</v>
      </c>
      <c r="M138" s="19" t="s">
        <v>812</v>
      </c>
      <c r="N138" s="19" t="s">
        <v>1045</v>
      </c>
      <c r="O138" s="25"/>
      <c r="P138" s="25"/>
      <c r="Q138" s="25"/>
      <c r="S138" s="19" t="s">
        <v>1364</v>
      </c>
      <c r="T138" s="19" t="s">
        <v>1543</v>
      </c>
      <c r="U138" s="25"/>
      <c r="V138" s="28"/>
      <c r="W138" s="25"/>
      <c r="Y138" s="31" t="s">
        <v>2283</v>
      </c>
      <c r="Z138" s="31" t="s">
        <v>2475</v>
      </c>
      <c r="AA138" s="25"/>
      <c r="AB138" s="29"/>
      <c r="AC138" s="26"/>
      <c r="AE138" s="19" t="s">
        <v>1865</v>
      </c>
      <c r="AF138" s="19" t="s">
        <v>1866</v>
      </c>
      <c r="AG138" s="25"/>
      <c r="AH138" s="25"/>
      <c r="AI138" s="26"/>
      <c r="AJ138" s="25"/>
      <c r="AK138" s="25"/>
      <c r="AL138" s="25"/>
      <c r="AM138" s="25"/>
      <c r="AN138" s="25"/>
      <c r="AO138" s="25"/>
      <c r="AP138" s="25"/>
      <c r="AQ138" s="25"/>
      <c r="AR138" s="25"/>
      <c r="AS138" s="25"/>
      <c r="AT138" s="25"/>
      <c r="AU138" s="25"/>
      <c r="AV138" s="25"/>
      <c r="AW138" s="19" t="s">
        <v>2729</v>
      </c>
      <c r="AX138" s="19" t="s">
        <v>3027</v>
      </c>
      <c r="BA138" s="9" t="s">
        <v>3406</v>
      </c>
      <c r="BB138" s="9" t="s">
        <v>3407</v>
      </c>
    </row>
    <row r="139" spans="10:54" x14ac:dyDescent="0.25">
      <c r="J139" s="19" t="s">
        <v>507</v>
      </c>
      <c r="K139" s="17" t="s">
        <v>506</v>
      </c>
      <c r="M139" s="19" t="s">
        <v>813</v>
      </c>
      <c r="N139" s="19" t="s">
        <v>1046</v>
      </c>
      <c r="O139" s="25"/>
      <c r="P139" s="25"/>
      <c r="Q139" s="25"/>
      <c r="S139" s="19" t="s">
        <v>1365</v>
      </c>
      <c r="T139" s="19" t="s">
        <v>1544</v>
      </c>
      <c r="U139" s="25"/>
      <c r="V139" s="28"/>
      <c r="W139" s="25"/>
      <c r="Y139" s="31" t="s">
        <v>2284</v>
      </c>
      <c r="Z139" s="31" t="s">
        <v>2476</v>
      </c>
      <c r="AA139" s="25"/>
      <c r="AB139" s="29"/>
      <c r="AC139" s="26"/>
      <c r="AE139" s="19" t="s">
        <v>1867</v>
      </c>
      <c r="AF139" s="19" t="s">
        <v>1868</v>
      </c>
      <c r="AG139" s="25"/>
      <c r="AH139" s="25"/>
      <c r="AI139" s="26"/>
      <c r="AJ139" s="25"/>
      <c r="AK139" s="25"/>
      <c r="AL139" s="25"/>
      <c r="AM139" s="25"/>
      <c r="AN139" s="25"/>
      <c r="AO139" s="25"/>
      <c r="AP139" s="25"/>
      <c r="AQ139" s="25"/>
      <c r="AR139" s="25"/>
      <c r="AS139" s="25"/>
      <c r="AT139" s="25"/>
      <c r="AU139" s="25"/>
      <c r="AV139" s="25"/>
      <c r="AW139" s="19" t="s">
        <v>2730</v>
      </c>
      <c r="AX139" s="19" t="s">
        <v>3028</v>
      </c>
      <c r="BA139" s="9" t="s">
        <v>3408</v>
      </c>
      <c r="BB139" s="9" t="s">
        <v>3409</v>
      </c>
    </row>
    <row r="140" spans="10:54" x14ac:dyDescent="0.25">
      <c r="J140" s="19" t="s">
        <v>509</v>
      </c>
      <c r="K140" s="17" t="s">
        <v>508</v>
      </c>
      <c r="M140" s="19" t="s">
        <v>814</v>
      </c>
      <c r="N140" s="19" t="s">
        <v>1047</v>
      </c>
      <c r="O140" s="25"/>
      <c r="P140" s="25"/>
      <c r="Q140" s="25"/>
      <c r="S140" s="19" t="s">
        <v>1366</v>
      </c>
      <c r="T140" s="19" t="s">
        <v>1545</v>
      </c>
      <c r="U140" s="25"/>
      <c r="V140" s="28"/>
      <c r="W140" s="25"/>
      <c r="Y140" s="31" t="s">
        <v>2285</v>
      </c>
      <c r="Z140" s="31" t="s">
        <v>2477</v>
      </c>
      <c r="AA140" s="25"/>
      <c r="AB140" s="29"/>
      <c r="AC140" s="26"/>
      <c r="AE140" s="19" t="s">
        <v>1869</v>
      </c>
      <c r="AF140" s="19" t="s">
        <v>1870</v>
      </c>
      <c r="AG140" s="25"/>
      <c r="AH140" s="25"/>
      <c r="AI140" s="26"/>
      <c r="AJ140" s="25"/>
      <c r="AK140" s="25"/>
      <c r="AL140" s="25"/>
      <c r="AM140" s="25"/>
      <c r="AN140" s="25"/>
      <c r="AO140" s="25"/>
      <c r="AP140" s="25"/>
      <c r="AQ140" s="25"/>
      <c r="AR140" s="25"/>
      <c r="AS140" s="25"/>
      <c r="AT140" s="25"/>
      <c r="AU140" s="25"/>
      <c r="AV140" s="25"/>
      <c r="AW140" s="19" t="s">
        <v>2731</v>
      </c>
      <c r="AX140" s="19" t="s">
        <v>3029</v>
      </c>
      <c r="BA140" s="9" t="s">
        <v>3410</v>
      </c>
      <c r="BB140" s="9" t="s">
        <v>3411</v>
      </c>
    </row>
    <row r="141" spans="10:54" x14ac:dyDescent="0.25">
      <c r="J141" s="19" t="s">
        <v>511</v>
      </c>
      <c r="K141" s="17" t="s">
        <v>510</v>
      </c>
      <c r="M141" s="19" t="s">
        <v>815</v>
      </c>
      <c r="N141" s="19" t="s">
        <v>1048</v>
      </c>
      <c r="O141" s="25"/>
      <c r="P141" s="25"/>
      <c r="Q141" s="25"/>
      <c r="S141" s="19" t="s">
        <v>1367</v>
      </c>
      <c r="T141" s="19" t="s">
        <v>1546</v>
      </c>
      <c r="U141" s="25"/>
      <c r="V141" s="28"/>
      <c r="W141" s="25"/>
      <c r="Y141" s="31" t="s">
        <v>2286</v>
      </c>
      <c r="Z141" s="31" t="s">
        <v>2478</v>
      </c>
      <c r="AA141" s="25"/>
      <c r="AB141" s="29"/>
      <c r="AC141" s="26"/>
      <c r="AE141" s="19" t="s">
        <v>1871</v>
      </c>
      <c r="AF141" s="19" t="s">
        <v>1872</v>
      </c>
      <c r="AG141" s="25"/>
      <c r="AH141" s="25"/>
      <c r="AI141" s="26"/>
      <c r="AJ141" s="25"/>
      <c r="AK141" s="25"/>
      <c r="AL141" s="25"/>
      <c r="AM141" s="25"/>
      <c r="AN141" s="25"/>
      <c r="AO141" s="25"/>
      <c r="AP141" s="25"/>
      <c r="AQ141" s="25"/>
      <c r="AR141" s="25"/>
      <c r="AS141" s="25"/>
      <c r="AT141" s="25"/>
      <c r="AU141" s="25"/>
      <c r="AV141" s="25"/>
      <c r="AW141" s="19" t="s">
        <v>2732</v>
      </c>
      <c r="AX141" s="19" t="s">
        <v>3030</v>
      </c>
      <c r="BA141" s="9" t="s">
        <v>3412</v>
      </c>
      <c r="BB141" s="9" t="s">
        <v>3413</v>
      </c>
    </row>
    <row r="142" spans="10:54" x14ac:dyDescent="0.25">
      <c r="J142" s="19" t="s">
        <v>512</v>
      </c>
      <c r="K142" s="17" t="s">
        <v>674</v>
      </c>
      <c r="M142" s="19" t="s">
        <v>816</v>
      </c>
      <c r="N142" s="19" t="s">
        <v>1049</v>
      </c>
      <c r="O142" s="25"/>
      <c r="P142" s="25"/>
      <c r="Q142" s="25"/>
      <c r="S142" s="19" t="s">
        <v>1368</v>
      </c>
      <c r="T142" s="19" t="s">
        <v>1547</v>
      </c>
      <c r="U142" s="25"/>
      <c r="V142" s="28"/>
      <c r="W142" s="25"/>
      <c r="Y142" s="31" t="s">
        <v>2287</v>
      </c>
      <c r="Z142" s="31" t="s">
        <v>2479</v>
      </c>
      <c r="AA142" s="25"/>
      <c r="AB142" s="29"/>
      <c r="AC142" s="26"/>
      <c r="AE142" s="19" t="s">
        <v>1873</v>
      </c>
      <c r="AF142" s="19" t="s">
        <v>1874</v>
      </c>
      <c r="AG142" s="25"/>
      <c r="AH142" s="25"/>
      <c r="AI142" s="26"/>
      <c r="AJ142" s="25"/>
      <c r="AK142" s="25"/>
      <c r="AL142" s="25"/>
      <c r="AM142" s="25"/>
      <c r="AN142" s="25"/>
      <c r="AO142" s="25"/>
      <c r="AP142" s="25"/>
      <c r="AQ142" s="25"/>
      <c r="AR142" s="25"/>
      <c r="AS142" s="25"/>
      <c r="AT142" s="25"/>
      <c r="AU142" s="25"/>
      <c r="AV142" s="25"/>
      <c r="AW142" s="19" t="s">
        <v>2733</v>
      </c>
      <c r="AX142" s="19" t="s">
        <v>3031</v>
      </c>
      <c r="BA142" s="9" t="s">
        <v>3414</v>
      </c>
      <c r="BB142" s="9" t="s">
        <v>3415</v>
      </c>
    </row>
    <row r="143" spans="10:54" x14ac:dyDescent="0.25">
      <c r="J143" s="19" t="s">
        <v>514</v>
      </c>
      <c r="K143" s="17" t="s">
        <v>513</v>
      </c>
      <c r="M143" s="19" t="s">
        <v>817</v>
      </c>
      <c r="N143" s="19" t="s">
        <v>1050</v>
      </c>
      <c r="O143" s="25"/>
      <c r="P143" s="25"/>
      <c r="Q143" s="25"/>
      <c r="S143" s="19" t="s">
        <v>1369</v>
      </c>
      <c r="T143" s="19" t="s">
        <v>1548</v>
      </c>
      <c r="U143" s="25"/>
      <c r="V143" s="28"/>
      <c r="W143" s="25"/>
      <c r="Y143" s="31" t="s">
        <v>2288</v>
      </c>
      <c r="Z143" s="31" t="s">
        <v>2480</v>
      </c>
      <c r="AA143" s="25"/>
      <c r="AB143" s="29"/>
      <c r="AC143" s="26"/>
      <c r="AE143" s="19" t="s">
        <v>1875</v>
      </c>
      <c r="AF143" s="19" t="s">
        <v>1876</v>
      </c>
      <c r="AG143" s="25"/>
      <c r="AH143" s="25"/>
      <c r="AI143" s="26"/>
      <c r="AJ143" s="25"/>
      <c r="AK143" s="25"/>
      <c r="AL143" s="25"/>
      <c r="AM143" s="25"/>
      <c r="AN143" s="25"/>
      <c r="AO143" s="25"/>
      <c r="AP143" s="25"/>
      <c r="AQ143" s="25"/>
      <c r="AR143" s="25"/>
      <c r="AS143" s="25"/>
      <c r="AT143" s="25"/>
      <c r="AU143" s="25"/>
      <c r="AV143" s="25"/>
      <c r="AW143" s="19" t="s">
        <v>2734</v>
      </c>
      <c r="AX143" s="19" t="s">
        <v>3032</v>
      </c>
      <c r="BA143" s="9" t="s">
        <v>3416</v>
      </c>
      <c r="BB143" s="9" t="s">
        <v>3417</v>
      </c>
    </row>
    <row r="144" spans="10:54" x14ac:dyDescent="0.25">
      <c r="J144" s="19" t="s">
        <v>515</v>
      </c>
      <c r="K144" s="17" t="s">
        <v>515</v>
      </c>
      <c r="M144" s="19" t="s">
        <v>818</v>
      </c>
      <c r="N144" s="19" t="s">
        <v>1051</v>
      </c>
      <c r="O144" s="25"/>
      <c r="P144" s="25"/>
      <c r="Q144" s="25"/>
      <c r="S144" s="19" t="s">
        <v>1370</v>
      </c>
      <c r="T144" s="19" t="s">
        <v>1549</v>
      </c>
      <c r="U144" s="25"/>
      <c r="V144" s="28"/>
      <c r="W144" s="25"/>
      <c r="Y144" s="31" t="s">
        <v>2289</v>
      </c>
      <c r="Z144" s="31" t="s">
        <v>2481</v>
      </c>
      <c r="AA144" s="25"/>
      <c r="AB144" s="29"/>
      <c r="AC144" s="26"/>
      <c r="AE144" s="19" t="s">
        <v>1877</v>
      </c>
      <c r="AF144" s="19" t="s">
        <v>1878</v>
      </c>
      <c r="AG144" s="25"/>
      <c r="AH144" s="25"/>
      <c r="AI144" s="26"/>
      <c r="AJ144" s="25"/>
      <c r="AK144" s="25"/>
      <c r="AL144" s="25"/>
      <c r="AM144" s="25"/>
      <c r="AN144" s="25"/>
      <c r="AO144" s="25"/>
      <c r="AP144" s="25"/>
      <c r="AQ144" s="25"/>
      <c r="AR144" s="25"/>
      <c r="AS144" s="25"/>
      <c r="AT144" s="25"/>
      <c r="AU144" s="25"/>
      <c r="AV144" s="25"/>
      <c r="AW144" s="19" t="s">
        <v>2735</v>
      </c>
      <c r="AX144" s="19" t="s">
        <v>3033</v>
      </c>
      <c r="BA144" s="9" t="s">
        <v>3418</v>
      </c>
      <c r="BB144" s="9" t="s">
        <v>3419</v>
      </c>
    </row>
    <row r="145" spans="10:54" x14ac:dyDescent="0.25">
      <c r="J145" s="19" t="s">
        <v>517</v>
      </c>
      <c r="K145" s="17" t="s">
        <v>516</v>
      </c>
      <c r="M145" s="19" t="s">
        <v>819</v>
      </c>
      <c r="N145" s="19" t="s">
        <v>1052</v>
      </c>
      <c r="O145" s="25"/>
      <c r="P145" s="25"/>
      <c r="Q145" s="25"/>
      <c r="S145" s="19" t="s">
        <v>1371</v>
      </c>
      <c r="T145" s="19" t="s">
        <v>1550</v>
      </c>
      <c r="U145" s="25"/>
      <c r="V145" s="28"/>
      <c r="W145" s="25"/>
      <c r="Y145" s="31" t="s">
        <v>2290</v>
      </c>
      <c r="Z145" s="31" t="s">
        <v>2482</v>
      </c>
      <c r="AA145" s="25"/>
      <c r="AB145" s="29"/>
      <c r="AC145" s="26"/>
      <c r="AE145" s="19" t="s">
        <v>1879</v>
      </c>
      <c r="AF145" s="19" t="s">
        <v>1880</v>
      </c>
      <c r="AG145" s="25"/>
      <c r="AH145" s="25"/>
      <c r="AI145" s="26"/>
      <c r="AJ145" s="25"/>
      <c r="AK145" s="25"/>
      <c r="AL145" s="25"/>
      <c r="AM145" s="25"/>
      <c r="AN145" s="25"/>
      <c r="AO145" s="25"/>
      <c r="AP145" s="25"/>
      <c r="AQ145" s="25"/>
      <c r="AR145" s="25"/>
      <c r="AS145" s="25"/>
      <c r="AT145" s="25"/>
      <c r="AU145" s="25"/>
      <c r="AV145" s="25"/>
      <c r="AW145" s="19" t="s">
        <v>2736</v>
      </c>
      <c r="AX145" s="19" t="s">
        <v>3034</v>
      </c>
      <c r="BA145" s="9" t="s">
        <v>3420</v>
      </c>
      <c r="BB145" s="9" t="s">
        <v>3421</v>
      </c>
    </row>
    <row r="146" spans="10:54" x14ac:dyDescent="0.25">
      <c r="J146" s="19" t="s">
        <v>2855</v>
      </c>
      <c r="K146" s="17" t="s">
        <v>2856</v>
      </c>
      <c r="M146" s="19" t="s">
        <v>820</v>
      </c>
      <c r="N146" s="19" t="s">
        <v>1053</v>
      </c>
      <c r="O146" s="25"/>
      <c r="P146" s="25"/>
      <c r="Q146" s="25"/>
      <c r="S146" s="19" t="s">
        <v>1372</v>
      </c>
      <c r="T146" s="19" t="s">
        <v>1551</v>
      </c>
      <c r="U146" s="25"/>
      <c r="V146" s="28"/>
      <c r="W146" s="25"/>
      <c r="Y146" s="31" t="s">
        <v>2291</v>
      </c>
      <c r="Z146" s="31" t="s">
        <v>2483</v>
      </c>
      <c r="AA146" s="25"/>
      <c r="AB146" s="29"/>
      <c r="AC146" s="26"/>
      <c r="AE146" s="19" t="s">
        <v>1881</v>
      </c>
      <c r="AF146" s="19" t="s">
        <v>1882</v>
      </c>
      <c r="AG146" s="25"/>
      <c r="AH146" s="25"/>
      <c r="AI146" s="26"/>
      <c r="AJ146" s="25"/>
      <c r="AK146" s="25"/>
      <c r="AL146" s="25"/>
      <c r="AM146" s="25"/>
      <c r="AN146" s="25"/>
      <c r="AO146" s="25"/>
      <c r="AP146" s="25"/>
      <c r="AQ146" s="25"/>
      <c r="AR146" s="25"/>
      <c r="AS146" s="25"/>
      <c r="AT146" s="25"/>
      <c r="AU146" s="25"/>
      <c r="AV146" s="25"/>
      <c r="AW146" s="19" t="s">
        <v>2737</v>
      </c>
      <c r="AX146" s="19" t="s">
        <v>3035</v>
      </c>
      <c r="BA146" s="9" t="s">
        <v>3422</v>
      </c>
      <c r="BB146" s="9" t="s">
        <v>3423</v>
      </c>
    </row>
    <row r="147" spans="10:54" x14ac:dyDescent="0.25">
      <c r="J147" s="19" t="s">
        <v>2857</v>
      </c>
      <c r="K147" s="17" t="s">
        <v>2857</v>
      </c>
      <c r="M147" s="19" t="s">
        <v>821</v>
      </c>
      <c r="N147" s="19" t="s">
        <v>1054</v>
      </c>
      <c r="O147" s="25"/>
      <c r="P147" s="25"/>
      <c r="Q147" s="25"/>
      <c r="S147" s="19" t="s">
        <v>1373</v>
      </c>
      <c r="T147" s="19" t="s">
        <v>1552</v>
      </c>
      <c r="U147" s="25"/>
      <c r="V147" s="28"/>
      <c r="W147" s="25"/>
      <c r="Y147" s="31" t="s">
        <v>2292</v>
      </c>
      <c r="Z147" s="31" t="s">
        <v>2484</v>
      </c>
      <c r="AA147" s="25"/>
      <c r="AB147" s="29"/>
      <c r="AC147" s="26"/>
      <c r="AE147" s="19" t="s">
        <v>1883</v>
      </c>
      <c r="AF147" s="19" t="s">
        <v>1884</v>
      </c>
      <c r="AG147" s="25"/>
      <c r="AH147" s="25"/>
      <c r="AI147" s="26"/>
      <c r="AJ147" s="25"/>
      <c r="AK147" s="25"/>
      <c r="AL147" s="25"/>
      <c r="AM147" s="25"/>
      <c r="AN147" s="25"/>
      <c r="AO147" s="25"/>
      <c r="AP147" s="25"/>
      <c r="AQ147" s="25"/>
      <c r="AR147" s="25"/>
      <c r="AS147" s="25"/>
      <c r="AT147" s="25"/>
      <c r="AU147" s="25"/>
      <c r="AV147" s="25"/>
      <c r="AW147" s="19" t="s">
        <v>2738</v>
      </c>
      <c r="AX147" s="19" t="s">
        <v>3036</v>
      </c>
      <c r="BA147" s="9" t="s">
        <v>3424</v>
      </c>
      <c r="BB147" s="9" t="s">
        <v>3425</v>
      </c>
    </row>
    <row r="148" spans="10:54" x14ac:dyDescent="0.25">
      <c r="J148" s="19" t="s">
        <v>3656</v>
      </c>
      <c r="K148" s="17" t="s">
        <v>3657</v>
      </c>
      <c r="M148" s="19" t="s">
        <v>822</v>
      </c>
      <c r="N148" s="19" t="s">
        <v>1055</v>
      </c>
      <c r="O148" s="25"/>
      <c r="P148" s="25"/>
      <c r="Q148" s="25"/>
      <c r="S148" s="19" t="s">
        <v>1374</v>
      </c>
      <c r="T148" s="19" t="s">
        <v>1553</v>
      </c>
      <c r="U148" s="25"/>
      <c r="V148" s="28"/>
      <c r="W148" s="25"/>
      <c r="Y148" s="31" t="s">
        <v>2293</v>
      </c>
      <c r="Z148" s="31" t="s">
        <v>2485</v>
      </c>
      <c r="AA148" s="25"/>
      <c r="AB148" s="29"/>
      <c r="AC148" s="26"/>
      <c r="AE148" s="19" t="s">
        <v>1885</v>
      </c>
      <c r="AF148" s="19" t="s">
        <v>1886</v>
      </c>
      <c r="AG148" s="25"/>
      <c r="AH148" s="25"/>
      <c r="AI148" s="26"/>
      <c r="AJ148" s="25"/>
      <c r="AK148" s="25"/>
      <c r="AL148" s="25"/>
      <c r="AM148" s="25"/>
      <c r="AN148" s="25"/>
      <c r="AO148" s="25"/>
      <c r="AP148" s="25"/>
      <c r="AQ148" s="25"/>
      <c r="AR148" s="25"/>
      <c r="AS148" s="25"/>
      <c r="AT148" s="25"/>
      <c r="AU148" s="25"/>
      <c r="AV148" s="25"/>
      <c r="AW148" s="19" t="s">
        <v>2739</v>
      </c>
      <c r="AX148" s="19" t="s">
        <v>3037</v>
      </c>
      <c r="BA148" s="9" t="s">
        <v>3426</v>
      </c>
      <c r="BB148" s="9" t="s">
        <v>3427</v>
      </c>
    </row>
    <row r="149" spans="10:54" x14ac:dyDescent="0.25">
      <c r="J149" s="19" t="s">
        <v>3658</v>
      </c>
      <c r="K149" s="17" t="s">
        <v>3659</v>
      </c>
      <c r="M149" s="19" t="s">
        <v>823</v>
      </c>
      <c r="N149" s="19" t="s">
        <v>1056</v>
      </c>
      <c r="O149" s="25"/>
      <c r="P149" s="25"/>
      <c r="Q149" s="25"/>
      <c r="S149" s="19" t="s">
        <v>1375</v>
      </c>
      <c r="T149" s="19" t="s">
        <v>1554</v>
      </c>
      <c r="U149" s="25"/>
      <c r="V149" s="28"/>
      <c r="W149" s="25"/>
      <c r="Y149" s="31" t="s">
        <v>2294</v>
      </c>
      <c r="Z149" s="31" t="s">
        <v>2486</v>
      </c>
      <c r="AA149" s="25"/>
      <c r="AB149" s="29"/>
      <c r="AC149" s="26"/>
      <c r="AE149" s="19" t="s">
        <v>1887</v>
      </c>
      <c r="AF149" s="19" t="s">
        <v>1888</v>
      </c>
      <c r="AG149" s="25"/>
      <c r="AH149" s="25"/>
      <c r="AI149" s="26"/>
      <c r="AJ149" s="25"/>
      <c r="AK149" s="25"/>
      <c r="AL149" s="25"/>
      <c r="AM149" s="25"/>
      <c r="AN149" s="25"/>
      <c r="AO149" s="25"/>
      <c r="AP149" s="25"/>
      <c r="AQ149" s="25"/>
      <c r="AR149" s="25"/>
      <c r="AS149" s="25"/>
      <c r="AT149" s="25"/>
      <c r="AU149" s="25"/>
      <c r="AV149" s="25"/>
      <c r="AW149" s="19" t="s">
        <v>2740</v>
      </c>
      <c r="AX149" s="19" t="s">
        <v>3038</v>
      </c>
      <c r="BA149" s="9" t="s">
        <v>3428</v>
      </c>
      <c r="BB149" s="9" t="s">
        <v>3429</v>
      </c>
    </row>
    <row r="150" spans="10:54" x14ac:dyDescent="0.25">
      <c r="J150" s="25"/>
      <c r="K150" s="26"/>
      <c r="M150" s="19" t="s">
        <v>824</v>
      </c>
      <c r="N150" s="19" t="s">
        <v>1057</v>
      </c>
      <c r="O150" s="25"/>
      <c r="P150" s="25"/>
      <c r="Q150" s="25"/>
      <c r="S150" s="19" t="s">
        <v>1376</v>
      </c>
      <c r="T150" s="19" t="s">
        <v>1555</v>
      </c>
      <c r="U150" s="25"/>
      <c r="V150" s="28"/>
      <c r="W150" s="25"/>
      <c r="Y150" s="31" t="s">
        <v>2295</v>
      </c>
      <c r="Z150" s="31" t="s">
        <v>2487</v>
      </c>
      <c r="AA150" s="25"/>
      <c r="AB150" s="29"/>
      <c r="AC150" s="26"/>
      <c r="AE150" s="19" t="s">
        <v>1889</v>
      </c>
      <c r="AF150" s="19" t="s">
        <v>1890</v>
      </c>
      <c r="AG150" s="25"/>
      <c r="AH150" s="25"/>
      <c r="AI150" s="26"/>
      <c r="AJ150" s="25"/>
      <c r="AK150" s="25"/>
      <c r="AL150" s="25"/>
      <c r="AM150" s="25"/>
      <c r="AN150" s="25"/>
      <c r="AO150" s="25"/>
      <c r="AP150" s="25"/>
      <c r="AQ150" s="25"/>
      <c r="AR150" s="25"/>
      <c r="AS150" s="25"/>
      <c r="AT150" s="25"/>
      <c r="AU150" s="25"/>
      <c r="AV150" s="25"/>
      <c r="AW150" s="19" t="s">
        <v>2741</v>
      </c>
      <c r="AX150" s="19" t="s">
        <v>3039</v>
      </c>
      <c r="BA150" s="9" t="s">
        <v>3430</v>
      </c>
      <c r="BB150" s="9" t="s">
        <v>3431</v>
      </c>
    </row>
    <row r="151" spans="10:54" x14ac:dyDescent="0.25">
      <c r="J151" s="25"/>
      <c r="K151" s="26"/>
      <c r="M151" s="19" t="s">
        <v>825</v>
      </c>
      <c r="N151" s="19" t="s">
        <v>1058</v>
      </c>
      <c r="O151" s="25"/>
      <c r="P151" s="25"/>
      <c r="Q151" s="25"/>
      <c r="S151" s="19" t="s">
        <v>1377</v>
      </c>
      <c r="T151" s="19" t="s">
        <v>1556</v>
      </c>
      <c r="U151" s="25"/>
      <c r="V151" s="28"/>
      <c r="W151" s="25"/>
      <c r="Y151" s="31" t="s">
        <v>2296</v>
      </c>
      <c r="Z151" s="31" t="s">
        <v>2488</v>
      </c>
      <c r="AA151" s="25"/>
      <c r="AB151" s="29"/>
      <c r="AC151" s="26"/>
      <c r="AE151" s="19" t="s">
        <v>1891</v>
      </c>
      <c r="AF151" s="19" t="s">
        <v>1892</v>
      </c>
      <c r="AG151" s="25"/>
      <c r="AH151" s="25"/>
      <c r="AI151" s="26"/>
      <c r="AJ151" s="25"/>
      <c r="AK151" s="25"/>
      <c r="AL151" s="25"/>
      <c r="AM151" s="25"/>
      <c r="AN151" s="25"/>
      <c r="AO151" s="25"/>
      <c r="AP151" s="25"/>
      <c r="AQ151" s="25"/>
      <c r="AR151" s="25"/>
      <c r="AS151" s="25"/>
      <c r="AT151" s="25"/>
      <c r="AU151" s="25"/>
      <c r="AV151" s="25"/>
      <c r="AW151" s="19" t="s">
        <v>2742</v>
      </c>
      <c r="AX151" s="19" t="s">
        <v>3040</v>
      </c>
      <c r="BA151" s="9" t="s">
        <v>3432</v>
      </c>
      <c r="BB151" s="9" t="s">
        <v>3433</v>
      </c>
    </row>
    <row r="152" spans="10:54" ht="30" x14ac:dyDescent="0.25">
      <c r="J152" s="25"/>
      <c r="K152" s="26"/>
      <c r="M152" s="19" t="s">
        <v>826</v>
      </c>
      <c r="N152" s="19" t="s">
        <v>1059</v>
      </c>
      <c r="O152" s="25"/>
      <c r="P152" s="25"/>
      <c r="Q152" s="25"/>
      <c r="S152" s="19" t="s">
        <v>1378</v>
      </c>
      <c r="T152" s="19" t="s">
        <v>1557</v>
      </c>
      <c r="U152" s="25"/>
      <c r="V152" s="28"/>
      <c r="W152" s="25"/>
      <c r="Y152" s="31" t="s">
        <v>2297</v>
      </c>
      <c r="Z152" s="31" t="s">
        <v>2489</v>
      </c>
      <c r="AA152" s="25"/>
      <c r="AB152" s="29"/>
      <c r="AC152" s="26"/>
      <c r="AE152" s="19" t="s">
        <v>1893</v>
      </c>
      <c r="AF152" s="19" t="s">
        <v>1894</v>
      </c>
      <c r="AG152" s="25"/>
      <c r="AH152" s="25"/>
      <c r="AI152" s="26"/>
      <c r="AJ152" s="25"/>
      <c r="AK152" s="25"/>
      <c r="AL152" s="25"/>
      <c r="AM152" s="25"/>
      <c r="AN152" s="25"/>
      <c r="AO152" s="25"/>
      <c r="AP152" s="25"/>
      <c r="AQ152" s="25"/>
      <c r="AR152" s="25"/>
      <c r="AS152" s="25"/>
      <c r="AT152" s="25"/>
      <c r="AU152" s="25"/>
      <c r="AV152" s="25"/>
      <c r="AW152" s="19" t="s">
        <v>2743</v>
      </c>
      <c r="AX152" s="19" t="s">
        <v>3041</v>
      </c>
      <c r="BA152" s="9" t="s">
        <v>3434</v>
      </c>
      <c r="BB152" s="9" t="s">
        <v>3435</v>
      </c>
    </row>
    <row r="153" spans="10:54" ht="30" x14ac:dyDescent="0.25">
      <c r="J153" s="25"/>
      <c r="K153" s="26"/>
      <c r="M153" s="19" t="s">
        <v>827</v>
      </c>
      <c r="N153" s="19" t="s">
        <v>1060</v>
      </c>
      <c r="O153" s="25"/>
      <c r="P153" s="25"/>
      <c r="Q153" s="25"/>
      <c r="S153" s="19" t="s">
        <v>1379</v>
      </c>
      <c r="T153" s="19" t="s">
        <v>1558</v>
      </c>
      <c r="U153" s="25"/>
      <c r="V153" s="28"/>
      <c r="W153" s="25"/>
      <c r="Y153" s="31" t="s">
        <v>2298</v>
      </c>
      <c r="Z153" s="31" t="s">
        <v>2490</v>
      </c>
      <c r="AA153" s="25"/>
      <c r="AB153" s="29"/>
      <c r="AC153" s="26"/>
      <c r="AE153" s="19" t="s">
        <v>1895</v>
      </c>
      <c r="AF153" s="19" t="s">
        <v>1896</v>
      </c>
      <c r="AG153" s="25"/>
      <c r="AH153" s="25"/>
      <c r="AI153" s="26"/>
      <c r="AJ153" s="25"/>
      <c r="AK153" s="25"/>
      <c r="AL153" s="25"/>
      <c r="AM153" s="25"/>
      <c r="AN153" s="25"/>
      <c r="AO153" s="25"/>
      <c r="AP153" s="25"/>
      <c r="AQ153" s="25"/>
      <c r="AR153" s="25"/>
      <c r="AS153" s="25"/>
      <c r="AT153" s="25"/>
      <c r="AU153" s="25"/>
      <c r="AV153" s="25"/>
      <c r="AW153" s="19" t="s">
        <v>2744</v>
      </c>
      <c r="AX153" s="19" t="s">
        <v>3042</v>
      </c>
      <c r="BA153" s="9" t="s">
        <v>3436</v>
      </c>
      <c r="BB153" s="9" t="s">
        <v>3437</v>
      </c>
    </row>
    <row r="154" spans="10:54" x14ac:dyDescent="0.25">
      <c r="J154" s="25"/>
      <c r="K154" s="26"/>
      <c r="M154" s="19" t="s">
        <v>828</v>
      </c>
      <c r="N154" s="19" t="s">
        <v>1061</v>
      </c>
      <c r="O154" s="25"/>
      <c r="P154" s="25"/>
      <c r="Q154" s="25"/>
      <c r="S154" s="19" t="s">
        <v>1380</v>
      </c>
      <c r="T154" s="19" t="s">
        <v>1559</v>
      </c>
      <c r="U154" s="25"/>
      <c r="V154" s="28"/>
      <c r="W154" s="25"/>
      <c r="Y154" s="31" t="s">
        <v>2299</v>
      </c>
      <c r="Z154" s="31" t="s">
        <v>2491</v>
      </c>
      <c r="AA154" s="25"/>
      <c r="AB154" s="29"/>
      <c r="AC154" s="26"/>
      <c r="AE154" s="19" t="s">
        <v>1897</v>
      </c>
      <c r="AF154" s="19" t="s">
        <v>1898</v>
      </c>
      <c r="AG154" s="25"/>
      <c r="AH154" s="25"/>
      <c r="AI154" s="26"/>
      <c r="AJ154" s="25"/>
      <c r="AK154" s="25"/>
      <c r="AL154" s="25"/>
      <c r="AM154" s="25"/>
      <c r="AN154" s="25"/>
      <c r="AO154" s="25"/>
      <c r="AP154" s="25"/>
      <c r="AQ154" s="25"/>
      <c r="AR154" s="25"/>
      <c r="AS154" s="25"/>
      <c r="AT154" s="25"/>
      <c r="AU154" s="25"/>
      <c r="AV154" s="25"/>
      <c r="AW154" s="19" t="s">
        <v>2745</v>
      </c>
      <c r="AX154" s="19" t="s">
        <v>2460</v>
      </c>
      <c r="BA154" s="9" t="s">
        <v>3438</v>
      </c>
      <c r="BB154" s="9" t="s">
        <v>3439</v>
      </c>
    </row>
    <row r="155" spans="10:54" x14ac:dyDescent="0.25">
      <c r="J155" s="25"/>
      <c r="K155" s="26"/>
      <c r="M155" s="19" t="s">
        <v>829</v>
      </c>
      <c r="N155" s="19" t="s">
        <v>1062</v>
      </c>
      <c r="O155" s="25"/>
      <c r="P155" s="25"/>
      <c r="Q155" s="25"/>
      <c r="S155" s="19" t="s">
        <v>1381</v>
      </c>
      <c r="T155" s="19" t="s">
        <v>1560</v>
      </c>
      <c r="U155" s="25"/>
      <c r="V155" s="28"/>
      <c r="W155" s="25"/>
      <c r="Y155" s="31" t="s">
        <v>2300</v>
      </c>
      <c r="Z155" s="31" t="s">
        <v>2492</v>
      </c>
      <c r="AA155" s="25"/>
      <c r="AB155" s="29"/>
      <c r="AC155" s="26"/>
      <c r="AE155" s="19" t="s">
        <v>1899</v>
      </c>
      <c r="AF155" s="19" t="s">
        <v>1900</v>
      </c>
      <c r="AG155" s="25"/>
      <c r="AH155" s="25"/>
      <c r="AI155" s="26"/>
      <c r="AJ155" s="25"/>
      <c r="AK155" s="25"/>
      <c r="AL155" s="25"/>
      <c r="AM155" s="25"/>
      <c r="AN155" s="25"/>
      <c r="AO155" s="25"/>
      <c r="AP155" s="25"/>
      <c r="AQ155" s="25"/>
      <c r="AR155" s="25"/>
      <c r="AS155" s="25"/>
      <c r="AT155" s="25"/>
      <c r="AU155" s="25"/>
      <c r="AV155" s="25"/>
      <c r="AW155" s="19" t="s">
        <v>2746</v>
      </c>
      <c r="AX155" s="19" t="s">
        <v>2469</v>
      </c>
      <c r="BA155" s="9" t="s">
        <v>3440</v>
      </c>
      <c r="BB155" s="9" t="s">
        <v>3441</v>
      </c>
    </row>
    <row r="156" spans="10:54" x14ac:dyDescent="0.25">
      <c r="J156" s="25"/>
      <c r="K156" s="26"/>
      <c r="M156" s="19" t="s">
        <v>830</v>
      </c>
      <c r="N156" s="19" t="s">
        <v>1063</v>
      </c>
      <c r="O156" s="25"/>
      <c r="P156" s="25"/>
      <c r="Q156" s="25"/>
      <c r="S156" s="19" t="s">
        <v>1382</v>
      </c>
      <c r="T156" s="19" t="s">
        <v>1561</v>
      </c>
      <c r="U156" s="25"/>
      <c r="V156" s="28"/>
      <c r="W156" s="25"/>
      <c r="Y156" s="31" t="s">
        <v>2301</v>
      </c>
      <c r="Z156" s="31" t="s">
        <v>2493</v>
      </c>
      <c r="AA156" s="25"/>
      <c r="AB156" s="29"/>
      <c r="AC156" s="26"/>
      <c r="AE156" s="19" t="s">
        <v>1901</v>
      </c>
      <c r="AF156" s="19" t="s">
        <v>1902</v>
      </c>
      <c r="AG156" s="25"/>
      <c r="AH156" s="25"/>
      <c r="AI156" s="26"/>
      <c r="AJ156" s="25"/>
      <c r="AK156" s="25"/>
      <c r="AL156" s="25"/>
      <c r="AM156" s="25"/>
      <c r="AN156" s="25"/>
      <c r="AO156" s="25"/>
      <c r="AP156" s="25"/>
      <c r="AQ156" s="25"/>
      <c r="AR156" s="25"/>
      <c r="AS156" s="25"/>
      <c r="AT156" s="25"/>
      <c r="AU156" s="25"/>
      <c r="AV156" s="25"/>
      <c r="AW156" s="19" t="s">
        <v>2747</v>
      </c>
      <c r="AX156" s="19" t="s">
        <v>2464</v>
      </c>
      <c r="BA156" s="9" t="s">
        <v>3442</v>
      </c>
      <c r="BB156" s="9" t="s">
        <v>3443</v>
      </c>
    </row>
    <row r="157" spans="10:54" x14ac:dyDescent="0.25">
      <c r="J157" s="25"/>
      <c r="K157" s="26"/>
      <c r="M157" s="19" t="s">
        <v>831</v>
      </c>
      <c r="N157" s="19" t="s">
        <v>1064</v>
      </c>
      <c r="O157" s="25"/>
      <c r="P157" s="25"/>
      <c r="Q157" s="25"/>
      <c r="S157" s="19" t="s">
        <v>1383</v>
      </c>
      <c r="T157" s="19" t="s">
        <v>1562</v>
      </c>
      <c r="U157" s="25"/>
      <c r="V157" s="28"/>
      <c r="W157" s="25"/>
      <c r="Y157" s="31" t="s">
        <v>2302</v>
      </c>
      <c r="Z157" s="31" t="s">
        <v>2494</v>
      </c>
      <c r="AA157" s="25"/>
      <c r="AB157" s="29"/>
      <c r="AC157" s="26"/>
      <c r="AE157" s="19" t="s">
        <v>1903</v>
      </c>
      <c r="AF157" s="19" t="s">
        <v>1904</v>
      </c>
      <c r="AG157" s="25"/>
      <c r="AH157" s="25"/>
      <c r="AI157" s="26"/>
      <c r="AJ157" s="25"/>
      <c r="AK157" s="25"/>
      <c r="AL157" s="25"/>
      <c r="AM157" s="25"/>
      <c r="AN157" s="25"/>
      <c r="AO157" s="25"/>
      <c r="AP157" s="25"/>
      <c r="AQ157" s="25"/>
      <c r="AR157" s="25"/>
      <c r="AS157" s="25"/>
      <c r="AT157" s="25"/>
      <c r="AU157" s="25"/>
      <c r="AV157" s="25"/>
      <c r="AW157" s="19" t="s">
        <v>2748</v>
      </c>
      <c r="AX157" s="19" t="s">
        <v>3043</v>
      </c>
      <c r="BA157" s="9" t="s">
        <v>3444</v>
      </c>
      <c r="BB157" s="9" t="s">
        <v>3445</v>
      </c>
    </row>
    <row r="158" spans="10:54" x14ac:dyDescent="0.25">
      <c r="J158" s="25"/>
      <c r="K158" s="26"/>
      <c r="M158" s="19" t="s">
        <v>832</v>
      </c>
      <c r="N158" s="19" t="s">
        <v>1065</v>
      </c>
      <c r="O158" s="25"/>
      <c r="P158" s="25"/>
      <c r="Q158" s="25"/>
      <c r="S158" s="19" t="s">
        <v>1384</v>
      </c>
      <c r="T158" s="19" t="s">
        <v>1563</v>
      </c>
      <c r="U158" s="25"/>
      <c r="V158" s="28"/>
      <c r="W158" s="25"/>
      <c r="Y158" s="31" t="s">
        <v>2303</v>
      </c>
      <c r="Z158" s="31" t="s">
        <v>2495</v>
      </c>
      <c r="AA158" s="25"/>
      <c r="AB158" s="29"/>
      <c r="AC158" s="26"/>
      <c r="AE158" s="19" t="s">
        <v>1905</v>
      </c>
      <c r="AF158" s="19" t="s">
        <v>1906</v>
      </c>
      <c r="AG158" s="25"/>
      <c r="AH158" s="25"/>
      <c r="AI158" s="26"/>
      <c r="AJ158" s="25"/>
      <c r="AK158" s="25"/>
      <c r="AL158" s="25"/>
      <c r="AM158" s="25"/>
      <c r="AN158" s="25"/>
      <c r="AO158" s="25"/>
      <c r="AP158" s="25"/>
      <c r="AQ158" s="25"/>
      <c r="AR158" s="25"/>
      <c r="AS158" s="25"/>
      <c r="AT158" s="25"/>
      <c r="AU158" s="25"/>
      <c r="AV158" s="25"/>
      <c r="AW158" s="19" t="s">
        <v>2749</v>
      </c>
      <c r="AX158" s="19" t="s">
        <v>3044</v>
      </c>
      <c r="BA158" s="9" t="s">
        <v>3446</v>
      </c>
      <c r="BB158" s="9" t="s">
        <v>3447</v>
      </c>
    </row>
    <row r="159" spans="10:54" x14ac:dyDescent="0.25">
      <c r="J159" s="25"/>
      <c r="K159" s="26"/>
      <c r="M159" s="19" t="s">
        <v>833</v>
      </c>
      <c r="N159" s="19" t="s">
        <v>1066</v>
      </c>
      <c r="O159" s="25"/>
      <c r="P159" s="25"/>
      <c r="Q159" s="25"/>
      <c r="S159" s="19" t="s">
        <v>1385</v>
      </c>
      <c r="T159" s="19" t="s">
        <v>1564</v>
      </c>
      <c r="U159" s="25"/>
      <c r="V159" s="28"/>
      <c r="W159" s="25"/>
      <c r="Y159" s="31" t="s">
        <v>2304</v>
      </c>
      <c r="Z159" s="31" t="s">
        <v>2496</v>
      </c>
      <c r="AA159" s="25"/>
      <c r="AB159" s="29"/>
      <c r="AC159" s="26"/>
      <c r="AE159" s="19" t="s">
        <v>1907</v>
      </c>
      <c r="AF159" s="19" t="s">
        <v>1908</v>
      </c>
      <c r="AG159" s="25"/>
      <c r="AH159" s="25"/>
      <c r="AI159" s="26"/>
      <c r="AJ159" s="25"/>
      <c r="AK159" s="25"/>
      <c r="AL159" s="25"/>
      <c r="AM159" s="25"/>
      <c r="AN159" s="25"/>
      <c r="AO159" s="25"/>
      <c r="AP159" s="25"/>
      <c r="AQ159" s="25"/>
      <c r="AR159" s="25"/>
      <c r="AS159" s="25"/>
      <c r="AT159" s="25"/>
      <c r="AU159" s="25"/>
      <c r="AV159" s="25"/>
      <c r="AW159" s="19" t="s">
        <v>2748</v>
      </c>
      <c r="AX159" s="19" t="s">
        <v>2505</v>
      </c>
      <c r="BA159" s="9" t="s">
        <v>3448</v>
      </c>
      <c r="BB159" s="9" t="s">
        <v>3449</v>
      </c>
    </row>
    <row r="160" spans="10:54" x14ac:dyDescent="0.25">
      <c r="J160" s="25"/>
      <c r="K160" s="26"/>
      <c r="M160" s="19" t="s">
        <v>834</v>
      </c>
      <c r="N160" s="19" t="s">
        <v>1067</v>
      </c>
      <c r="O160" s="25"/>
      <c r="P160" s="25"/>
      <c r="Q160" s="25"/>
      <c r="S160" s="19" t="s">
        <v>1386</v>
      </c>
      <c r="T160" s="19" t="s">
        <v>1565</v>
      </c>
      <c r="U160" s="25"/>
      <c r="V160" s="28"/>
      <c r="W160" s="25"/>
      <c r="Y160" s="31" t="s">
        <v>2305</v>
      </c>
      <c r="Z160" s="31" t="s">
        <v>2497</v>
      </c>
      <c r="AA160" s="25"/>
      <c r="AB160" s="29"/>
      <c r="AC160" s="26"/>
      <c r="AE160" s="19" t="s">
        <v>1909</v>
      </c>
      <c r="AF160" s="19" t="s">
        <v>1910</v>
      </c>
      <c r="AG160" s="25"/>
      <c r="AH160" s="25"/>
      <c r="AI160" s="26"/>
      <c r="AJ160" s="25"/>
      <c r="AK160" s="25"/>
      <c r="AL160" s="25"/>
      <c r="AM160" s="25"/>
      <c r="AN160" s="25"/>
      <c r="AO160" s="25"/>
      <c r="AP160" s="25"/>
      <c r="AQ160" s="25"/>
      <c r="AR160" s="25"/>
      <c r="AS160" s="25"/>
      <c r="AT160" s="25"/>
      <c r="AU160" s="25"/>
      <c r="AV160" s="25"/>
      <c r="AW160" s="19" t="s">
        <v>2750</v>
      </c>
      <c r="AX160" s="19" t="s">
        <v>2507</v>
      </c>
      <c r="BA160" s="9" t="s">
        <v>3450</v>
      </c>
      <c r="BB160" s="9" t="s">
        <v>3451</v>
      </c>
    </row>
    <row r="161" spans="10:54" x14ac:dyDescent="0.25">
      <c r="J161" s="25"/>
      <c r="K161" s="26"/>
      <c r="M161" s="19" t="s">
        <v>835</v>
      </c>
      <c r="N161" s="19" t="s">
        <v>1068</v>
      </c>
      <c r="O161" s="25"/>
      <c r="P161" s="25"/>
      <c r="Q161" s="25"/>
      <c r="S161" s="19" t="s">
        <v>1387</v>
      </c>
      <c r="T161" s="19" t="s">
        <v>1566</v>
      </c>
      <c r="U161" s="25"/>
      <c r="V161" s="28"/>
      <c r="W161" s="25"/>
      <c r="Y161" s="31" t="s">
        <v>2306</v>
      </c>
      <c r="Z161" s="31" t="s">
        <v>2498</v>
      </c>
      <c r="AA161" s="25"/>
      <c r="AB161" s="29"/>
      <c r="AC161" s="26"/>
      <c r="AE161" s="19" t="s">
        <v>1911</v>
      </c>
      <c r="AF161" s="19" t="s">
        <v>1912</v>
      </c>
      <c r="AG161" s="25"/>
      <c r="AH161" s="25"/>
      <c r="AI161" s="26"/>
      <c r="AJ161" s="25"/>
      <c r="AK161" s="25"/>
      <c r="AL161" s="25"/>
      <c r="AM161" s="25"/>
      <c r="AN161" s="25"/>
      <c r="AO161" s="25"/>
      <c r="AP161" s="25"/>
      <c r="AQ161" s="25"/>
      <c r="AR161" s="25"/>
      <c r="AS161" s="25"/>
      <c r="AT161" s="25"/>
      <c r="AU161" s="25"/>
      <c r="AV161" s="25"/>
      <c r="AW161" s="19" t="s">
        <v>2751</v>
      </c>
      <c r="AX161" s="19" t="s">
        <v>3045</v>
      </c>
      <c r="BA161" s="9" t="s">
        <v>3452</v>
      </c>
      <c r="BB161" s="9" t="s">
        <v>3453</v>
      </c>
    </row>
    <row r="162" spans="10:54" x14ac:dyDescent="0.25">
      <c r="J162" s="25"/>
      <c r="K162" s="26"/>
      <c r="M162" s="19" t="s">
        <v>836</v>
      </c>
      <c r="N162" s="19" t="s">
        <v>1069</v>
      </c>
      <c r="O162" s="25"/>
      <c r="P162" s="25"/>
      <c r="Q162" s="25"/>
      <c r="S162" s="19" t="s">
        <v>1388</v>
      </c>
      <c r="T162" s="19" t="s">
        <v>1567</v>
      </c>
      <c r="U162" s="25"/>
      <c r="V162" s="28"/>
      <c r="W162" s="25"/>
      <c r="Y162" s="31" t="s">
        <v>2307</v>
      </c>
      <c r="Z162" s="31" t="s">
        <v>2499</v>
      </c>
      <c r="AA162" s="25"/>
      <c r="AB162" s="29"/>
      <c r="AC162" s="26"/>
      <c r="AE162" s="19" t="s">
        <v>1913</v>
      </c>
      <c r="AF162" s="19" t="s">
        <v>1914</v>
      </c>
      <c r="AG162" s="25"/>
      <c r="AH162" s="25"/>
      <c r="AI162" s="26"/>
      <c r="AJ162" s="25"/>
      <c r="AK162" s="25"/>
      <c r="AL162" s="25"/>
      <c r="AM162" s="25"/>
      <c r="AN162" s="25"/>
      <c r="AO162" s="25"/>
      <c r="AP162" s="25"/>
      <c r="AQ162" s="25"/>
      <c r="AR162" s="25"/>
      <c r="AS162" s="25"/>
      <c r="AT162" s="25"/>
      <c r="AU162" s="25"/>
      <c r="AV162" s="25"/>
      <c r="AW162" s="19" t="s">
        <v>2752</v>
      </c>
      <c r="AX162" s="19" t="s">
        <v>3046</v>
      </c>
      <c r="BA162" s="9" t="s">
        <v>3454</v>
      </c>
      <c r="BB162" s="9" t="s">
        <v>3455</v>
      </c>
    </row>
    <row r="163" spans="10:54" x14ac:dyDescent="0.25">
      <c r="J163" s="25"/>
      <c r="K163" s="26"/>
      <c r="M163" s="19" t="s">
        <v>837</v>
      </c>
      <c r="N163" s="19" t="s">
        <v>1070</v>
      </c>
      <c r="O163" s="25"/>
      <c r="P163" s="25"/>
      <c r="Q163" s="25"/>
      <c r="S163" s="19" t="s">
        <v>1389</v>
      </c>
      <c r="T163" s="19" t="s">
        <v>1568</v>
      </c>
      <c r="U163" s="25"/>
      <c r="V163" s="28"/>
      <c r="W163" s="25"/>
      <c r="Y163" s="31" t="s">
        <v>2308</v>
      </c>
      <c r="Z163" s="31" t="s">
        <v>2500</v>
      </c>
      <c r="AA163" s="25"/>
      <c r="AB163" s="29"/>
      <c r="AC163" s="26"/>
      <c r="AE163" s="19" t="s">
        <v>1915</v>
      </c>
      <c r="AF163" s="19" t="s">
        <v>1916</v>
      </c>
      <c r="AG163" s="25"/>
      <c r="AH163" s="25"/>
      <c r="AI163" s="26"/>
      <c r="AJ163" s="25"/>
      <c r="AK163" s="25"/>
      <c r="AL163" s="25"/>
      <c r="AM163" s="25"/>
      <c r="AN163" s="25"/>
      <c r="AO163" s="25"/>
      <c r="AP163" s="25"/>
      <c r="AQ163" s="25"/>
      <c r="AR163" s="25"/>
      <c r="AS163" s="25"/>
      <c r="AT163" s="25"/>
      <c r="AU163" s="25"/>
      <c r="AV163" s="25"/>
      <c r="AW163" s="19" t="s">
        <v>2753</v>
      </c>
      <c r="AX163" s="19" t="s">
        <v>3047</v>
      </c>
      <c r="BA163" s="9" t="s">
        <v>3456</v>
      </c>
      <c r="BB163" s="9" t="s">
        <v>3457</v>
      </c>
    </row>
    <row r="164" spans="10:54" x14ac:dyDescent="0.25">
      <c r="J164" s="25"/>
      <c r="K164" s="26"/>
      <c r="M164" s="19" t="s">
        <v>838</v>
      </c>
      <c r="N164" s="19" t="s">
        <v>1071</v>
      </c>
      <c r="O164" s="25"/>
      <c r="P164" s="25"/>
      <c r="Q164" s="25"/>
      <c r="S164" s="19" t="s">
        <v>1390</v>
      </c>
      <c r="T164" s="19" t="s">
        <v>1569</v>
      </c>
      <c r="U164" s="25"/>
      <c r="V164" s="28"/>
      <c r="W164" s="25"/>
      <c r="Y164" s="31" t="s">
        <v>2309</v>
      </c>
      <c r="Z164" s="31" t="s">
        <v>2501</v>
      </c>
      <c r="AA164" s="25"/>
      <c r="AB164" s="29"/>
      <c r="AC164" s="26"/>
      <c r="AE164" s="19" t="s">
        <v>1917</v>
      </c>
      <c r="AF164" s="19" t="s">
        <v>1918</v>
      </c>
      <c r="AG164" s="25"/>
      <c r="AH164" s="25"/>
      <c r="AI164" s="26"/>
      <c r="AJ164" s="25"/>
      <c r="AK164" s="25"/>
      <c r="AL164" s="25"/>
      <c r="AM164" s="25"/>
      <c r="AN164" s="25"/>
      <c r="AO164" s="25"/>
      <c r="AP164" s="25"/>
      <c r="AQ164" s="25"/>
      <c r="AR164" s="25"/>
      <c r="AS164" s="25"/>
      <c r="AT164" s="25"/>
      <c r="AU164" s="25"/>
      <c r="AV164" s="25"/>
      <c r="AW164" s="19" t="s">
        <v>2754</v>
      </c>
      <c r="AX164" s="19" t="s">
        <v>3048</v>
      </c>
      <c r="BA164" s="9" t="s">
        <v>3458</v>
      </c>
      <c r="BB164" s="9" t="s">
        <v>3459</v>
      </c>
    </row>
    <row r="165" spans="10:54" x14ac:dyDescent="0.25">
      <c r="J165" s="25"/>
      <c r="K165" s="26"/>
      <c r="M165" s="19" t="s">
        <v>839</v>
      </c>
      <c r="N165" s="19" t="s">
        <v>1072</v>
      </c>
      <c r="O165" s="25"/>
      <c r="P165" s="25"/>
      <c r="Q165" s="25"/>
      <c r="S165" s="19" t="s">
        <v>1391</v>
      </c>
      <c r="T165" s="19" t="s">
        <v>1570</v>
      </c>
      <c r="U165" s="25"/>
      <c r="V165" s="28"/>
      <c r="W165" s="25"/>
      <c r="Y165" s="31" t="s">
        <v>2310</v>
      </c>
      <c r="Z165" s="31" t="s">
        <v>2502</v>
      </c>
      <c r="AA165" s="25"/>
      <c r="AB165" s="29"/>
      <c r="AC165" s="26"/>
      <c r="AE165" s="19" t="s">
        <v>1919</v>
      </c>
      <c r="AF165" s="19" t="s">
        <v>1920</v>
      </c>
      <c r="AG165" s="25"/>
      <c r="AH165" s="25"/>
      <c r="AI165" s="26"/>
      <c r="AJ165" s="25"/>
      <c r="AK165" s="25"/>
      <c r="AL165" s="25"/>
      <c r="AM165" s="25"/>
      <c r="AN165" s="25"/>
      <c r="AO165" s="25"/>
      <c r="AP165" s="25"/>
      <c r="AQ165" s="25"/>
      <c r="AR165" s="25"/>
      <c r="AS165" s="25"/>
      <c r="AT165" s="25"/>
      <c r="AU165" s="25"/>
      <c r="AV165" s="25"/>
      <c r="AW165" s="19" t="s">
        <v>2755</v>
      </c>
      <c r="AX165" s="19" t="s">
        <v>2598</v>
      </c>
      <c r="BA165" s="9" t="s">
        <v>3460</v>
      </c>
      <c r="BB165" s="9" t="s">
        <v>3461</v>
      </c>
    </row>
    <row r="166" spans="10:54" x14ac:dyDescent="0.25">
      <c r="J166" s="25"/>
      <c r="K166" s="26"/>
      <c r="M166" s="19" t="s">
        <v>840</v>
      </c>
      <c r="N166" s="19" t="s">
        <v>1073</v>
      </c>
      <c r="O166" s="25"/>
      <c r="P166" s="25"/>
      <c r="Q166" s="25"/>
      <c r="S166" s="19" t="s">
        <v>1392</v>
      </c>
      <c r="T166" s="19" t="s">
        <v>1571</v>
      </c>
      <c r="U166" s="25"/>
      <c r="V166" s="28"/>
      <c r="W166" s="25"/>
      <c r="Y166" s="31" t="s">
        <v>2311</v>
      </c>
      <c r="Z166" s="31" t="s">
        <v>2503</v>
      </c>
      <c r="AA166" s="25"/>
      <c r="AB166" s="29"/>
      <c r="AC166" s="26"/>
      <c r="AE166" s="19" t="s">
        <v>1921</v>
      </c>
      <c r="AF166" s="19" t="s">
        <v>1922</v>
      </c>
      <c r="AG166" s="25"/>
      <c r="AH166" s="25"/>
      <c r="AI166" s="26"/>
      <c r="AJ166" s="25"/>
      <c r="AK166" s="25"/>
      <c r="AL166" s="25"/>
      <c r="AM166" s="25"/>
      <c r="AN166" s="25"/>
      <c r="AO166" s="25"/>
      <c r="AP166" s="25"/>
      <c r="AQ166" s="25"/>
      <c r="AR166" s="25"/>
      <c r="AS166" s="25"/>
      <c r="AT166" s="25"/>
      <c r="AU166" s="25"/>
      <c r="AV166" s="25"/>
      <c r="AW166" s="19" t="s">
        <v>2756</v>
      </c>
      <c r="AX166" s="19" t="s">
        <v>3049</v>
      </c>
      <c r="BA166" s="9" t="s">
        <v>3462</v>
      </c>
      <c r="BB166" s="9" t="s">
        <v>3463</v>
      </c>
    </row>
    <row r="167" spans="10:54" x14ac:dyDescent="0.25">
      <c r="J167" s="25"/>
      <c r="K167" s="26"/>
      <c r="M167" s="19" t="s">
        <v>841</v>
      </c>
      <c r="N167" s="19" t="s">
        <v>1074</v>
      </c>
      <c r="O167" s="25"/>
      <c r="P167" s="25"/>
      <c r="Q167" s="25"/>
      <c r="S167" s="19" t="s">
        <v>1393</v>
      </c>
      <c r="T167" s="19" t="s">
        <v>1572</v>
      </c>
      <c r="U167" s="25"/>
      <c r="V167" s="28"/>
      <c r="W167" s="25"/>
      <c r="Y167" s="31" t="s">
        <v>2312</v>
      </c>
      <c r="Z167" s="31" t="s">
        <v>2504</v>
      </c>
      <c r="AA167" s="25"/>
      <c r="AB167" s="29"/>
      <c r="AC167" s="26"/>
      <c r="AE167" s="19" t="s">
        <v>1923</v>
      </c>
      <c r="AF167" s="19" t="s">
        <v>1924</v>
      </c>
      <c r="AG167" s="25"/>
      <c r="AH167" s="25"/>
      <c r="AI167" s="26"/>
      <c r="AJ167" s="25"/>
      <c r="AK167" s="25"/>
      <c r="AL167" s="25"/>
      <c r="AM167" s="25"/>
      <c r="AN167" s="25"/>
      <c r="AO167" s="25"/>
      <c r="AP167" s="25"/>
      <c r="AQ167" s="25"/>
      <c r="AR167" s="25"/>
      <c r="AS167" s="25"/>
      <c r="AT167" s="25"/>
      <c r="AU167" s="25"/>
      <c r="AV167" s="25"/>
      <c r="AW167" s="19" t="s">
        <v>2757</v>
      </c>
      <c r="AX167" s="19" t="s">
        <v>3050</v>
      </c>
      <c r="BA167" s="9" t="s">
        <v>3464</v>
      </c>
      <c r="BB167" s="9" t="s">
        <v>3465</v>
      </c>
    </row>
    <row r="168" spans="10:54" x14ac:dyDescent="0.25">
      <c r="J168" s="25"/>
      <c r="K168" s="26"/>
      <c r="M168" s="19" t="s">
        <v>842</v>
      </c>
      <c r="N168" s="19" t="s">
        <v>1075</v>
      </c>
      <c r="O168" s="25"/>
      <c r="P168" s="25"/>
      <c r="Q168" s="25"/>
      <c r="S168" s="19" t="s">
        <v>1394</v>
      </c>
      <c r="T168" s="19" t="s">
        <v>1573</v>
      </c>
      <c r="U168" s="25"/>
      <c r="V168" s="28"/>
      <c r="W168" s="25"/>
      <c r="Y168" s="31" t="s">
        <v>2313</v>
      </c>
      <c r="Z168" s="31" t="s">
        <v>2505</v>
      </c>
      <c r="AA168" s="25"/>
      <c r="AB168" s="29"/>
      <c r="AC168" s="26"/>
      <c r="AE168" s="19" t="s">
        <v>1925</v>
      </c>
      <c r="AF168" s="19" t="s">
        <v>1926</v>
      </c>
      <c r="AG168" s="25"/>
      <c r="AH168" s="25"/>
      <c r="AI168" s="26"/>
      <c r="AJ168" s="25"/>
      <c r="AK168" s="25"/>
      <c r="AL168" s="25"/>
      <c r="AM168" s="25"/>
      <c r="AN168" s="25"/>
      <c r="AO168" s="25"/>
      <c r="AP168" s="25"/>
      <c r="AQ168" s="25"/>
      <c r="AR168" s="25"/>
      <c r="AS168" s="25"/>
      <c r="AT168" s="25"/>
      <c r="AU168" s="25"/>
      <c r="AV168" s="25"/>
      <c r="AW168" s="19" t="s">
        <v>2758</v>
      </c>
      <c r="AX168" s="19" t="s">
        <v>2506</v>
      </c>
      <c r="BA168" s="9" t="s">
        <v>3466</v>
      </c>
      <c r="BB168" s="9" t="s">
        <v>3467</v>
      </c>
    </row>
    <row r="169" spans="10:54" x14ac:dyDescent="0.25">
      <c r="J169" s="25"/>
      <c r="K169" s="26"/>
      <c r="M169" s="19" t="s">
        <v>843</v>
      </c>
      <c r="N169" s="19" t="s">
        <v>1076</v>
      </c>
      <c r="O169" s="25"/>
      <c r="P169" s="25"/>
      <c r="Q169" s="25"/>
      <c r="S169" s="19" t="s">
        <v>1388</v>
      </c>
      <c r="T169" s="19" t="s">
        <v>1567</v>
      </c>
      <c r="U169" s="25"/>
      <c r="V169" s="28"/>
      <c r="W169" s="25"/>
      <c r="Y169" s="31" t="s">
        <v>2314</v>
      </c>
      <c r="Z169" s="31" t="s">
        <v>2506</v>
      </c>
      <c r="AA169" s="25"/>
      <c r="AB169" s="29"/>
      <c r="AC169" s="26"/>
      <c r="AE169" s="19" t="s">
        <v>1927</v>
      </c>
      <c r="AF169" s="19" t="s">
        <v>1928</v>
      </c>
      <c r="AG169" s="25"/>
      <c r="AH169" s="25"/>
      <c r="AI169" s="26"/>
      <c r="AJ169" s="25"/>
      <c r="AK169" s="25"/>
      <c r="AL169" s="25"/>
      <c r="AM169" s="25"/>
      <c r="AN169" s="25"/>
      <c r="AO169" s="25"/>
      <c r="AP169" s="25"/>
      <c r="AQ169" s="25"/>
      <c r="AR169" s="25"/>
      <c r="AS169" s="25"/>
      <c r="AT169" s="25"/>
      <c r="AU169" s="25"/>
      <c r="AV169" s="25"/>
      <c r="AW169" s="19" t="s">
        <v>2759</v>
      </c>
      <c r="AX169" s="19" t="s">
        <v>2423</v>
      </c>
      <c r="BA169" s="9" t="s">
        <v>3468</v>
      </c>
      <c r="BB169" s="9" t="s">
        <v>3469</v>
      </c>
    </row>
    <row r="170" spans="10:54" x14ac:dyDescent="0.25">
      <c r="J170" s="25"/>
      <c r="K170" s="26"/>
      <c r="M170" s="19" t="s">
        <v>844</v>
      </c>
      <c r="N170" s="19" t="s">
        <v>1077</v>
      </c>
      <c r="O170" s="25"/>
      <c r="P170" s="25"/>
      <c r="Q170" s="25"/>
      <c r="S170" s="19" t="s">
        <v>1389</v>
      </c>
      <c r="T170" s="19" t="s">
        <v>1568</v>
      </c>
      <c r="U170" s="25"/>
      <c r="V170" s="28"/>
      <c r="W170" s="25"/>
      <c r="Y170" s="31" t="s">
        <v>2315</v>
      </c>
      <c r="Z170" s="31" t="s">
        <v>2507</v>
      </c>
      <c r="AA170" s="25"/>
      <c r="AB170" s="29"/>
      <c r="AC170" s="26"/>
      <c r="AE170" s="19" t="s">
        <v>1929</v>
      </c>
      <c r="AF170" s="19" t="s">
        <v>1930</v>
      </c>
      <c r="AG170" s="25"/>
      <c r="AH170" s="25"/>
      <c r="AI170" s="26"/>
      <c r="AJ170" s="25"/>
      <c r="AK170" s="25"/>
      <c r="AL170" s="25"/>
      <c r="AM170" s="25"/>
      <c r="AN170" s="25"/>
      <c r="AO170" s="25"/>
      <c r="AP170" s="25"/>
      <c r="AQ170" s="25"/>
      <c r="AR170" s="25"/>
      <c r="AS170" s="25"/>
      <c r="AT170" s="25"/>
      <c r="AU170" s="25"/>
      <c r="AV170" s="25"/>
      <c r="AW170" s="19" t="s">
        <v>2760</v>
      </c>
      <c r="AX170" s="19" t="s">
        <v>2424</v>
      </c>
      <c r="BA170" s="9" t="s">
        <v>3470</v>
      </c>
      <c r="BB170" s="9" t="s">
        <v>3471</v>
      </c>
    </row>
    <row r="171" spans="10:54" x14ac:dyDescent="0.25">
      <c r="J171" s="25"/>
      <c r="K171" s="26"/>
      <c r="M171" s="19" t="s">
        <v>845</v>
      </c>
      <c r="N171" s="19" t="s">
        <v>1078</v>
      </c>
      <c r="O171" s="25"/>
      <c r="P171" s="25"/>
      <c r="Q171" s="25"/>
      <c r="S171" s="19" t="s">
        <v>1390</v>
      </c>
      <c r="T171" s="19" t="s">
        <v>1569</v>
      </c>
      <c r="U171" s="25"/>
      <c r="V171" s="28"/>
      <c r="W171" s="25"/>
      <c r="Y171" s="31" t="s">
        <v>2316</v>
      </c>
      <c r="Z171" s="31" t="s">
        <v>2508</v>
      </c>
      <c r="AA171" s="25"/>
      <c r="AB171" s="29"/>
      <c r="AC171" s="26"/>
      <c r="AE171" s="19" t="s">
        <v>1931</v>
      </c>
      <c r="AF171" s="19" t="s">
        <v>1932</v>
      </c>
      <c r="AG171" s="25"/>
      <c r="AH171" s="25"/>
      <c r="AI171" s="26"/>
      <c r="AJ171" s="25"/>
      <c r="AK171" s="25"/>
      <c r="AL171" s="25"/>
      <c r="AM171" s="25"/>
      <c r="AN171" s="25"/>
      <c r="AO171" s="25"/>
      <c r="AP171" s="25"/>
      <c r="AQ171" s="25"/>
      <c r="AR171" s="25"/>
      <c r="AS171" s="25"/>
      <c r="AT171" s="25"/>
      <c r="AU171" s="25"/>
      <c r="AV171" s="25"/>
      <c r="AW171" s="19" t="s">
        <v>2761</v>
      </c>
      <c r="AX171" s="19" t="s">
        <v>2425</v>
      </c>
      <c r="BA171" s="9" t="s">
        <v>3472</v>
      </c>
      <c r="BB171" s="9" t="s">
        <v>3473</v>
      </c>
    </row>
    <row r="172" spans="10:54" x14ac:dyDescent="0.25">
      <c r="J172" s="25"/>
      <c r="K172" s="26"/>
      <c r="M172" s="19" t="s">
        <v>846</v>
      </c>
      <c r="N172" s="19" t="s">
        <v>1079</v>
      </c>
      <c r="O172" s="25"/>
      <c r="P172" s="25"/>
      <c r="Q172" s="25"/>
      <c r="S172" s="19" t="s">
        <v>1391</v>
      </c>
      <c r="T172" s="19" t="s">
        <v>1570</v>
      </c>
      <c r="U172" s="25"/>
      <c r="V172" s="28"/>
      <c r="W172" s="25"/>
      <c r="Y172" s="31" t="s">
        <v>2317</v>
      </c>
      <c r="Z172" s="31" t="s">
        <v>2509</v>
      </c>
      <c r="AA172" s="25"/>
      <c r="AB172" s="29"/>
      <c r="AC172" s="26"/>
      <c r="AE172" s="19" t="s">
        <v>1933</v>
      </c>
      <c r="AF172" s="19" t="s">
        <v>1934</v>
      </c>
      <c r="AG172" s="25"/>
      <c r="AH172" s="25"/>
      <c r="AI172" s="26"/>
      <c r="AJ172" s="25"/>
      <c r="AK172" s="25"/>
      <c r="AL172" s="25"/>
      <c r="AM172" s="25"/>
      <c r="AN172" s="25"/>
      <c r="AO172" s="25"/>
      <c r="AP172" s="25"/>
      <c r="AQ172" s="25"/>
      <c r="AR172" s="25"/>
      <c r="AS172" s="25"/>
      <c r="AT172" s="25"/>
      <c r="AU172" s="25"/>
      <c r="AV172" s="25"/>
      <c r="AW172" s="19" t="s">
        <v>2762</v>
      </c>
      <c r="AX172" s="19" t="s">
        <v>2426</v>
      </c>
      <c r="BA172" s="9" t="s">
        <v>3474</v>
      </c>
      <c r="BB172" s="9" t="s">
        <v>3475</v>
      </c>
    </row>
    <row r="173" spans="10:54" x14ac:dyDescent="0.25">
      <c r="J173" s="25"/>
      <c r="K173" s="26"/>
      <c r="M173" s="19" t="s">
        <v>847</v>
      </c>
      <c r="N173" s="19" t="s">
        <v>1080</v>
      </c>
      <c r="O173" s="25"/>
      <c r="P173" s="25"/>
      <c r="Q173" s="25"/>
      <c r="S173" s="19" t="s">
        <v>1392</v>
      </c>
      <c r="T173" s="19" t="s">
        <v>1571</v>
      </c>
      <c r="U173" s="25"/>
      <c r="V173" s="28"/>
      <c r="W173" s="25"/>
      <c r="Y173" s="31" t="s">
        <v>2318</v>
      </c>
      <c r="Z173" s="31" t="s">
        <v>2510</v>
      </c>
      <c r="AA173" s="25"/>
      <c r="AB173" s="29"/>
      <c r="AC173" s="26"/>
      <c r="AE173" s="19" t="s">
        <v>1935</v>
      </c>
      <c r="AF173" s="19" t="s">
        <v>1936</v>
      </c>
      <c r="AG173" s="25"/>
      <c r="AH173" s="25"/>
      <c r="AI173" s="26"/>
      <c r="AJ173" s="25"/>
      <c r="AK173" s="25"/>
      <c r="AL173" s="25"/>
      <c r="AM173" s="25"/>
      <c r="AN173" s="25"/>
      <c r="AO173" s="25"/>
      <c r="AP173" s="25"/>
      <c r="AQ173" s="25"/>
      <c r="AR173" s="25"/>
      <c r="AS173" s="25"/>
      <c r="AT173" s="25"/>
      <c r="AU173" s="25"/>
      <c r="AV173" s="25"/>
      <c r="AW173" s="19" t="s">
        <v>2763</v>
      </c>
      <c r="AX173" s="19" t="s">
        <v>3051</v>
      </c>
      <c r="BA173" s="9" t="s">
        <v>3476</v>
      </c>
      <c r="BB173" s="9" t="s">
        <v>3477</v>
      </c>
    </row>
    <row r="174" spans="10:54" x14ac:dyDescent="0.25">
      <c r="J174" s="25"/>
      <c r="K174" s="26"/>
      <c r="M174" s="19" t="s">
        <v>848</v>
      </c>
      <c r="N174" s="19" t="s">
        <v>1081</v>
      </c>
      <c r="O174" s="25"/>
      <c r="P174" s="25"/>
      <c r="Q174" s="25"/>
      <c r="S174" s="19" t="s">
        <v>1393</v>
      </c>
      <c r="T174" s="19" t="s">
        <v>1572</v>
      </c>
      <c r="U174" s="25"/>
      <c r="V174" s="28"/>
      <c r="W174" s="25"/>
      <c r="Y174" s="31" t="s">
        <v>2319</v>
      </c>
      <c r="Z174" s="31" t="s">
        <v>2511</v>
      </c>
      <c r="AA174" s="25"/>
      <c r="AB174" s="29"/>
      <c r="AC174" s="26"/>
      <c r="AE174" s="19" t="s">
        <v>1937</v>
      </c>
      <c r="AF174" s="19" t="s">
        <v>1938</v>
      </c>
      <c r="AG174" s="25"/>
      <c r="AH174" s="25"/>
      <c r="AI174" s="26"/>
      <c r="AJ174" s="25"/>
      <c r="AK174" s="25"/>
      <c r="AL174" s="25"/>
      <c r="AM174" s="25"/>
      <c r="AN174" s="25"/>
      <c r="AO174" s="25"/>
      <c r="AP174" s="25"/>
      <c r="AQ174" s="25"/>
      <c r="AR174" s="25"/>
      <c r="AS174" s="25"/>
      <c r="AT174" s="25"/>
      <c r="AU174" s="25"/>
      <c r="AV174" s="25"/>
      <c r="AW174" s="19" t="s">
        <v>2764</v>
      </c>
      <c r="AX174" s="19" t="s">
        <v>3052</v>
      </c>
      <c r="BA174" s="9" t="s">
        <v>3478</v>
      </c>
      <c r="BB174" s="9" t="s">
        <v>3479</v>
      </c>
    </row>
    <row r="175" spans="10:54" x14ac:dyDescent="0.25">
      <c r="J175" s="25"/>
      <c r="K175" s="26"/>
      <c r="M175" s="19" t="s">
        <v>849</v>
      </c>
      <c r="N175" s="19" t="s">
        <v>1082</v>
      </c>
      <c r="O175" s="25"/>
      <c r="P175" s="25"/>
      <c r="Q175" s="25"/>
      <c r="S175" s="19" t="s">
        <v>1394</v>
      </c>
      <c r="T175" s="19" t="s">
        <v>1573</v>
      </c>
      <c r="U175" s="25"/>
      <c r="V175" s="28"/>
      <c r="W175" s="25"/>
      <c r="Y175" s="31" t="s">
        <v>2320</v>
      </c>
      <c r="Z175" s="31" t="s">
        <v>2512</v>
      </c>
      <c r="AA175" s="25"/>
      <c r="AB175" s="29"/>
      <c r="AC175" s="26"/>
      <c r="AE175" s="19" t="s">
        <v>1939</v>
      </c>
      <c r="AF175" s="19" t="s">
        <v>1940</v>
      </c>
      <c r="AG175" s="25"/>
      <c r="AH175" s="25"/>
      <c r="AI175" s="26"/>
      <c r="AJ175" s="25"/>
      <c r="AK175" s="25"/>
      <c r="AL175" s="25"/>
      <c r="AM175" s="25"/>
      <c r="AN175" s="25"/>
      <c r="AO175" s="25"/>
      <c r="AP175" s="25"/>
      <c r="AQ175" s="25"/>
      <c r="AR175" s="25"/>
      <c r="AS175" s="25"/>
      <c r="AT175" s="25"/>
      <c r="AU175" s="25"/>
      <c r="AV175" s="25"/>
      <c r="AW175" s="19" t="s">
        <v>2765</v>
      </c>
      <c r="AX175" s="19" t="s">
        <v>3053</v>
      </c>
      <c r="BA175" s="9" t="s">
        <v>3480</v>
      </c>
      <c r="BB175" s="9" t="s">
        <v>3481</v>
      </c>
    </row>
    <row r="176" spans="10:54" x14ac:dyDescent="0.25">
      <c r="J176" s="25"/>
      <c r="K176" s="26"/>
      <c r="M176" s="19" t="s">
        <v>850</v>
      </c>
      <c r="N176" s="19" t="s">
        <v>1083</v>
      </c>
      <c r="O176" s="25"/>
      <c r="P176" s="25"/>
      <c r="Q176" s="25"/>
      <c r="S176" s="23"/>
      <c r="T176" s="25"/>
      <c r="V176" s="28"/>
      <c r="Y176" s="31" t="s">
        <v>2321</v>
      </c>
      <c r="Z176" s="31" t="s">
        <v>2513</v>
      </c>
      <c r="AA176" s="25"/>
      <c r="AB176" s="29"/>
      <c r="AC176" s="26"/>
      <c r="AE176" s="19" t="s">
        <v>1941</v>
      </c>
      <c r="AF176" s="19" t="s">
        <v>1942</v>
      </c>
      <c r="AG176" s="25"/>
      <c r="AH176" s="25"/>
      <c r="AI176" s="26"/>
      <c r="AJ176" s="25"/>
      <c r="AK176" s="25"/>
      <c r="AL176" s="25"/>
      <c r="AM176" s="25"/>
      <c r="AN176" s="25"/>
      <c r="AO176" s="25"/>
      <c r="AP176" s="25"/>
      <c r="AQ176" s="25"/>
      <c r="AR176" s="25"/>
      <c r="AS176" s="25"/>
      <c r="AT176" s="25"/>
      <c r="AU176" s="25"/>
      <c r="AV176" s="25"/>
      <c r="AW176" s="19" t="s">
        <v>2766</v>
      </c>
      <c r="AX176" s="19" t="s">
        <v>3054</v>
      </c>
      <c r="BA176" s="9" t="s">
        <v>3482</v>
      </c>
      <c r="BB176" s="9" t="s">
        <v>3483</v>
      </c>
    </row>
    <row r="177" spans="10:54" x14ac:dyDescent="0.25">
      <c r="J177" s="25"/>
      <c r="K177" s="26"/>
      <c r="M177" s="19" t="s">
        <v>851</v>
      </c>
      <c r="N177" s="19" t="s">
        <v>1084</v>
      </c>
      <c r="O177" s="25"/>
      <c r="P177" s="25"/>
      <c r="Q177" s="25"/>
      <c r="S177" s="23"/>
      <c r="T177" s="25"/>
      <c r="Y177" s="31" t="s">
        <v>2322</v>
      </c>
      <c r="Z177" s="31" t="s">
        <v>2514</v>
      </c>
      <c r="AA177" s="25"/>
      <c r="AB177" s="29"/>
      <c r="AC177" s="26"/>
      <c r="AE177" s="19" t="s">
        <v>1943</v>
      </c>
      <c r="AF177" s="19" t="s">
        <v>1944</v>
      </c>
      <c r="AG177" s="25"/>
      <c r="AH177" s="25"/>
      <c r="AI177" s="26"/>
      <c r="AJ177" s="25"/>
      <c r="AK177" s="25"/>
      <c r="AL177" s="25"/>
      <c r="AM177" s="25"/>
      <c r="AN177" s="25"/>
      <c r="AO177" s="25"/>
      <c r="AP177" s="25"/>
      <c r="AQ177" s="25"/>
      <c r="AR177" s="25"/>
      <c r="AS177" s="25"/>
      <c r="AT177" s="25"/>
      <c r="AU177" s="25"/>
      <c r="AV177" s="25"/>
      <c r="AW177" s="19" t="s">
        <v>2767</v>
      </c>
      <c r="AX177" s="19" t="s">
        <v>3055</v>
      </c>
      <c r="BA177" s="9" t="s">
        <v>3484</v>
      </c>
      <c r="BB177" s="9" t="s">
        <v>3485</v>
      </c>
    </row>
    <row r="178" spans="10:54" x14ac:dyDescent="0.25">
      <c r="J178" s="25"/>
      <c r="K178" s="26"/>
      <c r="M178" s="19" t="s">
        <v>852</v>
      </c>
      <c r="N178" s="19" t="s">
        <v>1085</v>
      </c>
      <c r="O178" s="25"/>
      <c r="P178" s="25"/>
      <c r="Q178" s="25"/>
      <c r="S178" s="23"/>
      <c r="T178" s="25"/>
      <c r="Y178" s="31" t="s">
        <v>2323</v>
      </c>
      <c r="Z178" s="31" t="s">
        <v>2515</v>
      </c>
      <c r="AA178" s="25"/>
      <c r="AB178" s="29"/>
      <c r="AC178" s="26"/>
      <c r="AE178" s="19" t="s">
        <v>1945</v>
      </c>
      <c r="AF178" s="19" t="s">
        <v>1946</v>
      </c>
      <c r="AG178" s="25"/>
      <c r="AH178" s="25"/>
      <c r="AI178" s="26"/>
      <c r="AJ178" s="25"/>
      <c r="AK178" s="25"/>
      <c r="AL178" s="25"/>
      <c r="AM178" s="25"/>
      <c r="AN178" s="25"/>
      <c r="AO178" s="25"/>
      <c r="AP178" s="25"/>
      <c r="AQ178" s="25"/>
      <c r="AR178" s="25"/>
      <c r="AS178" s="25"/>
      <c r="AT178" s="25"/>
      <c r="AU178" s="25"/>
      <c r="AV178" s="25"/>
      <c r="AW178" s="19" t="s">
        <v>2768</v>
      </c>
      <c r="AX178" s="19" t="s">
        <v>3056</v>
      </c>
      <c r="BA178" s="9" t="s">
        <v>3486</v>
      </c>
      <c r="BB178" s="9" t="s">
        <v>3487</v>
      </c>
    </row>
    <row r="179" spans="10:54" x14ac:dyDescent="0.25">
      <c r="J179" s="25"/>
      <c r="K179" s="26"/>
      <c r="M179" s="19" t="s">
        <v>853</v>
      </c>
      <c r="N179" s="19" t="s">
        <v>1086</v>
      </c>
      <c r="O179" s="25"/>
      <c r="P179" s="25"/>
      <c r="Q179" s="25"/>
      <c r="S179" s="23"/>
      <c r="T179" s="25"/>
      <c r="Y179" s="31" t="s">
        <v>2324</v>
      </c>
      <c r="Z179" s="31" t="s">
        <v>2516</v>
      </c>
      <c r="AA179" s="25"/>
      <c r="AB179" s="29"/>
      <c r="AC179" s="26"/>
      <c r="AE179" s="19" t="s">
        <v>1947</v>
      </c>
      <c r="AF179" s="19" t="s">
        <v>1948</v>
      </c>
      <c r="AG179" s="25"/>
      <c r="AH179" s="25"/>
      <c r="AI179" s="26"/>
      <c r="AJ179" s="25"/>
      <c r="AK179" s="25"/>
      <c r="AL179" s="25"/>
      <c r="AM179" s="25"/>
      <c r="AN179" s="25"/>
      <c r="AO179" s="25"/>
      <c r="AP179" s="25"/>
      <c r="AQ179" s="25"/>
      <c r="AR179" s="25"/>
      <c r="AS179" s="25"/>
      <c r="AT179" s="25"/>
      <c r="AU179" s="25"/>
      <c r="AV179" s="25"/>
      <c r="AW179" s="19" t="s">
        <v>2769</v>
      </c>
      <c r="AX179" s="19" t="s">
        <v>3057</v>
      </c>
      <c r="BA179" s="9" t="s">
        <v>3488</v>
      </c>
      <c r="BB179" s="9" t="s">
        <v>3489</v>
      </c>
    </row>
    <row r="180" spans="10:54" x14ac:dyDescent="0.25">
      <c r="J180" s="25"/>
      <c r="K180" s="26"/>
      <c r="M180" s="19" t="s">
        <v>854</v>
      </c>
      <c r="N180" s="19" t="s">
        <v>1087</v>
      </c>
      <c r="O180" s="25"/>
      <c r="P180" s="25"/>
      <c r="Q180" s="25"/>
      <c r="S180" s="23"/>
      <c r="T180" s="25"/>
      <c r="Y180" s="31" t="s">
        <v>2325</v>
      </c>
      <c r="Z180" s="31" t="s">
        <v>2517</v>
      </c>
      <c r="AA180" s="25"/>
      <c r="AB180" s="29"/>
      <c r="AC180" s="26"/>
      <c r="AE180" s="19" t="s">
        <v>1949</v>
      </c>
      <c r="AF180" s="19" t="s">
        <v>1950</v>
      </c>
      <c r="AG180" s="25"/>
      <c r="AH180" s="25"/>
      <c r="AI180" s="26"/>
      <c r="AJ180" s="25"/>
      <c r="AK180" s="25"/>
      <c r="AL180" s="25"/>
      <c r="AM180" s="25"/>
      <c r="AN180" s="25"/>
      <c r="AO180" s="25"/>
      <c r="AP180" s="25"/>
      <c r="AQ180" s="25"/>
      <c r="AR180" s="25"/>
      <c r="AS180" s="25"/>
      <c r="AT180" s="25"/>
      <c r="AU180" s="25"/>
      <c r="AV180" s="25"/>
      <c r="AW180" s="19" t="s">
        <v>2770</v>
      </c>
      <c r="AX180" s="19" t="s">
        <v>3058</v>
      </c>
      <c r="BA180" s="9" t="s">
        <v>3490</v>
      </c>
      <c r="BB180" s="9" t="s">
        <v>3491</v>
      </c>
    </row>
    <row r="181" spans="10:54" x14ac:dyDescent="0.25">
      <c r="J181" s="25"/>
      <c r="K181" s="26"/>
      <c r="M181" s="19" t="s">
        <v>855</v>
      </c>
      <c r="N181" s="19" t="s">
        <v>1088</v>
      </c>
      <c r="O181" s="25"/>
      <c r="P181" s="25"/>
      <c r="Q181" s="25"/>
      <c r="S181" s="23"/>
      <c r="T181" s="25"/>
      <c r="Y181" s="31" t="s">
        <v>2326</v>
      </c>
      <c r="Z181" s="31" t="s">
        <v>2518</v>
      </c>
      <c r="AA181" s="25"/>
      <c r="AB181" s="29"/>
      <c r="AC181" s="26"/>
      <c r="AE181" s="19" t="s">
        <v>1951</v>
      </c>
      <c r="AF181" s="19" t="s">
        <v>1952</v>
      </c>
      <c r="AG181" s="25"/>
      <c r="AH181" s="25"/>
      <c r="AI181" s="26"/>
      <c r="AJ181" s="25"/>
      <c r="AK181" s="25"/>
      <c r="AL181" s="25"/>
      <c r="AM181" s="25"/>
      <c r="AN181" s="25"/>
      <c r="AO181" s="25"/>
      <c r="AP181" s="25"/>
      <c r="AQ181" s="25"/>
      <c r="AR181" s="25"/>
      <c r="AS181" s="25"/>
      <c r="AT181" s="25"/>
      <c r="AU181" s="25"/>
      <c r="AV181" s="25"/>
      <c r="AW181" s="19" t="s">
        <v>2772</v>
      </c>
      <c r="AX181" s="19" t="s">
        <v>2771</v>
      </c>
      <c r="BA181" s="9" t="s">
        <v>3492</v>
      </c>
      <c r="BB181" s="9" t="s">
        <v>3493</v>
      </c>
    </row>
    <row r="182" spans="10:54" x14ac:dyDescent="0.25">
      <c r="J182" s="25"/>
      <c r="K182" s="26"/>
      <c r="M182" s="19" t="s">
        <v>856</v>
      </c>
      <c r="N182" s="19" t="s">
        <v>1089</v>
      </c>
      <c r="O182" s="25"/>
      <c r="P182" s="25"/>
      <c r="Q182" s="25"/>
      <c r="S182" s="23"/>
      <c r="T182" s="25"/>
      <c r="Y182" s="31" t="s">
        <v>2327</v>
      </c>
      <c r="Z182" s="31" t="s">
        <v>2519</v>
      </c>
      <c r="AA182" s="25"/>
      <c r="AB182" s="29"/>
      <c r="AC182" s="26"/>
      <c r="AE182" s="19" t="s">
        <v>1953</v>
      </c>
      <c r="AF182" s="19" t="s">
        <v>1954</v>
      </c>
      <c r="AG182" s="25"/>
      <c r="AH182" s="25"/>
      <c r="AI182" s="26"/>
      <c r="AJ182" s="25"/>
      <c r="AK182" s="25"/>
      <c r="AL182" s="25"/>
      <c r="AM182" s="25"/>
      <c r="AN182" s="25"/>
      <c r="AO182" s="25"/>
      <c r="AP182" s="25"/>
      <c r="AQ182" s="25"/>
      <c r="AR182" s="25"/>
      <c r="AS182" s="25"/>
      <c r="AT182" s="25"/>
      <c r="AU182" s="25"/>
      <c r="AV182" s="25"/>
      <c r="AW182" s="19" t="s">
        <v>2773</v>
      </c>
      <c r="AX182" s="19" t="s">
        <v>3059</v>
      </c>
      <c r="BA182" s="9" t="s">
        <v>3494</v>
      </c>
      <c r="BB182" s="9" t="s">
        <v>3495</v>
      </c>
    </row>
    <row r="183" spans="10:54" x14ac:dyDescent="0.25">
      <c r="J183" s="25"/>
      <c r="K183" s="26"/>
      <c r="M183" s="19" t="s">
        <v>857</v>
      </c>
      <c r="N183" s="19" t="s">
        <v>1090</v>
      </c>
      <c r="O183" s="25"/>
      <c r="P183" s="25"/>
      <c r="Q183" s="25"/>
      <c r="S183" s="23"/>
      <c r="T183" s="25"/>
      <c r="Y183" s="31" t="s">
        <v>2328</v>
      </c>
      <c r="Z183" s="31" t="s">
        <v>2520</v>
      </c>
      <c r="AA183" s="25"/>
      <c r="AB183" s="29"/>
      <c r="AC183" s="26"/>
      <c r="AE183" s="19" t="s">
        <v>1955</v>
      </c>
      <c r="AF183" s="19" t="s">
        <v>1956</v>
      </c>
      <c r="AG183" s="25"/>
      <c r="AH183" s="25"/>
      <c r="AI183" s="26"/>
      <c r="AJ183" s="25"/>
      <c r="AK183" s="25"/>
      <c r="AL183" s="25"/>
      <c r="AM183" s="25"/>
      <c r="AN183" s="25"/>
      <c r="AO183" s="25"/>
      <c r="AP183" s="25"/>
      <c r="AQ183" s="25"/>
      <c r="AR183" s="25"/>
      <c r="AS183" s="25"/>
      <c r="AT183" s="25"/>
      <c r="AU183" s="25"/>
      <c r="AV183" s="25"/>
      <c r="AW183" s="19" t="s">
        <v>2774</v>
      </c>
      <c r="AX183" s="19" t="s">
        <v>3060</v>
      </c>
      <c r="BA183" s="9" t="s">
        <v>3496</v>
      </c>
      <c r="BB183" s="9" t="s">
        <v>3497</v>
      </c>
    </row>
    <row r="184" spans="10:54" x14ac:dyDescent="0.25">
      <c r="J184" s="25"/>
      <c r="K184" s="26"/>
      <c r="M184" s="19" t="s">
        <v>858</v>
      </c>
      <c r="N184" s="19" t="s">
        <v>1091</v>
      </c>
      <c r="O184" s="25"/>
      <c r="P184" s="25"/>
      <c r="Q184" s="25"/>
      <c r="S184" s="23"/>
      <c r="T184" s="25"/>
      <c r="Y184" s="31" t="s">
        <v>2329</v>
      </c>
      <c r="Z184" s="31" t="s">
        <v>2521</v>
      </c>
      <c r="AA184" s="25"/>
      <c r="AB184" s="29"/>
      <c r="AC184" s="26"/>
      <c r="AE184" s="19" t="s">
        <v>1957</v>
      </c>
      <c r="AF184" s="19" t="s">
        <v>1958</v>
      </c>
      <c r="AG184" s="25"/>
      <c r="AH184" s="25"/>
      <c r="AI184" s="26"/>
      <c r="AJ184" s="25"/>
      <c r="AK184" s="25"/>
      <c r="AL184" s="25"/>
      <c r="AM184" s="25"/>
      <c r="AN184" s="25"/>
      <c r="AO184" s="25"/>
      <c r="AP184" s="25"/>
      <c r="AQ184" s="25"/>
      <c r="AR184" s="25"/>
      <c r="AS184" s="25"/>
      <c r="AT184" s="25"/>
      <c r="AU184" s="25"/>
      <c r="AV184" s="25"/>
      <c r="AW184" s="19" t="s">
        <v>2775</v>
      </c>
      <c r="AX184" s="19" t="s">
        <v>3061</v>
      </c>
      <c r="BA184" s="9" t="s">
        <v>3498</v>
      </c>
      <c r="BB184" s="9" t="s">
        <v>3499</v>
      </c>
    </row>
    <row r="185" spans="10:54" x14ac:dyDescent="0.25">
      <c r="J185" s="25"/>
      <c r="K185" s="26"/>
      <c r="M185" s="19" t="s">
        <v>859</v>
      </c>
      <c r="N185" s="19" t="s">
        <v>1092</v>
      </c>
      <c r="O185" s="25"/>
      <c r="P185" s="25"/>
      <c r="Q185" s="25"/>
      <c r="S185" s="23"/>
      <c r="T185" s="25"/>
      <c r="Y185" s="31" t="s">
        <v>2330</v>
      </c>
      <c r="Z185" s="31" t="s">
        <v>2522</v>
      </c>
      <c r="AA185" s="25"/>
      <c r="AB185" s="29"/>
      <c r="AC185" s="26"/>
      <c r="AE185" s="19" t="s">
        <v>1959</v>
      </c>
      <c r="AF185" s="19" t="s">
        <v>1960</v>
      </c>
      <c r="AG185" s="25"/>
      <c r="AH185" s="25"/>
      <c r="AI185" s="26"/>
      <c r="AJ185" s="25"/>
      <c r="AK185" s="25"/>
      <c r="AL185" s="25"/>
      <c r="AM185" s="25"/>
      <c r="AN185" s="25"/>
      <c r="AO185" s="25"/>
      <c r="AP185" s="25"/>
      <c r="AQ185" s="25"/>
      <c r="AR185" s="25"/>
      <c r="AS185" s="25"/>
      <c r="AT185" s="25"/>
      <c r="AU185" s="25"/>
      <c r="AV185" s="25"/>
      <c r="AW185" s="19" t="s">
        <v>2776</v>
      </c>
      <c r="AX185" s="19" t="s">
        <v>3062</v>
      </c>
      <c r="BA185" s="9" t="s">
        <v>3500</v>
      </c>
      <c r="BB185" s="9" t="s">
        <v>3501</v>
      </c>
    </row>
    <row r="186" spans="10:54" x14ac:dyDescent="0.25">
      <c r="J186" s="25"/>
      <c r="K186" s="26"/>
      <c r="M186" s="19" t="s">
        <v>860</v>
      </c>
      <c r="N186" s="19" t="s">
        <v>1093</v>
      </c>
      <c r="O186" s="25"/>
      <c r="P186" s="25"/>
      <c r="Q186" s="25"/>
      <c r="S186" s="23"/>
      <c r="T186" s="25"/>
      <c r="Y186" s="31" t="s">
        <v>2331</v>
      </c>
      <c r="Z186" s="31" t="s">
        <v>2523</v>
      </c>
      <c r="AA186" s="25"/>
      <c r="AB186" s="29"/>
      <c r="AC186" s="26"/>
      <c r="AE186" s="19" t="s">
        <v>1961</v>
      </c>
      <c r="AF186" s="19" t="s">
        <v>1962</v>
      </c>
      <c r="AG186" s="25"/>
      <c r="AH186" s="25"/>
      <c r="AI186" s="26"/>
      <c r="AJ186" s="25"/>
      <c r="AK186" s="25"/>
      <c r="AL186" s="25"/>
      <c r="AM186" s="25"/>
      <c r="AN186" s="25"/>
      <c r="AO186" s="25"/>
      <c r="AP186" s="25"/>
      <c r="AQ186" s="25"/>
      <c r="AR186" s="25"/>
      <c r="AS186" s="25"/>
      <c r="AT186" s="25"/>
      <c r="AU186" s="25"/>
      <c r="AV186" s="25"/>
      <c r="AW186" s="19" t="s">
        <v>2777</v>
      </c>
      <c r="AX186" s="19" t="s">
        <v>3063</v>
      </c>
      <c r="BA186" s="9" t="s">
        <v>3502</v>
      </c>
      <c r="BB186" s="9" t="s">
        <v>3503</v>
      </c>
    </row>
    <row r="187" spans="10:54" x14ac:dyDescent="0.25">
      <c r="J187" s="25"/>
      <c r="K187" s="26"/>
      <c r="M187" s="19" t="s">
        <v>861</v>
      </c>
      <c r="N187" s="19" t="s">
        <v>1094</v>
      </c>
      <c r="O187" s="25"/>
      <c r="P187" s="25"/>
      <c r="Q187" s="25"/>
      <c r="S187" s="23"/>
      <c r="T187" s="25"/>
      <c r="Y187" s="31" t="s">
        <v>2332</v>
      </c>
      <c r="Z187" s="31" t="s">
        <v>2524</v>
      </c>
      <c r="AA187" s="25"/>
      <c r="AB187" s="29"/>
      <c r="AC187" s="26"/>
      <c r="AE187" s="19" t="s">
        <v>1963</v>
      </c>
      <c r="AF187" s="19" t="s">
        <v>1964</v>
      </c>
      <c r="AG187" s="25"/>
      <c r="AH187" s="25"/>
      <c r="AI187" s="26"/>
      <c r="AJ187" s="25"/>
      <c r="AK187" s="25"/>
      <c r="AL187" s="25"/>
      <c r="AM187" s="25"/>
      <c r="AN187" s="25"/>
      <c r="AO187" s="25"/>
      <c r="AP187" s="25"/>
      <c r="AQ187" s="25"/>
      <c r="AR187" s="25"/>
      <c r="AS187" s="25"/>
      <c r="AT187" s="25"/>
      <c r="AU187" s="25"/>
      <c r="AV187" s="25"/>
      <c r="AW187" s="19" t="s">
        <v>2778</v>
      </c>
      <c r="AX187" s="19" t="s">
        <v>3064</v>
      </c>
      <c r="BA187" s="9" t="s">
        <v>3504</v>
      </c>
      <c r="BB187" s="9" t="s">
        <v>3505</v>
      </c>
    </row>
    <row r="188" spans="10:54" x14ac:dyDescent="0.25">
      <c r="J188" s="25"/>
      <c r="K188" s="26"/>
      <c r="M188" s="19" t="s">
        <v>862</v>
      </c>
      <c r="N188" s="19" t="s">
        <v>1095</v>
      </c>
      <c r="O188" s="25"/>
      <c r="P188" s="25"/>
      <c r="Q188" s="25"/>
      <c r="S188" s="23"/>
      <c r="T188" s="25"/>
      <c r="Y188" s="31" t="s">
        <v>2333</v>
      </c>
      <c r="Z188" s="31" t="s">
        <v>2525</v>
      </c>
      <c r="AA188" s="25"/>
      <c r="AB188" s="29"/>
      <c r="AC188" s="26"/>
      <c r="AE188" s="19" t="s">
        <v>1965</v>
      </c>
      <c r="AF188" s="19" t="s">
        <v>1966</v>
      </c>
      <c r="AG188" s="25"/>
      <c r="AH188" s="25"/>
      <c r="AI188" s="26"/>
      <c r="AJ188" s="25"/>
      <c r="AK188" s="25"/>
      <c r="AL188" s="25"/>
      <c r="AM188" s="25"/>
      <c r="AN188" s="25"/>
      <c r="AO188" s="25"/>
      <c r="AP188" s="25"/>
      <c r="AQ188" s="25"/>
      <c r="AR188" s="25"/>
      <c r="AS188" s="25"/>
      <c r="AT188" s="25"/>
      <c r="AU188" s="25"/>
      <c r="AV188" s="25"/>
      <c r="AW188" s="19" t="s">
        <v>2779</v>
      </c>
      <c r="AX188" s="19" t="s">
        <v>3065</v>
      </c>
      <c r="BA188" s="9" t="s">
        <v>3506</v>
      </c>
      <c r="BB188" s="9" t="s">
        <v>3507</v>
      </c>
    </row>
    <row r="189" spans="10:54" x14ac:dyDescent="0.25">
      <c r="J189" s="25"/>
      <c r="K189" s="26"/>
      <c r="M189" s="19" t="s">
        <v>863</v>
      </c>
      <c r="N189" s="19" t="s">
        <v>1096</v>
      </c>
      <c r="O189" s="25"/>
      <c r="P189" s="25"/>
      <c r="Q189" s="25"/>
      <c r="S189" s="23"/>
      <c r="T189" s="25"/>
      <c r="Y189" s="31" t="s">
        <v>2334</v>
      </c>
      <c r="Z189" s="31" t="s">
        <v>2526</v>
      </c>
      <c r="AA189" s="25"/>
      <c r="AB189" s="29"/>
      <c r="AC189" s="26"/>
      <c r="AE189" s="19" t="s">
        <v>1967</v>
      </c>
      <c r="AF189" s="19" t="s">
        <v>1968</v>
      </c>
      <c r="AG189" s="25"/>
      <c r="AH189" s="25"/>
      <c r="AI189" s="26"/>
      <c r="AJ189" s="25"/>
      <c r="AK189" s="25"/>
      <c r="AL189" s="25"/>
      <c r="AM189" s="25"/>
      <c r="AN189" s="25"/>
      <c r="AO189" s="25"/>
      <c r="AP189" s="25"/>
      <c r="AQ189" s="25"/>
      <c r="AR189" s="25"/>
      <c r="AS189" s="25"/>
      <c r="AT189" s="25"/>
      <c r="AU189" s="25"/>
      <c r="AV189" s="25"/>
      <c r="AW189" s="19" t="s">
        <v>2780</v>
      </c>
      <c r="AX189" s="19" t="s">
        <v>3066</v>
      </c>
      <c r="BA189" s="9" t="s">
        <v>3508</v>
      </c>
      <c r="BB189" s="9" t="s">
        <v>3509</v>
      </c>
    </row>
    <row r="190" spans="10:54" x14ac:dyDescent="0.25">
      <c r="J190" s="25"/>
      <c r="K190" s="26"/>
      <c r="M190" s="19" t="s">
        <v>864</v>
      </c>
      <c r="N190" s="19" t="s">
        <v>1097</v>
      </c>
      <c r="O190" s="25"/>
      <c r="P190" s="25"/>
      <c r="Q190" s="25"/>
      <c r="S190" s="23"/>
      <c r="T190" s="25"/>
      <c r="Y190" s="31" t="s">
        <v>2335</v>
      </c>
      <c r="Z190" s="31" t="s">
        <v>2527</v>
      </c>
      <c r="AA190" s="25"/>
      <c r="AB190" s="29"/>
      <c r="AC190" s="26"/>
      <c r="AE190" s="19" t="s">
        <v>1969</v>
      </c>
      <c r="AF190" s="19" t="s">
        <v>1970</v>
      </c>
      <c r="AG190" s="25"/>
      <c r="AH190" s="25"/>
      <c r="AI190" s="26"/>
      <c r="AJ190" s="25"/>
      <c r="AK190" s="25"/>
      <c r="AL190" s="25"/>
      <c r="AM190" s="25"/>
      <c r="AN190" s="25"/>
      <c r="AO190" s="25"/>
      <c r="AP190" s="25"/>
      <c r="AQ190" s="25"/>
      <c r="AR190" s="25"/>
      <c r="AS190" s="25"/>
      <c r="AT190" s="25"/>
      <c r="AU190" s="25"/>
      <c r="AV190" s="25"/>
      <c r="AW190" s="19" t="s">
        <v>2781</v>
      </c>
      <c r="AX190" s="19" t="s">
        <v>3067</v>
      </c>
      <c r="BA190" s="9" t="s">
        <v>3510</v>
      </c>
      <c r="BB190" s="9" t="s">
        <v>3511</v>
      </c>
    </row>
    <row r="191" spans="10:54" x14ac:dyDescent="0.25">
      <c r="J191" s="25"/>
      <c r="K191" s="26"/>
      <c r="M191" s="19" t="s">
        <v>865</v>
      </c>
      <c r="N191" s="19" t="s">
        <v>1098</v>
      </c>
      <c r="O191" s="25"/>
      <c r="P191" s="25"/>
      <c r="Q191" s="25"/>
      <c r="S191" s="23"/>
      <c r="T191" s="25"/>
      <c r="Y191" s="31" t="s">
        <v>2336</v>
      </c>
      <c r="Z191" s="31" t="s">
        <v>2528</v>
      </c>
      <c r="AA191" s="25"/>
      <c r="AB191" s="29"/>
      <c r="AC191" s="26"/>
      <c r="AE191" s="19" t="s">
        <v>1971</v>
      </c>
      <c r="AF191" s="19" t="s">
        <v>1972</v>
      </c>
      <c r="AG191" s="25"/>
      <c r="AH191" s="25"/>
      <c r="AI191" s="26"/>
      <c r="AJ191" s="25"/>
      <c r="AK191" s="25"/>
      <c r="AL191" s="25"/>
      <c r="AM191" s="25"/>
      <c r="AN191" s="25"/>
      <c r="AO191" s="25"/>
      <c r="AP191" s="25"/>
      <c r="AQ191" s="25"/>
      <c r="AR191" s="25"/>
      <c r="AS191" s="25"/>
      <c r="AT191" s="25"/>
      <c r="AU191" s="25"/>
      <c r="AV191" s="25"/>
      <c r="AW191" s="19" t="s">
        <v>2782</v>
      </c>
      <c r="AX191" s="19" t="s">
        <v>3068</v>
      </c>
      <c r="BA191" s="9" t="s">
        <v>3512</v>
      </c>
      <c r="BB191" s="9" t="s">
        <v>3513</v>
      </c>
    </row>
    <row r="192" spans="10:54" x14ac:dyDescent="0.25">
      <c r="J192" s="25"/>
      <c r="K192" s="26"/>
      <c r="M192" s="19" t="s">
        <v>866</v>
      </c>
      <c r="N192" s="19" t="s">
        <v>1099</v>
      </c>
      <c r="O192" s="25"/>
      <c r="P192" s="25"/>
      <c r="Q192" s="25"/>
      <c r="S192" s="23"/>
      <c r="T192" s="25"/>
      <c r="Y192" s="31" t="s">
        <v>2337</v>
      </c>
      <c r="Z192" s="31" t="s">
        <v>2529</v>
      </c>
      <c r="AA192" s="25"/>
      <c r="AB192" s="29"/>
      <c r="AC192" s="26"/>
      <c r="AE192" s="19" t="s">
        <v>1973</v>
      </c>
      <c r="AF192" s="19" t="s">
        <v>1974</v>
      </c>
      <c r="AG192" s="25"/>
      <c r="AH192" s="25"/>
      <c r="AI192" s="26"/>
      <c r="AJ192" s="25"/>
      <c r="AK192" s="25"/>
      <c r="AL192" s="25"/>
      <c r="AM192" s="25"/>
      <c r="AN192" s="25"/>
      <c r="AO192" s="25"/>
      <c r="AP192" s="25"/>
      <c r="AQ192" s="25"/>
      <c r="AR192" s="25"/>
      <c r="AS192" s="25"/>
      <c r="AT192" s="25"/>
      <c r="AU192" s="25"/>
      <c r="AV192" s="25"/>
      <c r="AW192" s="19" t="s">
        <v>2783</v>
      </c>
      <c r="AX192" s="19" t="s">
        <v>3069</v>
      </c>
      <c r="BA192" s="9" t="s">
        <v>3514</v>
      </c>
      <c r="BB192" s="9" t="s">
        <v>3515</v>
      </c>
    </row>
    <row r="193" spans="10:54" x14ac:dyDescent="0.25">
      <c r="J193" s="25"/>
      <c r="K193" s="26"/>
      <c r="M193" s="19" t="s">
        <v>867</v>
      </c>
      <c r="N193" s="19" t="s">
        <v>1100</v>
      </c>
      <c r="O193" s="25"/>
      <c r="P193" s="25"/>
      <c r="Q193" s="25"/>
      <c r="S193" s="23"/>
      <c r="T193" s="25"/>
      <c r="Y193" s="31" t="s">
        <v>2338</v>
      </c>
      <c r="Z193" s="31" t="s">
        <v>2530</v>
      </c>
      <c r="AA193" s="25"/>
      <c r="AB193" s="29"/>
      <c r="AC193" s="26"/>
      <c r="AE193" s="19" t="s">
        <v>1975</v>
      </c>
      <c r="AF193" s="19" t="s">
        <v>1976</v>
      </c>
      <c r="AG193" s="25"/>
      <c r="AH193" s="25"/>
      <c r="AI193" s="26"/>
      <c r="AJ193" s="25"/>
      <c r="AK193" s="25"/>
      <c r="AL193" s="25"/>
      <c r="AM193" s="25"/>
      <c r="AN193" s="25"/>
      <c r="AO193" s="25"/>
      <c r="AP193" s="25"/>
      <c r="AQ193" s="25"/>
      <c r="AR193" s="25"/>
      <c r="AS193" s="25"/>
      <c r="AT193" s="25"/>
      <c r="AU193" s="25"/>
      <c r="AV193" s="25"/>
      <c r="AW193" s="19" t="s">
        <v>2784</v>
      </c>
      <c r="AX193" s="19" t="s">
        <v>3070</v>
      </c>
      <c r="BA193" s="9" t="s">
        <v>3516</v>
      </c>
      <c r="BB193" s="9" t="s">
        <v>3517</v>
      </c>
    </row>
    <row r="194" spans="10:54" x14ac:dyDescent="0.25">
      <c r="J194" s="25"/>
      <c r="K194" s="26"/>
      <c r="M194" s="19" t="s">
        <v>868</v>
      </c>
      <c r="N194" s="19" t="s">
        <v>1101</v>
      </c>
      <c r="O194" s="25"/>
      <c r="P194" s="25"/>
      <c r="Q194" s="25"/>
      <c r="S194" s="23"/>
      <c r="T194" s="25"/>
      <c r="Y194" s="29"/>
      <c r="Z194" s="26"/>
      <c r="AB194" s="29"/>
      <c r="AE194" s="19" t="s">
        <v>1977</v>
      </c>
      <c r="AF194" s="19" t="s">
        <v>1978</v>
      </c>
      <c r="AG194" s="25"/>
      <c r="AH194" s="25"/>
      <c r="AI194" s="26"/>
      <c r="AJ194" s="25"/>
      <c r="AK194" s="25"/>
      <c r="AL194" s="25"/>
      <c r="AM194" s="25"/>
      <c r="AN194" s="25"/>
      <c r="AO194" s="25"/>
      <c r="AP194" s="25"/>
      <c r="AQ194" s="25"/>
      <c r="AR194" s="25"/>
      <c r="AS194" s="25"/>
      <c r="AT194" s="25"/>
      <c r="AU194" s="25"/>
      <c r="AV194" s="25"/>
      <c r="AW194" s="19" t="s">
        <v>2785</v>
      </c>
      <c r="AX194" s="19" t="s">
        <v>3071</v>
      </c>
      <c r="BA194" s="9" t="s">
        <v>3518</v>
      </c>
      <c r="BB194" s="9" t="s">
        <v>3519</v>
      </c>
    </row>
    <row r="195" spans="10:54" x14ac:dyDescent="0.25">
      <c r="J195" s="25"/>
      <c r="K195" s="26"/>
      <c r="M195" s="19" t="s">
        <v>869</v>
      </c>
      <c r="N195" s="19" t="s">
        <v>1102</v>
      </c>
      <c r="O195" s="25"/>
      <c r="P195" s="25"/>
      <c r="Q195" s="25"/>
      <c r="S195" s="23"/>
      <c r="T195" s="25"/>
      <c r="Y195" s="29"/>
      <c r="Z195" s="26"/>
      <c r="AE195" s="19" t="s">
        <v>1979</v>
      </c>
      <c r="AF195" s="19" t="s">
        <v>1980</v>
      </c>
      <c r="AG195" s="25"/>
      <c r="AH195" s="25"/>
      <c r="AI195" s="26"/>
      <c r="AJ195" s="25"/>
      <c r="AK195" s="25"/>
      <c r="AL195" s="25"/>
      <c r="AM195" s="25"/>
      <c r="AN195" s="25"/>
      <c r="AO195" s="25"/>
      <c r="AP195" s="25"/>
      <c r="AQ195" s="25"/>
      <c r="AR195" s="25"/>
      <c r="AS195" s="25"/>
      <c r="AT195" s="25"/>
      <c r="AU195" s="25"/>
      <c r="AV195" s="25"/>
      <c r="AW195" s="19" t="s">
        <v>2786</v>
      </c>
      <c r="AX195" s="19" t="s">
        <v>3072</v>
      </c>
      <c r="BA195" s="9" t="s">
        <v>3520</v>
      </c>
      <c r="BB195" s="9" t="s">
        <v>3521</v>
      </c>
    </row>
    <row r="196" spans="10:54" x14ac:dyDescent="0.25">
      <c r="J196" s="25"/>
      <c r="K196" s="26"/>
      <c r="M196" s="19" t="s">
        <v>870</v>
      </c>
      <c r="N196" s="19" t="s">
        <v>1103</v>
      </c>
      <c r="O196" s="25"/>
      <c r="P196" s="25"/>
      <c r="Q196" s="25"/>
      <c r="S196" s="23"/>
      <c r="T196" s="25"/>
      <c r="Y196" s="29"/>
      <c r="Z196" s="26"/>
      <c r="AE196" s="19" t="s">
        <v>1981</v>
      </c>
      <c r="AF196" s="19" t="s">
        <v>1982</v>
      </c>
      <c r="AG196" s="25"/>
      <c r="AH196" s="25"/>
      <c r="AI196" s="26"/>
      <c r="AJ196" s="25"/>
      <c r="AK196" s="25"/>
      <c r="AL196" s="25"/>
      <c r="AM196" s="25"/>
      <c r="AN196" s="25"/>
      <c r="AO196" s="25"/>
      <c r="AP196" s="25"/>
      <c r="AQ196" s="25"/>
      <c r="AR196" s="25"/>
      <c r="AS196" s="25"/>
      <c r="AT196" s="25"/>
      <c r="AU196" s="25"/>
      <c r="AV196" s="25"/>
      <c r="AW196" s="19" t="s">
        <v>2787</v>
      </c>
      <c r="AX196" s="19" t="s">
        <v>3073</v>
      </c>
      <c r="BA196" s="9" t="s">
        <v>3522</v>
      </c>
      <c r="BB196" s="9" t="s">
        <v>3523</v>
      </c>
    </row>
    <row r="197" spans="10:54" x14ac:dyDescent="0.25">
      <c r="J197" s="25"/>
      <c r="K197" s="26"/>
      <c r="M197" s="19" t="s">
        <v>871</v>
      </c>
      <c r="N197" s="19" t="s">
        <v>1104</v>
      </c>
      <c r="O197" s="25"/>
      <c r="P197" s="25"/>
      <c r="Q197" s="25"/>
      <c r="S197" s="23"/>
      <c r="T197" s="25"/>
      <c r="Y197" s="29"/>
      <c r="Z197" s="26"/>
      <c r="AE197" s="19" t="s">
        <v>1983</v>
      </c>
      <c r="AF197" s="19" t="s">
        <v>1984</v>
      </c>
      <c r="AG197" s="25"/>
      <c r="AH197" s="25"/>
      <c r="AI197" s="26"/>
      <c r="AJ197" s="25"/>
      <c r="AK197" s="25"/>
      <c r="AL197" s="25"/>
      <c r="AM197" s="25"/>
      <c r="AN197" s="25"/>
      <c r="AO197" s="25"/>
      <c r="AP197" s="25"/>
      <c r="AQ197" s="25"/>
      <c r="AR197" s="25"/>
      <c r="AS197" s="25"/>
      <c r="AT197" s="25"/>
      <c r="AU197" s="25"/>
      <c r="AV197" s="25"/>
      <c r="AW197" s="19" t="s">
        <v>2788</v>
      </c>
      <c r="AX197" s="19" t="s">
        <v>3074</v>
      </c>
      <c r="BA197" s="9" t="s">
        <v>3524</v>
      </c>
      <c r="BB197" s="9" t="s">
        <v>3525</v>
      </c>
    </row>
    <row r="198" spans="10:54" x14ac:dyDescent="0.25">
      <c r="J198" s="25"/>
      <c r="K198" s="26"/>
      <c r="M198" s="19" t="s">
        <v>872</v>
      </c>
      <c r="N198" s="19" t="s">
        <v>1105</v>
      </c>
      <c r="O198" s="25"/>
      <c r="P198" s="25"/>
      <c r="Q198" s="25"/>
      <c r="S198" s="23"/>
      <c r="T198" s="25"/>
      <c r="Y198" s="29"/>
      <c r="Z198" s="26"/>
      <c r="AE198" s="19" t="s">
        <v>1985</v>
      </c>
      <c r="AF198" s="19" t="s">
        <v>1986</v>
      </c>
      <c r="AG198" s="25"/>
      <c r="AH198" s="25"/>
      <c r="AI198" s="26"/>
      <c r="AJ198" s="25"/>
      <c r="AK198" s="25"/>
      <c r="AL198" s="25"/>
      <c r="AM198" s="25"/>
      <c r="AN198" s="25"/>
      <c r="AO198" s="25"/>
      <c r="AP198" s="25"/>
      <c r="AQ198" s="25"/>
      <c r="AR198" s="25"/>
      <c r="AS198" s="25"/>
      <c r="AT198" s="25"/>
      <c r="AU198" s="25"/>
      <c r="AV198" s="25"/>
      <c r="AW198" s="19" t="s">
        <v>2789</v>
      </c>
      <c r="AX198" s="19" t="s">
        <v>3075</v>
      </c>
      <c r="BA198" s="9" t="s">
        <v>3526</v>
      </c>
      <c r="BB198" s="9" t="s">
        <v>3527</v>
      </c>
    </row>
    <row r="199" spans="10:54" x14ac:dyDescent="0.25">
      <c r="J199" s="25"/>
      <c r="K199" s="26"/>
      <c r="M199" s="19" t="s">
        <v>873</v>
      </c>
      <c r="N199" s="19" t="s">
        <v>1106</v>
      </c>
      <c r="O199" s="25"/>
      <c r="P199" s="25"/>
      <c r="Q199" s="25"/>
      <c r="S199" s="23"/>
      <c r="T199" s="25"/>
      <c r="Y199" s="29"/>
      <c r="Z199" s="26"/>
      <c r="AE199" s="19" t="s">
        <v>1987</v>
      </c>
      <c r="AF199" s="19" t="s">
        <v>1988</v>
      </c>
      <c r="AG199" s="25"/>
      <c r="AH199" s="25"/>
      <c r="AI199" s="26"/>
      <c r="AJ199" s="25"/>
      <c r="AK199" s="25"/>
      <c r="AL199" s="25"/>
      <c r="AM199" s="25"/>
      <c r="AN199" s="25"/>
      <c r="AO199" s="25"/>
      <c r="AP199" s="25"/>
      <c r="AQ199" s="25"/>
      <c r="AR199" s="25"/>
      <c r="AS199" s="25"/>
      <c r="AT199" s="25"/>
      <c r="AU199" s="25"/>
      <c r="AV199" s="25"/>
      <c r="AW199" s="19" t="s">
        <v>2790</v>
      </c>
      <c r="AX199" s="19" t="s">
        <v>3076</v>
      </c>
      <c r="BA199" s="9" t="s">
        <v>3528</v>
      </c>
      <c r="BB199" s="9" t="s">
        <v>3529</v>
      </c>
    </row>
    <row r="200" spans="10:54" x14ac:dyDescent="0.25">
      <c r="J200" s="25"/>
      <c r="K200" s="26"/>
      <c r="M200" s="19" t="s">
        <v>874</v>
      </c>
      <c r="N200" s="19" t="s">
        <v>1107</v>
      </c>
      <c r="O200" s="25"/>
      <c r="P200" s="25"/>
      <c r="Q200" s="25"/>
      <c r="S200" s="23"/>
      <c r="T200" s="25"/>
      <c r="Y200" s="29"/>
      <c r="Z200" s="26"/>
      <c r="AE200" s="19" t="s">
        <v>1989</v>
      </c>
      <c r="AF200" s="19" t="s">
        <v>1990</v>
      </c>
      <c r="AG200" s="25"/>
      <c r="AH200" s="25"/>
      <c r="AI200" s="26"/>
      <c r="AJ200" s="25"/>
      <c r="AK200" s="25"/>
      <c r="AL200" s="25"/>
      <c r="AM200" s="25"/>
      <c r="AN200" s="25"/>
      <c r="AO200" s="25"/>
      <c r="AP200" s="25"/>
      <c r="AQ200" s="25"/>
      <c r="AR200" s="25"/>
      <c r="AS200" s="25"/>
      <c r="AT200" s="25"/>
      <c r="AU200" s="25"/>
      <c r="AV200" s="25"/>
      <c r="AW200" s="19" t="s">
        <v>2791</v>
      </c>
      <c r="AX200" s="19" t="s">
        <v>3077</v>
      </c>
      <c r="BA200" s="9" t="s">
        <v>3530</v>
      </c>
      <c r="BB200" s="9" t="s">
        <v>3531</v>
      </c>
    </row>
    <row r="201" spans="10:54" x14ac:dyDescent="0.25">
      <c r="J201" s="25"/>
      <c r="K201" s="26"/>
      <c r="M201" s="19" t="s">
        <v>875</v>
      </c>
      <c r="N201" s="19" t="s">
        <v>1108</v>
      </c>
      <c r="O201" s="25"/>
      <c r="P201" s="25"/>
      <c r="Q201" s="25"/>
      <c r="S201" s="23"/>
      <c r="T201" s="25"/>
      <c r="Y201" s="29"/>
      <c r="Z201" s="26"/>
      <c r="AE201" s="19" t="s">
        <v>1991</v>
      </c>
      <c r="AF201" s="19" t="s">
        <v>1992</v>
      </c>
      <c r="AG201" s="25"/>
      <c r="AH201" s="25"/>
      <c r="AI201" s="26"/>
      <c r="AJ201" s="25"/>
      <c r="AK201" s="25"/>
      <c r="AL201" s="25"/>
      <c r="AM201" s="25"/>
      <c r="AN201" s="25"/>
      <c r="AO201" s="25"/>
      <c r="AP201" s="25"/>
      <c r="AQ201" s="25"/>
      <c r="AR201" s="25"/>
      <c r="AS201" s="25"/>
      <c r="AT201" s="25"/>
      <c r="AU201" s="25"/>
      <c r="AV201" s="25"/>
      <c r="AW201" s="19" t="s">
        <v>2792</v>
      </c>
      <c r="AX201" s="19" t="s">
        <v>3078</v>
      </c>
      <c r="BA201" s="9" t="s">
        <v>3532</v>
      </c>
      <c r="BB201" s="9" t="s">
        <v>3533</v>
      </c>
    </row>
    <row r="202" spans="10:54" x14ac:dyDescent="0.25">
      <c r="J202" s="25"/>
      <c r="K202" s="26"/>
      <c r="M202" s="19" t="s">
        <v>876</v>
      </c>
      <c r="N202" s="19" t="s">
        <v>1109</v>
      </c>
      <c r="O202" s="25"/>
      <c r="P202" s="25"/>
      <c r="Q202" s="25"/>
      <c r="S202" s="23"/>
      <c r="T202" s="25"/>
      <c r="Y202" s="29"/>
      <c r="Z202" s="26"/>
      <c r="AE202" s="19" t="s">
        <v>1993</v>
      </c>
      <c r="AF202" s="19" t="s">
        <v>1994</v>
      </c>
      <c r="AG202" s="25"/>
      <c r="AH202" s="25"/>
      <c r="AI202" s="26"/>
      <c r="AJ202" s="25"/>
      <c r="AK202" s="25"/>
      <c r="AL202" s="25"/>
      <c r="AM202" s="25"/>
      <c r="AN202" s="25"/>
      <c r="AO202" s="25"/>
      <c r="AP202" s="25"/>
      <c r="AQ202" s="25"/>
      <c r="AR202" s="25"/>
      <c r="AS202" s="25"/>
      <c r="AT202" s="25"/>
      <c r="AU202" s="25"/>
      <c r="AV202" s="25"/>
      <c r="AW202" s="19" t="s">
        <v>2793</v>
      </c>
      <c r="AX202" s="19" t="s">
        <v>3079</v>
      </c>
      <c r="BA202" s="9" t="s">
        <v>3534</v>
      </c>
      <c r="BB202" s="9" t="s">
        <v>3535</v>
      </c>
    </row>
    <row r="203" spans="10:54" x14ac:dyDescent="0.25">
      <c r="J203" s="25"/>
      <c r="K203" s="26"/>
      <c r="M203" s="19" t="s">
        <v>877</v>
      </c>
      <c r="N203" s="19" t="s">
        <v>1110</v>
      </c>
      <c r="O203" s="25"/>
      <c r="P203" s="25"/>
      <c r="Q203" s="25"/>
      <c r="S203" s="23"/>
      <c r="T203" s="25"/>
      <c r="Y203" s="29"/>
      <c r="Z203" s="26"/>
      <c r="AE203" s="19" t="s">
        <v>1995</v>
      </c>
      <c r="AF203" s="19" t="s">
        <v>1996</v>
      </c>
      <c r="AG203" s="25"/>
      <c r="AH203" s="25"/>
      <c r="AI203" s="26"/>
      <c r="AJ203" s="25"/>
      <c r="AK203" s="25"/>
      <c r="AL203" s="25"/>
      <c r="AM203" s="25"/>
      <c r="AN203" s="25"/>
      <c r="AO203" s="25"/>
      <c r="AP203" s="25"/>
      <c r="AQ203" s="25"/>
      <c r="AR203" s="25"/>
      <c r="AS203" s="25"/>
      <c r="AT203" s="25"/>
      <c r="AU203" s="25"/>
      <c r="AV203" s="25"/>
      <c r="AW203" s="19" t="s">
        <v>2794</v>
      </c>
      <c r="AX203" s="19" t="s">
        <v>3080</v>
      </c>
      <c r="BA203" s="9" t="s">
        <v>3536</v>
      </c>
      <c r="BB203" s="9" t="s">
        <v>3537</v>
      </c>
    </row>
    <row r="204" spans="10:54" x14ac:dyDescent="0.25">
      <c r="J204" s="25"/>
      <c r="K204" s="26"/>
      <c r="M204" s="19" t="s">
        <v>878</v>
      </c>
      <c r="N204" s="19" t="s">
        <v>1111</v>
      </c>
      <c r="O204" s="25"/>
      <c r="P204" s="25"/>
      <c r="Q204" s="25"/>
      <c r="S204" s="23"/>
      <c r="T204" s="25"/>
      <c r="Y204" s="29"/>
      <c r="Z204" s="26"/>
      <c r="AE204" s="19" t="s">
        <v>1997</v>
      </c>
      <c r="AF204" s="19" t="s">
        <v>1998</v>
      </c>
      <c r="AG204" s="25"/>
      <c r="AH204" s="25"/>
      <c r="AI204" s="26"/>
      <c r="AJ204" s="25"/>
      <c r="AK204" s="25"/>
      <c r="AL204" s="25"/>
      <c r="AM204" s="25"/>
      <c r="AN204" s="25"/>
      <c r="AO204" s="25"/>
      <c r="AP204" s="25"/>
      <c r="AQ204" s="25"/>
      <c r="AR204" s="25"/>
      <c r="AS204" s="25"/>
      <c r="AT204" s="25"/>
      <c r="AU204" s="25"/>
      <c r="AV204" s="25"/>
      <c r="AW204" s="19" t="s">
        <v>2795</v>
      </c>
      <c r="AX204" s="19" t="s">
        <v>3081</v>
      </c>
      <c r="BA204" s="9" t="s">
        <v>3538</v>
      </c>
      <c r="BB204" s="9" t="s">
        <v>3539</v>
      </c>
    </row>
    <row r="205" spans="10:54" x14ac:dyDescent="0.25">
      <c r="J205" s="25"/>
      <c r="K205" s="26"/>
      <c r="M205" s="19" t="s">
        <v>879</v>
      </c>
      <c r="N205" s="19" t="s">
        <v>1112</v>
      </c>
      <c r="O205" s="25"/>
      <c r="P205" s="25"/>
      <c r="Q205" s="25"/>
      <c r="S205" s="23"/>
      <c r="T205" s="25"/>
      <c r="Y205" s="29"/>
      <c r="Z205" s="26"/>
      <c r="AE205" s="19" t="s">
        <v>1999</v>
      </c>
      <c r="AF205" s="19" t="s">
        <v>2000</v>
      </c>
      <c r="AG205" s="25"/>
      <c r="AH205" s="25"/>
      <c r="AI205" s="26"/>
      <c r="AJ205" s="25"/>
      <c r="AK205" s="25"/>
      <c r="AL205" s="25"/>
      <c r="AM205" s="25"/>
      <c r="AN205" s="25"/>
      <c r="AO205" s="25"/>
      <c r="AP205" s="25"/>
      <c r="AQ205" s="25"/>
      <c r="AR205" s="25"/>
      <c r="AS205" s="25"/>
      <c r="AT205" s="25"/>
      <c r="AU205" s="25"/>
      <c r="AV205" s="25"/>
      <c r="AW205" s="19" t="s">
        <v>2796</v>
      </c>
      <c r="AX205" s="19" t="s">
        <v>3082</v>
      </c>
      <c r="BA205" s="9" t="s">
        <v>3540</v>
      </c>
      <c r="BB205" s="9" t="s">
        <v>3541</v>
      </c>
    </row>
    <row r="206" spans="10:54" x14ac:dyDescent="0.25">
      <c r="J206" s="25"/>
      <c r="K206" s="26"/>
      <c r="M206" s="19" t="s">
        <v>880</v>
      </c>
      <c r="N206" s="19" t="s">
        <v>1113</v>
      </c>
      <c r="O206" s="25"/>
      <c r="P206" s="25"/>
      <c r="Q206" s="25"/>
      <c r="S206" s="23"/>
      <c r="T206" s="25"/>
      <c r="Y206" s="29"/>
      <c r="Z206" s="26"/>
      <c r="AE206" s="19" t="s">
        <v>2001</v>
      </c>
      <c r="AF206" s="19" t="s">
        <v>2002</v>
      </c>
      <c r="AG206" s="25"/>
      <c r="AH206" s="25"/>
      <c r="AI206" s="26"/>
      <c r="AJ206" s="25"/>
      <c r="AK206" s="25"/>
      <c r="AL206" s="25"/>
      <c r="AM206" s="25"/>
      <c r="AN206" s="25"/>
      <c r="AO206" s="25"/>
      <c r="AP206" s="25"/>
      <c r="AQ206" s="25"/>
      <c r="AR206" s="25"/>
      <c r="AS206" s="25"/>
      <c r="AT206" s="25"/>
      <c r="AU206" s="25"/>
      <c r="AV206" s="25"/>
      <c r="AW206" s="19" t="s">
        <v>2797</v>
      </c>
      <c r="AX206" s="19" t="s">
        <v>3083</v>
      </c>
      <c r="BA206" s="9" t="s">
        <v>3542</v>
      </c>
      <c r="BB206" s="9" t="s">
        <v>3543</v>
      </c>
    </row>
    <row r="207" spans="10:54" x14ac:dyDescent="0.25">
      <c r="J207" s="25"/>
      <c r="K207" s="25"/>
      <c r="M207" s="19" t="s">
        <v>881</v>
      </c>
      <c r="N207" s="19" t="s">
        <v>1114</v>
      </c>
      <c r="O207" s="25"/>
      <c r="P207" s="25"/>
      <c r="Q207" s="25"/>
      <c r="S207" s="23"/>
      <c r="T207" s="25"/>
      <c r="Y207" s="29"/>
      <c r="Z207" s="26"/>
      <c r="AE207" s="19" t="s">
        <v>2003</v>
      </c>
      <c r="AF207" s="19" t="s">
        <v>2004</v>
      </c>
      <c r="AG207" s="25"/>
      <c r="AH207" s="25"/>
      <c r="AI207" s="26"/>
      <c r="AJ207" s="25"/>
      <c r="AK207" s="25"/>
      <c r="AL207" s="25"/>
      <c r="AM207" s="25"/>
      <c r="AN207" s="25"/>
      <c r="AO207" s="25"/>
      <c r="AP207" s="25"/>
      <c r="AQ207" s="25"/>
      <c r="AR207" s="25"/>
      <c r="AS207" s="25"/>
      <c r="AT207" s="25"/>
      <c r="AU207" s="25"/>
      <c r="AV207" s="25"/>
      <c r="AW207" s="19" t="s">
        <v>2798</v>
      </c>
      <c r="AX207" s="19" t="s">
        <v>3084</v>
      </c>
      <c r="BA207" s="9" t="s">
        <v>3544</v>
      </c>
      <c r="BB207" s="9" t="s">
        <v>3545</v>
      </c>
    </row>
    <row r="208" spans="10:54" x14ac:dyDescent="0.25">
      <c r="M208" s="19" t="s">
        <v>882</v>
      </c>
      <c r="N208" s="19" t="s">
        <v>1115</v>
      </c>
      <c r="O208" s="25"/>
      <c r="P208" s="25"/>
      <c r="Q208" s="25"/>
      <c r="S208" s="23"/>
      <c r="T208" s="25"/>
      <c r="Y208" s="29"/>
      <c r="Z208" s="26"/>
      <c r="AE208" s="19" t="s">
        <v>2005</v>
      </c>
      <c r="AF208" s="19" t="s">
        <v>2006</v>
      </c>
      <c r="AG208" s="25"/>
      <c r="AH208" s="25"/>
      <c r="AI208" s="26"/>
      <c r="AJ208" s="25"/>
      <c r="AK208" s="25"/>
      <c r="AL208" s="25"/>
      <c r="AM208" s="25"/>
      <c r="AN208" s="25"/>
      <c r="AO208" s="25"/>
      <c r="AP208" s="25"/>
      <c r="AQ208" s="25"/>
      <c r="AR208" s="25"/>
      <c r="AS208" s="25"/>
      <c r="AT208" s="25"/>
      <c r="AU208" s="25"/>
      <c r="AV208" s="25"/>
      <c r="AW208" s="19" t="s">
        <v>2799</v>
      </c>
      <c r="AX208" s="19" t="s">
        <v>3085</v>
      </c>
      <c r="BA208" s="9" t="s">
        <v>3546</v>
      </c>
      <c r="BB208" s="9" t="s">
        <v>3547</v>
      </c>
    </row>
    <row r="209" spans="13:54" x14ac:dyDescent="0.25">
      <c r="M209" s="19" t="s">
        <v>883</v>
      </c>
      <c r="N209" s="19" t="s">
        <v>1116</v>
      </c>
      <c r="O209" s="25"/>
      <c r="P209" s="25"/>
      <c r="Q209" s="25"/>
      <c r="S209" s="23"/>
      <c r="T209" s="25"/>
      <c r="Y209" s="29"/>
      <c r="Z209" s="26"/>
      <c r="AE209" s="19" t="s">
        <v>2007</v>
      </c>
      <c r="AF209" s="19" t="s">
        <v>2008</v>
      </c>
      <c r="AG209" s="25"/>
      <c r="AH209" s="25"/>
      <c r="AI209" s="26"/>
      <c r="AJ209" s="25"/>
      <c r="AK209" s="25"/>
      <c r="AL209" s="25"/>
      <c r="AM209" s="25"/>
      <c r="AN209" s="25"/>
      <c r="AO209" s="25"/>
      <c r="AP209" s="25"/>
      <c r="AQ209" s="25"/>
      <c r="AR209" s="25"/>
      <c r="AS209" s="25"/>
      <c r="AT209" s="25"/>
      <c r="AU209" s="25"/>
      <c r="AV209" s="25"/>
      <c r="AW209" s="19" t="s">
        <v>2800</v>
      </c>
      <c r="AX209" s="19" t="s">
        <v>3086</v>
      </c>
      <c r="BA209" s="9" t="s">
        <v>3548</v>
      </c>
      <c r="BB209" s="9" t="s">
        <v>3549</v>
      </c>
    </row>
    <row r="210" spans="13:54" x14ac:dyDescent="0.25">
      <c r="M210" s="19" t="s">
        <v>884</v>
      </c>
      <c r="N210" s="19" t="s">
        <v>1117</v>
      </c>
      <c r="O210" s="25"/>
      <c r="P210" s="25"/>
      <c r="Q210" s="25"/>
      <c r="S210" s="23"/>
      <c r="T210" s="25"/>
      <c r="Y210" s="29"/>
      <c r="Z210" s="26"/>
      <c r="AE210" s="19" t="s">
        <v>2009</v>
      </c>
      <c r="AF210" s="19" t="s">
        <v>2010</v>
      </c>
      <c r="AG210" s="25"/>
      <c r="AH210" s="25"/>
      <c r="AI210" s="26"/>
      <c r="AJ210" s="25"/>
      <c r="AK210" s="25"/>
      <c r="AL210" s="25"/>
      <c r="AM210" s="25"/>
      <c r="AN210" s="25"/>
      <c r="AO210" s="25"/>
      <c r="AP210" s="25"/>
      <c r="AQ210" s="25"/>
      <c r="AR210" s="25"/>
      <c r="AS210" s="25"/>
      <c r="AT210" s="25"/>
      <c r="AU210" s="25"/>
      <c r="AV210" s="25"/>
      <c r="AW210" s="19" t="s">
        <v>2801</v>
      </c>
      <c r="AX210" s="19" t="s">
        <v>3087</v>
      </c>
      <c r="BA210" s="9" t="s">
        <v>3550</v>
      </c>
      <c r="BB210" s="9" t="s">
        <v>3551</v>
      </c>
    </row>
    <row r="211" spans="13:54" x14ac:dyDescent="0.25">
      <c r="M211" s="19" t="s">
        <v>885</v>
      </c>
      <c r="N211" s="19" t="s">
        <v>1118</v>
      </c>
      <c r="O211" s="25"/>
      <c r="P211" s="25"/>
      <c r="Q211" s="25"/>
      <c r="S211" s="23"/>
      <c r="T211" s="25"/>
      <c r="Y211" s="29"/>
      <c r="Z211" s="26"/>
      <c r="AE211" s="19" t="s">
        <v>2011</v>
      </c>
      <c r="AF211" s="19" t="s">
        <v>2012</v>
      </c>
      <c r="AG211" s="25"/>
      <c r="AH211" s="25"/>
      <c r="AI211" s="26"/>
      <c r="AJ211" s="25"/>
      <c r="AK211" s="25"/>
      <c r="AL211" s="25"/>
      <c r="AM211" s="25"/>
      <c r="AN211" s="25"/>
      <c r="AO211" s="25"/>
      <c r="AP211" s="25"/>
      <c r="AQ211" s="25"/>
      <c r="AR211" s="25"/>
      <c r="AS211" s="25"/>
      <c r="AT211" s="25"/>
      <c r="AU211" s="25"/>
      <c r="AV211" s="25"/>
      <c r="AW211" s="19" t="s">
        <v>2802</v>
      </c>
      <c r="AX211" s="19" t="s">
        <v>3088</v>
      </c>
      <c r="BA211" s="9" t="s">
        <v>3552</v>
      </c>
      <c r="BB211" s="9" t="s">
        <v>3553</v>
      </c>
    </row>
    <row r="212" spans="13:54" x14ac:dyDescent="0.25">
      <c r="M212" s="19" t="s">
        <v>886</v>
      </c>
      <c r="N212" s="19" t="s">
        <v>1119</v>
      </c>
      <c r="O212" s="25"/>
      <c r="P212" s="25"/>
      <c r="Q212" s="25"/>
      <c r="S212" s="23"/>
      <c r="T212" s="25"/>
      <c r="Y212" s="29"/>
      <c r="Z212" s="26"/>
      <c r="AE212" s="19" t="s">
        <v>2013</v>
      </c>
      <c r="AF212" s="19" t="s">
        <v>2014</v>
      </c>
      <c r="AG212" s="25"/>
      <c r="AH212" s="25"/>
      <c r="AI212" s="26"/>
      <c r="AJ212" s="25"/>
      <c r="AK212" s="25"/>
      <c r="AL212" s="25"/>
      <c r="AM212" s="25"/>
      <c r="AN212" s="25"/>
      <c r="AO212" s="25"/>
      <c r="AP212" s="25"/>
      <c r="AQ212" s="25"/>
      <c r="AR212" s="25"/>
      <c r="AS212" s="25"/>
      <c r="AT212" s="25"/>
      <c r="AU212" s="25"/>
      <c r="AV212" s="25"/>
      <c r="AW212" s="19" t="s">
        <v>2803</v>
      </c>
      <c r="AX212" s="19" t="s">
        <v>3089</v>
      </c>
      <c r="BA212" s="9" t="s">
        <v>3554</v>
      </c>
      <c r="BB212" s="9" t="s">
        <v>3555</v>
      </c>
    </row>
    <row r="213" spans="13:54" x14ac:dyDescent="0.25">
      <c r="M213" s="19" t="s">
        <v>887</v>
      </c>
      <c r="N213" s="19" t="s">
        <v>1120</v>
      </c>
      <c r="O213" s="25"/>
      <c r="P213" s="25"/>
      <c r="Q213" s="25"/>
      <c r="S213" s="23"/>
      <c r="T213" s="25"/>
      <c r="Y213" s="29"/>
      <c r="Z213" s="26"/>
      <c r="AE213" s="19" t="s">
        <v>2015</v>
      </c>
      <c r="AF213" s="19" t="s">
        <v>2016</v>
      </c>
      <c r="AG213" s="25"/>
      <c r="AH213" s="25"/>
      <c r="AI213" s="26"/>
      <c r="AJ213" s="25"/>
      <c r="AK213" s="25"/>
      <c r="AL213" s="25"/>
      <c r="AM213" s="25"/>
      <c r="AN213" s="25"/>
      <c r="AO213" s="25"/>
      <c r="AP213" s="25"/>
      <c r="AQ213" s="25"/>
      <c r="AR213" s="25"/>
      <c r="AS213" s="25"/>
      <c r="AT213" s="25"/>
      <c r="AU213" s="25"/>
      <c r="AV213" s="25"/>
      <c r="AW213" s="19" t="s">
        <v>2804</v>
      </c>
      <c r="AX213" s="19" t="s">
        <v>3090</v>
      </c>
      <c r="BA213" s="9" t="s">
        <v>3556</v>
      </c>
      <c r="BB213" s="9" t="s">
        <v>3557</v>
      </c>
    </row>
    <row r="214" spans="13:54" x14ac:dyDescent="0.25">
      <c r="M214" s="19" t="s">
        <v>888</v>
      </c>
      <c r="N214" s="19" t="s">
        <v>1121</v>
      </c>
      <c r="O214" s="25"/>
      <c r="P214" s="25"/>
      <c r="Q214" s="25"/>
      <c r="S214" s="23"/>
      <c r="T214" s="25"/>
      <c r="Y214" s="29"/>
      <c r="Z214" s="26"/>
      <c r="AE214" s="19" t="s">
        <v>2017</v>
      </c>
      <c r="AF214" s="19" t="s">
        <v>2018</v>
      </c>
      <c r="AG214" s="25"/>
      <c r="AH214" s="25"/>
      <c r="AI214" s="26"/>
      <c r="AJ214" s="25"/>
      <c r="AK214" s="25"/>
      <c r="AL214" s="25"/>
      <c r="AM214" s="25"/>
      <c r="AN214" s="25"/>
      <c r="AO214" s="25"/>
      <c r="AP214" s="25"/>
      <c r="AQ214" s="25"/>
      <c r="AR214" s="25"/>
      <c r="AS214" s="25"/>
      <c r="AT214" s="25"/>
      <c r="AU214" s="25"/>
      <c r="AV214" s="25"/>
      <c r="AW214" s="19" t="s">
        <v>2805</v>
      </c>
      <c r="AX214" s="19" t="s">
        <v>3091</v>
      </c>
      <c r="BA214" s="9" t="s">
        <v>3558</v>
      </c>
      <c r="BB214" s="9" t="s">
        <v>3559</v>
      </c>
    </row>
    <row r="215" spans="13:54" x14ac:dyDescent="0.25">
      <c r="M215" s="19" t="s">
        <v>889</v>
      </c>
      <c r="N215" s="19" t="s">
        <v>1122</v>
      </c>
      <c r="O215" s="25"/>
      <c r="P215" s="25"/>
      <c r="Q215" s="25"/>
      <c r="S215" s="23"/>
      <c r="T215" s="25"/>
      <c r="Y215" s="29"/>
      <c r="Z215" s="26"/>
      <c r="AE215" s="19" t="s">
        <v>2019</v>
      </c>
      <c r="AF215" s="19" t="s">
        <v>2020</v>
      </c>
      <c r="AG215" s="25"/>
      <c r="AH215" s="25"/>
      <c r="AI215" s="26"/>
      <c r="AJ215" s="25"/>
      <c r="AK215" s="25"/>
      <c r="AL215" s="25"/>
      <c r="AM215" s="25"/>
      <c r="AN215" s="25"/>
      <c r="AO215" s="25"/>
      <c r="AP215" s="25"/>
      <c r="AQ215" s="25"/>
      <c r="AR215" s="25"/>
      <c r="AS215" s="25"/>
      <c r="AT215" s="25"/>
      <c r="AU215" s="25"/>
      <c r="AV215" s="25"/>
      <c r="AW215" s="19" t="s">
        <v>2806</v>
      </c>
      <c r="AX215" s="19" t="s">
        <v>3092</v>
      </c>
      <c r="BA215" s="9" t="s">
        <v>3560</v>
      </c>
      <c r="BB215" s="9" t="s">
        <v>3561</v>
      </c>
    </row>
    <row r="216" spans="13:54" x14ac:dyDescent="0.25">
      <c r="M216" s="19" t="s">
        <v>890</v>
      </c>
      <c r="N216" s="19" t="s">
        <v>1123</v>
      </c>
      <c r="O216" s="25"/>
      <c r="P216" s="25"/>
      <c r="Q216" s="25"/>
      <c r="S216" s="23"/>
      <c r="T216" s="25"/>
      <c r="Y216" s="29"/>
      <c r="Z216" s="26"/>
      <c r="AE216" s="19" t="s">
        <v>2021</v>
      </c>
      <c r="AF216" s="19" t="s">
        <v>2022</v>
      </c>
      <c r="AG216" s="25"/>
      <c r="AH216" s="25"/>
      <c r="AI216" s="26"/>
      <c r="AJ216" s="25"/>
      <c r="AK216" s="25"/>
      <c r="AL216" s="25"/>
      <c r="AM216" s="25"/>
      <c r="AN216" s="25"/>
      <c r="AO216" s="25"/>
      <c r="AP216" s="25"/>
      <c r="AQ216" s="25"/>
      <c r="AR216" s="25"/>
      <c r="AS216" s="25"/>
      <c r="AT216" s="25"/>
      <c r="AU216" s="25"/>
      <c r="AV216" s="25"/>
      <c r="AW216" s="19" t="s">
        <v>2807</v>
      </c>
      <c r="AX216" s="19" t="s">
        <v>3093</v>
      </c>
      <c r="BA216" s="9" t="s">
        <v>3562</v>
      </c>
      <c r="BB216" s="9" t="s">
        <v>3563</v>
      </c>
    </row>
    <row r="217" spans="13:54" x14ac:dyDescent="0.25">
      <c r="M217" s="19" t="s">
        <v>891</v>
      </c>
      <c r="N217" s="19" t="s">
        <v>1124</v>
      </c>
      <c r="O217" s="25"/>
      <c r="P217" s="25"/>
      <c r="Q217" s="25"/>
      <c r="S217" s="23"/>
      <c r="T217" s="25"/>
      <c r="Y217" s="29"/>
      <c r="Z217" s="26"/>
      <c r="AE217" s="19" t="s">
        <v>2023</v>
      </c>
      <c r="AF217" s="19" t="s">
        <v>2024</v>
      </c>
      <c r="AG217" s="25"/>
      <c r="AH217" s="25"/>
      <c r="AI217" s="26"/>
      <c r="AJ217" s="25"/>
      <c r="AK217" s="25"/>
      <c r="AL217" s="25"/>
      <c r="AM217" s="25"/>
      <c r="AN217" s="25"/>
      <c r="AO217" s="25"/>
      <c r="AP217" s="25"/>
      <c r="AQ217" s="25"/>
      <c r="AR217" s="25"/>
      <c r="AS217" s="25"/>
      <c r="AT217" s="25"/>
      <c r="AU217" s="25"/>
      <c r="AV217" s="25"/>
      <c r="AW217" s="19" t="s">
        <v>2808</v>
      </c>
      <c r="AX217" s="19" t="s">
        <v>3094</v>
      </c>
      <c r="BA217" s="9" t="s">
        <v>3564</v>
      </c>
      <c r="BB217" s="9" t="s">
        <v>3565</v>
      </c>
    </row>
    <row r="218" spans="13:54" x14ac:dyDescent="0.25">
      <c r="M218" s="19" t="s">
        <v>892</v>
      </c>
      <c r="N218" s="19" t="s">
        <v>1125</v>
      </c>
      <c r="O218" s="25"/>
      <c r="P218" s="25"/>
      <c r="Q218" s="25"/>
      <c r="S218" s="23"/>
      <c r="T218" s="25"/>
      <c r="Y218" s="29"/>
      <c r="Z218" s="26"/>
      <c r="AE218" s="19" t="s">
        <v>2025</v>
      </c>
      <c r="AF218" s="19" t="s">
        <v>2026</v>
      </c>
      <c r="AG218" s="25"/>
      <c r="AH218" s="25"/>
      <c r="AI218" s="26"/>
      <c r="AJ218" s="25"/>
      <c r="AK218" s="25"/>
      <c r="AL218" s="25"/>
      <c r="AM218" s="25"/>
      <c r="AN218" s="25"/>
      <c r="AO218" s="25"/>
      <c r="AP218" s="25"/>
      <c r="AQ218" s="25"/>
      <c r="AR218" s="25"/>
      <c r="AS218" s="25"/>
      <c r="AT218" s="25"/>
      <c r="AU218" s="25"/>
      <c r="AV218" s="25"/>
      <c r="AW218" s="19" t="s">
        <v>2809</v>
      </c>
      <c r="AX218" s="19" t="s">
        <v>3095</v>
      </c>
      <c r="BA218" s="9" t="s">
        <v>3566</v>
      </c>
      <c r="BB218" s="9" t="s">
        <v>3567</v>
      </c>
    </row>
    <row r="219" spans="13:54" x14ac:dyDescent="0.25">
      <c r="M219" s="19" t="s">
        <v>893</v>
      </c>
      <c r="N219" s="19" t="s">
        <v>1126</v>
      </c>
      <c r="O219" s="25"/>
      <c r="P219" s="25"/>
      <c r="Q219" s="25"/>
      <c r="S219" s="23"/>
      <c r="T219" s="25"/>
      <c r="Y219" s="29"/>
      <c r="Z219" s="26"/>
      <c r="AE219" s="19" t="s">
        <v>2027</v>
      </c>
      <c r="AF219" s="19" t="s">
        <v>2028</v>
      </c>
      <c r="AG219" s="25"/>
      <c r="AH219" s="25"/>
      <c r="AI219" s="26"/>
      <c r="AJ219" s="25"/>
      <c r="AK219" s="25"/>
      <c r="AL219" s="25"/>
      <c r="AM219" s="25"/>
      <c r="AN219" s="25"/>
      <c r="AO219" s="25"/>
      <c r="AP219" s="25"/>
      <c r="AQ219" s="25"/>
      <c r="AR219" s="25"/>
      <c r="AS219" s="25"/>
      <c r="AT219" s="25"/>
      <c r="AU219" s="25"/>
      <c r="AV219" s="25"/>
      <c r="AW219" s="19" t="s">
        <v>2810</v>
      </c>
      <c r="AX219" s="19" t="s">
        <v>3096</v>
      </c>
      <c r="BA219" s="9" t="s">
        <v>3568</v>
      </c>
      <c r="BB219" s="9" t="s">
        <v>3569</v>
      </c>
    </row>
    <row r="220" spans="13:54" x14ac:dyDescent="0.25">
      <c r="M220" s="19" t="s">
        <v>894</v>
      </c>
      <c r="N220" s="19" t="s">
        <v>1127</v>
      </c>
      <c r="O220" s="25"/>
      <c r="P220" s="25"/>
      <c r="Q220" s="25"/>
      <c r="S220" s="23"/>
      <c r="T220" s="25"/>
      <c r="Y220" s="29"/>
      <c r="Z220" s="26"/>
      <c r="AE220" s="19" t="s">
        <v>2029</v>
      </c>
      <c r="AF220" s="19" t="s">
        <v>2030</v>
      </c>
      <c r="AG220" s="25"/>
      <c r="AH220" s="25"/>
      <c r="AI220" s="26"/>
      <c r="AJ220" s="25"/>
      <c r="AK220" s="25"/>
      <c r="AL220" s="25"/>
      <c r="AM220" s="25"/>
      <c r="AN220" s="25"/>
      <c r="AO220" s="25"/>
      <c r="AP220" s="25"/>
      <c r="AQ220" s="25"/>
      <c r="AR220" s="25"/>
      <c r="AS220" s="25"/>
      <c r="AT220" s="25"/>
      <c r="AU220" s="25"/>
      <c r="AV220" s="25"/>
      <c r="AW220" s="19" t="s">
        <v>2811</v>
      </c>
      <c r="AX220" s="19" t="s">
        <v>3097</v>
      </c>
      <c r="BA220" s="9" t="s">
        <v>3570</v>
      </c>
      <c r="BB220" s="9" t="s">
        <v>3571</v>
      </c>
    </row>
    <row r="221" spans="13:54" x14ac:dyDescent="0.25">
      <c r="M221" s="19" t="s">
        <v>895</v>
      </c>
      <c r="N221" s="19" t="s">
        <v>1128</v>
      </c>
      <c r="O221" s="25"/>
      <c r="P221" s="25"/>
      <c r="Q221" s="25"/>
      <c r="S221" s="23"/>
      <c r="T221" s="25"/>
      <c r="Y221" s="29"/>
      <c r="Z221" s="26"/>
      <c r="AE221" s="19" t="s">
        <v>2031</v>
      </c>
      <c r="AF221" s="19" t="s">
        <v>2032</v>
      </c>
      <c r="AG221" s="25"/>
      <c r="AH221" s="25"/>
      <c r="AI221" s="26"/>
      <c r="AJ221" s="25"/>
      <c r="AK221" s="25"/>
      <c r="AL221" s="25"/>
      <c r="AM221" s="25"/>
      <c r="AN221" s="25"/>
      <c r="AO221" s="25"/>
      <c r="AP221" s="25"/>
      <c r="AQ221" s="25"/>
      <c r="AR221" s="25"/>
      <c r="AS221" s="25"/>
      <c r="AT221" s="25"/>
      <c r="AU221" s="25"/>
      <c r="AV221" s="25"/>
      <c r="AW221" s="19" t="s">
        <v>2812</v>
      </c>
      <c r="AX221" s="19" t="s">
        <v>3098</v>
      </c>
      <c r="BA221" s="9" t="s">
        <v>3572</v>
      </c>
      <c r="BB221" s="9" t="s">
        <v>3573</v>
      </c>
    </row>
    <row r="222" spans="13:54" x14ac:dyDescent="0.25">
      <c r="M222" s="19" t="s">
        <v>896</v>
      </c>
      <c r="N222" s="19" t="s">
        <v>1129</v>
      </c>
      <c r="O222" s="25"/>
      <c r="P222" s="25"/>
      <c r="Q222" s="25"/>
      <c r="S222" s="23"/>
      <c r="T222" s="25"/>
      <c r="Y222" s="29"/>
      <c r="Z222" s="26"/>
      <c r="AE222" s="19" t="s">
        <v>2033</v>
      </c>
      <c r="AF222" s="19" t="s">
        <v>2034</v>
      </c>
      <c r="AG222" s="25"/>
      <c r="AH222" s="25"/>
      <c r="AI222" s="26"/>
      <c r="AJ222" s="25"/>
      <c r="AK222" s="25"/>
      <c r="AL222" s="25"/>
      <c r="AM222" s="25"/>
      <c r="AN222" s="25"/>
      <c r="AO222" s="25"/>
      <c r="AP222" s="25"/>
      <c r="AQ222" s="25"/>
      <c r="AR222" s="25"/>
      <c r="AS222" s="25"/>
      <c r="AT222" s="25"/>
      <c r="AU222" s="25"/>
      <c r="AV222" s="25"/>
      <c r="AW222" s="19" t="s">
        <v>2813</v>
      </c>
      <c r="AX222" s="19" t="s">
        <v>3099</v>
      </c>
      <c r="BA222" s="9" t="s">
        <v>3574</v>
      </c>
      <c r="BB222" s="9" t="s">
        <v>3575</v>
      </c>
    </row>
    <row r="223" spans="13:54" x14ac:dyDescent="0.25">
      <c r="M223" s="19" t="s">
        <v>897</v>
      </c>
      <c r="N223" s="19" t="s">
        <v>1130</v>
      </c>
      <c r="O223" s="25"/>
      <c r="P223" s="25"/>
      <c r="Q223" s="25"/>
      <c r="S223" s="23"/>
      <c r="T223" s="25"/>
      <c r="Y223" s="29"/>
      <c r="Z223" s="26"/>
      <c r="AE223" s="19" t="s">
        <v>2035</v>
      </c>
      <c r="AF223" s="19" t="s">
        <v>2036</v>
      </c>
      <c r="AG223" s="25"/>
      <c r="AH223" s="25"/>
      <c r="AI223" s="26"/>
      <c r="AJ223" s="25"/>
      <c r="AK223" s="25"/>
      <c r="AL223" s="25"/>
      <c r="AM223" s="25"/>
      <c r="AN223" s="25"/>
      <c r="AO223" s="25"/>
      <c r="AP223" s="25"/>
      <c r="AQ223" s="25"/>
      <c r="AR223" s="25"/>
      <c r="AS223" s="25"/>
      <c r="AT223" s="25"/>
      <c r="AU223" s="25"/>
      <c r="AV223" s="25"/>
      <c r="AW223" s="19" t="s">
        <v>2814</v>
      </c>
      <c r="AX223" s="19" t="s">
        <v>3100</v>
      </c>
      <c r="BA223" s="9" t="s">
        <v>3576</v>
      </c>
      <c r="BB223" s="9" t="s">
        <v>3577</v>
      </c>
    </row>
    <row r="224" spans="13:54" x14ac:dyDescent="0.25">
      <c r="M224" s="19" t="s">
        <v>898</v>
      </c>
      <c r="N224" s="19" t="s">
        <v>1131</v>
      </c>
      <c r="O224" s="25"/>
      <c r="P224" s="25"/>
      <c r="Q224" s="25"/>
      <c r="S224" s="23"/>
      <c r="T224" s="25"/>
      <c r="Y224" s="29"/>
      <c r="Z224" s="26"/>
      <c r="AE224" s="19" t="s">
        <v>2037</v>
      </c>
      <c r="AF224" s="19" t="s">
        <v>2038</v>
      </c>
      <c r="AG224" s="25"/>
      <c r="AH224" s="25"/>
      <c r="AI224" s="26"/>
      <c r="AJ224" s="25"/>
      <c r="AK224" s="25"/>
      <c r="AL224" s="25"/>
      <c r="AM224" s="25"/>
      <c r="AN224" s="25"/>
      <c r="AO224" s="25"/>
      <c r="AP224" s="25"/>
      <c r="AQ224" s="25"/>
      <c r="AR224" s="25"/>
      <c r="AS224" s="25"/>
      <c r="AT224" s="25"/>
      <c r="AU224" s="25"/>
      <c r="AV224" s="25"/>
      <c r="AW224" s="19" t="s">
        <v>2815</v>
      </c>
      <c r="AX224" s="19" t="s">
        <v>3101</v>
      </c>
      <c r="BA224" s="9" t="s">
        <v>3578</v>
      </c>
      <c r="BB224" s="9" t="s">
        <v>3579</v>
      </c>
    </row>
    <row r="225" spans="13:54" x14ac:dyDescent="0.25">
      <c r="M225" s="19" t="s">
        <v>899</v>
      </c>
      <c r="N225" s="19" t="s">
        <v>1132</v>
      </c>
      <c r="O225" s="25"/>
      <c r="P225" s="25"/>
      <c r="Q225" s="25"/>
      <c r="S225" s="23"/>
      <c r="T225" s="25"/>
      <c r="Y225" s="29"/>
      <c r="Z225" s="26"/>
      <c r="AE225" s="19" t="s">
        <v>2039</v>
      </c>
      <c r="AF225" s="19" t="s">
        <v>2040</v>
      </c>
      <c r="AG225" s="25"/>
      <c r="AH225" s="25"/>
      <c r="AI225" s="26"/>
      <c r="AJ225" s="25"/>
      <c r="AK225" s="25"/>
      <c r="AL225" s="25"/>
      <c r="AM225" s="25"/>
      <c r="AN225" s="25"/>
      <c r="AO225" s="25"/>
      <c r="AP225" s="25"/>
      <c r="AQ225" s="25"/>
      <c r="AR225" s="25"/>
      <c r="AS225" s="25"/>
      <c r="AT225" s="25"/>
      <c r="AU225" s="25"/>
      <c r="AV225" s="25"/>
      <c r="AW225" s="19" t="s">
        <v>2816</v>
      </c>
      <c r="AX225" s="19" t="s">
        <v>3102</v>
      </c>
      <c r="BA225" s="9" t="s">
        <v>3580</v>
      </c>
      <c r="BB225" s="9" t="s">
        <v>3581</v>
      </c>
    </row>
    <row r="226" spans="13:54" x14ac:dyDescent="0.25">
      <c r="M226" s="19" t="s">
        <v>900</v>
      </c>
      <c r="N226" s="19" t="s">
        <v>1133</v>
      </c>
      <c r="O226" s="25"/>
      <c r="P226" s="25"/>
      <c r="Q226" s="25"/>
      <c r="S226" s="23"/>
      <c r="T226" s="25"/>
      <c r="Y226" s="29"/>
      <c r="Z226" s="26"/>
      <c r="AE226" s="19" t="s">
        <v>2041</v>
      </c>
      <c r="AF226" s="19" t="s">
        <v>2042</v>
      </c>
      <c r="AG226" s="25"/>
      <c r="AH226" s="25"/>
      <c r="AI226" s="26"/>
      <c r="AJ226" s="25"/>
      <c r="AK226" s="25"/>
      <c r="AL226" s="25"/>
      <c r="AM226" s="25"/>
      <c r="AN226" s="25"/>
      <c r="AO226" s="25"/>
      <c r="AP226" s="25"/>
      <c r="AQ226" s="25"/>
      <c r="AR226" s="25"/>
      <c r="AS226" s="25"/>
      <c r="AT226" s="25"/>
      <c r="AU226" s="25"/>
      <c r="AV226" s="25"/>
      <c r="AW226" s="19" t="s">
        <v>2817</v>
      </c>
      <c r="AX226" s="19" t="s">
        <v>3103</v>
      </c>
      <c r="BA226" s="9" t="s">
        <v>3582</v>
      </c>
      <c r="BB226" s="9" t="s">
        <v>3583</v>
      </c>
    </row>
    <row r="227" spans="13:54" x14ac:dyDescent="0.25">
      <c r="M227" s="19" t="s">
        <v>901</v>
      </c>
      <c r="N227" s="19" t="s">
        <v>1134</v>
      </c>
      <c r="O227" s="25"/>
      <c r="P227" s="25"/>
      <c r="Q227" s="25"/>
      <c r="S227" s="23"/>
      <c r="T227" s="25"/>
      <c r="Y227" s="29"/>
      <c r="Z227" s="26"/>
      <c r="AE227" s="19" t="s">
        <v>2043</v>
      </c>
      <c r="AF227" s="19" t="s">
        <v>2044</v>
      </c>
      <c r="AG227" s="25"/>
      <c r="AH227" s="25"/>
      <c r="AI227" s="26"/>
      <c r="AJ227" s="25"/>
      <c r="AK227" s="25"/>
      <c r="AL227" s="25"/>
      <c r="AM227" s="25"/>
      <c r="AN227" s="25"/>
      <c r="AO227" s="25"/>
      <c r="AP227" s="25"/>
      <c r="AQ227" s="25"/>
      <c r="AR227" s="25"/>
      <c r="AS227" s="25"/>
      <c r="AT227" s="25"/>
      <c r="AU227" s="25"/>
      <c r="AV227" s="25"/>
      <c r="AW227" s="19" t="s">
        <v>2818</v>
      </c>
      <c r="AX227" s="19" t="s">
        <v>3104</v>
      </c>
      <c r="BA227" s="9" t="s">
        <v>3584</v>
      </c>
      <c r="BB227" s="9" t="s">
        <v>3585</v>
      </c>
    </row>
    <row r="228" spans="13:54" x14ac:dyDescent="0.25">
      <c r="M228" s="19" t="s">
        <v>902</v>
      </c>
      <c r="N228" s="19" t="s">
        <v>1135</v>
      </c>
      <c r="O228" s="25"/>
      <c r="P228" s="25"/>
      <c r="Q228" s="25"/>
      <c r="S228" s="23"/>
      <c r="T228" s="25"/>
      <c r="Y228" s="29"/>
      <c r="Z228" s="26"/>
      <c r="AE228" s="19" t="s">
        <v>2045</v>
      </c>
      <c r="AF228" s="19" t="s">
        <v>2046</v>
      </c>
      <c r="AG228" s="25"/>
      <c r="AH228" s="25"/>
      <c r="AI228" s="26"/>
      <c r="AJ228" s="25"/>
      <c r="AK228" s="25"/>
      <c r="AL228" s="25"/>
      <c r="AM228" s="25"/>
      <c r="AN228" s="25"/>
      <c r="AO228" s="25"/>
      <c r="AP228" s="25"/>
      <c r="AQ228" s="25"/>
      <c r="AR228" s="25"/>
      <c r="AS228" s="25"/>
      <c r="AT228" s="25"/>
      <c r="AU228" s="25"/>
      <c r="AV228" s="25"/>
      <c r="AW228" s="19" t="s">
        <v>2819</v>
      </c>
      <c r="AX228" s="19" t="s">
        <v>3105</v>
      </c>
      <c r="BA228" s="9" t="s">
        <v>3586</v>
      </c>
      <c r="BB228" s="9" t="s">
        <v>3587</v>
      </c>
    </row>
    <row r="229" spans="13:54" x14ac:dyDescent="0.25">
      <c r="M229" s="19" t="s">
        <v>903</v>
      </c>
      <c r="N229" s="19" t="s">
        <v>1136</v>
      </c>
      <c r="O229" s="25"/>
      <c r="P229" s="25"/>
      <c r="Q229" s="25"/>
      <c r="S229" s="23"/>
      <c r="T229" s="25"/>
      <c r="Y229" s="29"/>
      <c r="Z229" s="26"/>
      <c r="AE229" s="19" t="s">
        <v>2047</v>
      </c>
      <c r="AF229" s="19" t="s">
        <v>2048</v>
      </c>
      <c r="AG229" s="25"/>
      <c r="AH229" s="25"/>
      <c r="AI229" s="26"/>
      <c r="AJ229" s="25"/>
      <c r="AK229" s="25"/>
      <c r="AL229" s="25"/>
      <c r="AM229" s="25"/>
      <c r="AN229" s="25"/>
      <c r="AO229" s="25"/>
      <c r="AP229" s="25"/>
      <c r="AQ229" s="25"/>
      <c r="AR229" s="25"/>
      <c r="AS229" s="25"/>
      <c r="AT229" s="25"/>
      <c r="AU229" s="25"/>
      <c r="AV229" s="25"/>
      <c r="AW229" s="19" t="s">
        <v>2820</v>
      </c>
      <c r="AX229" s="19" t="s">
        <v>3106</v>
      </c>
      <c r="BA229" s="9" t="s">
        <v>3588</v>
      </c>
      <c r="BB229" s="9" t="s">
        <v>3589</v>
      </c>
    </row>
    <row r="230" spans="13:54" x14ac:dyDescent="0.25">
      <c r="M230" s="19" t="s">
        <v>904</v>
      </c>
      <c r="N230" s="19" t="s">
        <v>1137</v>
      </c>
      <c r="O230" s="25"/>
      <c r="P230" s="25"/>
      <c r="Q230" s="25"/>
      <c r="S230" s="23"/>
      <c r="T230" s="25"/>
      <c r="Y230" s="29"/>
      <c r="Z230" s="26"/>
      <c r="AE230" s="19" t="s">
        <v>2049</v>
      </c>
      <c r="AF230" s="19" t="s">
        <v>2050</v>
      </c>
      <c r="AG230" s="25"/>
      <c r="AH230" s="25"/>
      <c r="AI230" s="26"/>
      <c r="AJ230" s="25"/>
      <c r="AK230" s="25"/>
      <c r="AL230" s="25"/>
      <c r="AM230" s="25"/>
      <c r="AN230" s="25"/>
      <c r="AO230" s="25"/>
      <c r="AP230" s="25"/>
      <c r="AQ230" s="25"/>
      <c r="AR230" s="25"/>
      <c r="AS230" s="25"/>
      <c r="AT230" s="25"/>
      <c r="AU230" s="25"/>
      <c r="AV230" s="25"/>
      <c r="AW230" s="19" t="s">
        <v>2821</v>
      </c>
      <c r="AX230" s="19" t="s">
        <v>3107</v>
      </c>
      <c r="BA230" s="9" t="s">
        <v>3590</v>
      </c>
      <c r="BB230" s="9" t="s">
        <v>3591</v>
      </c>
    </row>
    <row r="231" spans="13:54" x14ac:dyDescent="0.25">
      <c r="M231" s="19" t="s">
        <v>905</v>
      </c>
      <c r="N231" s="19" t="s">
        <v>1138</v>
      </c>
      <c r="O231" s="25"/>
      <c r="P231" s="25"/>
      <c r="Q231" s="25"/>
      <c r="S231" s="23"/>
      <c r="T231" s="25"/>
      <c r="Y231" s="29"/>
      <c r="Z231" s="26"/>
      <c r="AE231" s="19" t="s">
        <v>2051</v>
      </c>
      <c r="AF231" s="19" t="s">
        <v>2052</v>
      </c>
      <c r="AG231" s="25"/>
      <c r="AH231" s="25"/>
      <c r="AI231" s="26"/>
      <c r="AJ231" s="25"/>
      <c r="AK231" s="25"/>
      <c r="AL231" s="25"/>
      <c r="AM231" s="25"/>
      <c r="AN231" s="25"/>
      <c r="AO231" s="25"/>
      <c r="AP231" s="25"/>
      <c r="AQ231" s="25"/>
      <c r="AR231" s="25"/>
      <c r="AS231" s="25"/>
      <c r="AT231" s="25"/>
      <c r="AU231" s="25"/>
      <c r="AV231" s="25"/>
      <c r="AW231" s="19" t="s">
        <v>2822</v>
      </c>
      <c r="AX231" s="19" t="s">
        <v>3108</v>
      </c>
      <c r="BA231" s="9" t="s">
        <v>3592</v>
      </c>
      <c r="BB231" s="9" t="s">
        <v>3593</v>
      </c>
    </row>
    <row r="232" spans="13:54" x14ac:dyDescent="0.25">
      <c r="M232" s="19" t="s">
        <v>906</v>
      </c>
      <c r="N232" s="19" t="s">
        <v>1139</v>
      </c>
      <c r="O232" s="25"/>
      <c r="P232" s="25"/>
      <c r="Q232" s="25"/>
      <c r="S232" s="23"/>
      <c r="T232" s="25"/>
      <c r="Y232" s="29"/>
      <c r="Z232" s="26"/>
      <c r="AE232" s="19" t="s">
        <v>2053</v>
      </c>
      <c r="AF232" s="19" t="s">
        <v>2054</v>
      </c>
      <c r="AG232" s="25"/>
      <c r="AH232" s="25"/>
      <c r="AI232" s="26"/>
      <c r="AJ232" s="25"/>
      <c r="AK232" s="25"/>
      <c r="AL232" s="25"/>
      <c r="AM232" s="25"/>
      <c r="AN232" s="25"/>
      <c r="AO232" s="25"/>
      <c r="AP232" s="25"/>
      <c r="AQ232" s="25"/>
      <c r="AR232" s="25"/>
      <c r="AS232" s="25"/>
      <c r="AT232" s="25"/>
      <c r="AU232" s="25"/>
      <c r="AV232" s="25"/>
      <c r="AW232" s="19" t="s">
        <v>2823</v>
      </c>
      <c r="AX232" s="19" t="s">
        <v>3109</v>
      </c>
      <c r="BA232" s="9" t="s">
        <v>3594</v>
      </c>
      <c r="BB232" s="9" t="s">
        <v>3595</v>
      </c>
    </row>
    <row r="233" spans="13:54" x14ac:dyDescent="0.25">
      <c r="M233" s="19" t="s">
        <v>907</v>
      </c>
      <c r="N233" s="19" t="s">
        <v>1140</v>
      </c>
      <c r="O233" s="25"/>
      <c r="P233" s="25"/>
      <c r="Q233" s="25"/>
      <c r="S233" s="23"/>
      <c r="T233" s="25"/>
      <c r="Y233" s="29"/>
      <c r="Z233" s="26"/>
      <c r="AE233" s="19" t="s">
        <v>2055</v>
      </c>
      <c r="AF233" s="19" t="s">
        <v>2056</v>
      </c>
      <c r="AG233" s="25"/>
      <c r="AH233" s="25"/>
      <c r="AI233" s="26"/>
      <c r="AJ233" s="25"/>
      <c r="AK233" s="25"/>
      <c r="AL233" s="25"/>
      <c r="AM233" s="25"/>
      <c r="AN233" s="25"/>
      <c r="AO233" s="25"/>
      <c r="AP233" s="25"/>
      <c r="AQ233" s="25"/>
      <c r="AR233" s="25"/>
      <c r="AS233" s="25"/>
      <c r="AT233" s="25"/>
      <c r="AU233" s="25"/>
      <c r="AV233" s="25"/>
      <c r="AW233" s="19" t="s">
        <v>2824</v>
      </c>
      <c r="AX233" s="19" t="s">
        <v>3110</v>
      </c>
      <c r="BA233" s="9" t="s">
        <v>3596</v>
      </c>
      <c r="BB233" s="9" t="s">
        <v>3597</v>
      </c>
    </row>
    <row r="234" spans="13:54" x14ac:dyDescent="0.25">
      <c r="M234" s="19" t="s">
        <v>908</v>
      </c>
      <c r="N234" s="19" t="s">
        <v>1141</v>
      </c>
      <c r="O234" s="25"/>
      <c r="P234" s="25"/>
      <c r="Q234" s="25"/>
      <c r="S234" s="23"/>
      <c r="T234" s="25"/>
      <c r="Y234" s="29"/>
      <c r="Z234" s="26"/>
      <c r="AE234" s="19" t="s">
        <v>2057</v>
      </c>
      <c r="AF234" s="19" t="s">
        <v>2058</v>
      </c>
      <c r="AG234" s="25"/>
      <c r="AH234" s="25"/>
      <c r="AI234" s="26"/>
      <c r="AJ234" s="25"/>
      <c r="AK234" s="25"/>
      <c r="AL234" s="25"/>
      <c r="AM234" s="25"/>
      <c r="AN234" s="25"/>
      <c r="AO234" s="25"/>
      <c r="AP234" s="25"/>
      <c r="AQ234" s="25"/>
      <c r="AR234" s="25"/>
      <c r="AS234" s="25"/>
      <c r="AT234" s="25"/>
      <c r="AU234" s="25"/>
      <c r="AV234" s="25"/>
      <c r="AW234" s="19" t="s">
        <v>2825</v>
      </c>
      <c r="AX234" s="19" t="s">
        <v>3111</v>
      </c>
      <c r="BA234" s="9" t="s">
        <v>3598</v>
      </c>
      <c r="BB234" s="9" t="s">
        <v>3599</v>
      </c>
    </row>
    <row r="235" spans="13:54" x14ac:dyDescent="0.25">
      <c r="M235" s="19" t="s">
        <v>909</v>
      </c>
      <c r="N235" s="19" t="s">
        <v>1142</v>
      </c>
      <c r="O235" s="25"/>
      <c r="P235" s="25"/>
      <c r="Q235" s="25"/>
      <c r="S235" s="23"/>
      <c r="T235" s="25"/>
      <c r="Y235" s="29"/>
      <c r="Z235" s="26"/>
      <c r="AE235" s="19" t="s">
        <v>2059</v>
      </c>
      <c r="AF235" s="19" t="s">
        <v>2060</v>
      </c>
      <c r="AG235" s="25"/>
      <c r="AH235" s="25"/>
      <c r="AI235" s="26"/>
      <c r="AJ235" s="25"/>
      <c r="AK235" s="25"/>
      <c r="AL235" s="25"/>
      <c r="AM235" s="25"/>
      <c r="AN235" s="25"/>
      <c r="AO235" s="25"/>
      <c r="AP235" s="25"/>
      <c r="AQ235" s="25"/>
      <c r="AR235" s="25"/>
      <c r="AS235" s="25"/>
      <c r="AT235" s="25"/>
      <c r="AU235" s="25"/>
      <c r="AV235" s="25"/>
      <c r="AW235" s="19" t="s">
        <v>2826</v>
      </c>
      <c r="AX235" s="19" t="s">
        <v>3112</v>
      </c>
      <c r="BA235" s="9" t="s">
        <v>3600</v>
      </c>
      <c r="BB235" s="9" t="s">
        <v>3601</v>
      </c>
    </row>
    <row r="236" spans="13:54" x14ac:dyDescent="0.25">
      <c r="M236" s="19" t="s">
        <v>910</v>
      </c>
      <c r="N236" s="19" t="s">
        <v>1143</v>
      </c>
      <c r="O236" s="25"/>
      <c r="P236" s="25"/>
      <c r="Q236" s="25"/>
      <c r="S236" s="23"/>
      <c r="T236" s="25"/>
      <c r="Y236" s="29"/>
      <c r="Z236" s="26"/>
      <c r="AE236" s="19" t="s">
        <v>2061</v>
      </c>
      <c r="AF236" s="19" t="s">
        <v>2062</v>
      </c>
      <c r="AG236" s="25"/>
      <c r="AH236" s="25"/>
      <c r="AI236" s="26"/>
      <c r="AJ236" s="25"/>
      <c r="AK236" s="25"/>
      <c r="AL236" s="25"/>
      <c r="AM236" s="25"/>
      <c r="AN236" s="25"/>
      <c r="AO236" s="25"/>
      <c r="AP236" s="25"/>
      <c r="AQ236" s="25"/>
      <c r="AR236" s="25"/>
      <c r="AS236" s="25"/>
      <c r="AT236" s="25"/>
      <c r="AU236" s="25"/>
      <c r="AV236" s="25"/>
      <c r="AW236" s="19" t="s">
        <v>2829</v>
      </c>
      <c r="AX236" s="19" t="s">
        <v>2828</v>
      </c>
      <c r="BA236" s="9" t="s">
        <v>3602</v>
      </c>
      <c r="BB236" s="9" t="s">
        <v>3603</v>
      </c>
    </row>
    <row r="237" spans="13:54" x14ac:dyDescent="0.25">
      <c r="M237" s="19" t="s">
        <v>911</v>
      </c>
      <c r="N237" s="19" t="s">
        <v>1144</v>
      </c>
      <c r="O237" s="25"/>
      <c r="P237" s="25"/>
      <c r="Q237" s="25"/>
      <c r="S237" s="23"/>
      <c r="T237" s="25"/>
      <c r="Y237" s="29"/>
      <c r="Z237" s="26"/>
      <c r="AE237" s="19" t="s">
        <v>2063</v>
      </c>
      <c r="AF237" s="19" t="s">
        <v>2064</v>
      </c>
      <c r="AG237" s="25"/>
      <c r="AH237" s="25"/>
      <c r="AI237" s="26"/>
      <c r="AJ237" s="25"/>
      <c r="AK237" s="25"/>
      <c r="AL237" s="25"/>
      <c r="AM237" s="25"/>
      <c r="AN237" s="25"/>
      <c r="AO237" s="25"/>
      <c r="AP237" s="25"/>
      <c r="AQ237" s="25"/>
      <c r="AR237" s="25"/>
      <c r="AS237" s="25"/>
      <c r="AT237" s="25"/>
      <c r="AU237" s="25"/>
      <c r="AV237" s="25"/>
      <c r="AW237" s="19" t="s">
        <v>2831</v>
      </c>
      <c r="AX237" s="19" t="s">
        <v>2830</v>
      </c>
      <c r="BA237" s="9" t="s">
        <v>3604</v>
      </c>
      <c r="BB237" s="9" t="s">
        <v>3605</v>
      </c>
    </row>
    <row r="238" spans="13:54" x14ac:dyDescent="0.25">
      <c r="M238" s="19" t="s">
        <v>912</v>
      </c>
      <c r="N238" s="19" t="s">
        <v>1145</v>
      </c>
      <c r="O238" s="25"/>
      <c r="P238" s="25"/>
      <c r="Q238" s="25"/>
      <c r="S238" s="23"/>
      <c r="T238" s="25"/>
      <c r="Y238" s="29"/>
      <c r="Z238" s="26"/>
      <c r="AE238" s="19" t="s">
        <v>2065</v>
      </c>
      <c r="AF238" s="19" t="s">
        <v>2066</v>
      </c>
      <c r="AG238" s="25"/>
      <c r="AH238" s="25"/>
      <c r="AI238" s="26"/>
      <c r="AJ238" s="25"/>
      <c r="AK238" s="25"/>
      <c r="AL238" s="25"/>
      <c r="AM238" s="25"/>
      <c r="AN238" s="25"/>
      <c r="AO238" s="25"/>
      <c r="AP238" s="25"/>
      <c r="AQ238" s="25"/>
      <c r="AR238" s="25"/>
      <c r="AS238" s="25"/>
      <c r="AT238" s="25"/>
      <c r="AU238" s="25"/>
      <c r="AV238" s="25"/>
      <c r="AW238" s="19" t="s">
        <v>2832</v>
      </c>
      <c r="AX238" s="19" t="s">
        <v>3115</v>
      </c>
      <c r="BA238" s="9" t="s">
        <v>3606</v>
      </c>
      <c r="BB238" s="9" t="s">
        <v>3607</v>
      </c>
    </row>
    <row r="239" spans="13:54" x14ac:dyDescent="0.25">
      <c r="M239" s="19" t="s">
        <v>913</v>
      </c>
      <c r="N239" s="19" t="s">
        <v>1146</v>
      </c>
      <c r="O239" s="25"/>
      <c r="P239" s="25"/>
      <c r="Q239" s="25"/>
      <c r="S239" s="23"/>
      <c r="T239" s="25"/>
      <c r="Y239" s="29"/>
      <c r="Z239" s="26"/>
      <c r="AE239" s="19" t="s">
        <v>2067</v>
      </c>
      <c r="AF239" s="19" t="s">
        <v>2068</v>
      </c>
      <c r="AG239" s="25"/>
      <c r="AH239" s="25"/>
      <c r="AI239" s="26"/>
      <c r="AJ239" s="25"/>
      <c r="AK239" s="25"/>
      <c r="AL239" s="25"/>
      <c r="AM239" s="25"/>
      <c r="AN239" s="25"/>
      <c r="AO239" s="25"/>
      <c r="AP239" s="25"/>
      <c r="AQ239" s="25"/>
      <c r="AR239" s="25"/>
      <c r="AS239" s="25"/>
      <c r="AT239" s="25"/>
      <c r="AU239" s="25"/>
      <c r="AV239" s="25"/>
      <c r="AW239" s="19" t="s">
        <v>2827</v>
      </c>
      <c r="AX239" s="19" t="s">
        <v>2833</v>
      </c>
      <c r="BA239" s="9" t="s">
        <v>3608</v>
      </c>
      <c r="BB239" s="9" t="s">
        <v>3609</v>
      </c>
    </row>
    <row r="240" spans="13:54" x14ac:dyDescent="0.25">
      <c r="M240" s="19" t="s">
        <v>914</v>
      </c>
      <c r="N240" s="19" t="s">
        <v>1147</v>
      </c>
      <c r="O240" s="25"/>
      <c r="P240" s="25"/>
      <c r="Q240" s="25"/>
      <c r="S240" s="23"/>
      <c r="T240" s="25"/>
      <c r="Y240" s="29"/>
      <c r="Z240" s="26"/>
      <c r="AE240" s="19" t="s">
        <v>2069</v>
      </c>
      <c r="AF240" s="19" t="s">
        <v>2070</v>
      </c>
      <c r="AG240" s="25"/>
      <c r="AH240" s="25"/>
      <c r="AI240" s="26"/>
      <c r="AJ240" s="25"/>
      <c r="AK240" s="25"/>
      <c r="AL240" s="25"/>
      <c r="AM240" s="25"/>
      <c r="AN240" s="25"/>
      <c r="AO240" s="25"/>
      <c r="AP240" s="25"/>
      <c r="AQ240" s="25"/>
      <c r="AR240" s="25"/>
      <c r="AS240" s="25"/>
      <c r="AT240" s="25"/>
      <c r="AU240" s="25"/>
      <c r="AV240" s="25"/>
      <c r="AW240" s="19" t="s">
        <v>2835</v>
      </c>
      <c r="AX240" s="19" t="s">
        <v>2834</v>
      </c>
      <c r="BA240" s="9" t="s">
        <v>3610</v>
      </c>
      <c r="BB240" s="9" t="s">
        <v>3611</v>
      </c>
    </row>
    <row r="241" spans="13:54" x14ac:dyDescent="0.25">
      <c r="M241" s="19" t="s">
        <v>915</v>
      </c>
      <c r="N241" s="19" t="s">
        <v>1148</v>
      </c>
      <c r="O241" s="25"/>
      <c r="P241" s="25"/>
      <c r="Q241" s="25"/>
      <c r="S241" s="23"/>
      <c r="T241" s="25"/>
      <c r="Y241" s="29"/>
      <c r="Z241" s="26"/>
      <c r="AE241" s="19" t="s">
        <v>2071</v>
      </c>
      <c r="AF241" s="19" t="s">
        <v>2072</v>
      </c>
      <c r="AG241" s="25"/>
      <c r="AH241" s="25"/>
      <c r="AI241" s="26"/>
      <c r="AJ241" s="25"/>
      <c r="AK241" s="25"/>
      <c r="AL241" s="25"/>
      <c r="AM241" s="25"/>
      <c r="AN241" s="25"/>
      <c r="AO241" s="25"/>
      <c r="AP241" s="25"/>
      <c r="AQ241" s="25"/>
      <c r="AR241" s="25"/>
      <c r="AS241" s="25"/>
      <c r="AT241" s="25"/>
      <c r="AU241" s="25"/>
      <c r="AV241" s="25"/>
      <c r="AW241" s="19" t="s">
        <v>2837</v>
      </c>
      <c r="AX241" s="19" t="s">
        <v>2836</v>
      </c>
      <c r="BA241" s="9" t="s">
        <v>3612</v>
      </c>
      <c r="BB241" s="9" t="s">
        <v>3613</v>
      </c>
    </row>
    <row r="242" spans="13:54" x14ac:dyDescent="0.25">
      <c r="M242" s="19" t="s">
        <v>916</v>
      </c>
      <c r="N242" s="19" t="s">
        <v>1149</v>
      </c>
      <c r="O242" s="25"/>
      <c r="P242" s="25"/>
      <c r="Q242" s="25"/>
      <c r="S242" s="23"/>
      <c r="T242" s="25"/>
      <c r="Y242" s="29"/>
      <c r="Z242" s="26"/>
      <c r="AE242" s="19" t="s">
        <v>2073</v>
      </c>
      <c r="AF242" s="19" t="s">
        <v>2074</v>
      </c>
      <c r="AG242" s="25"/>
      <c r="AH242" s="25"/>
      <c r="AI242" s="26"/>
      <c r="AJ242" s="25"/>
      <c r="AK242" s="25"/>
      <c r="AL242" s="25"/>
      <c r="AM242" s="25"/>
      <c r="AN242" s="25"/>
      <c r="AO242" s="25"/>
      <c r="AP242" s="25"/>
      <c r="AQ242" s="25"/>
      <c r="AR242" s="25"/>
      <c r="AS242" s="25"/>
      <c r="AT242" s="25"/>
      <c r="AU242" s="25"/>
      <c r="AV242" s="25"/>
      <c r="AW242" s="19" t="s">
        <v>2839</v>
      </c>
      <c r="AX242" s="19" t="s">
        <v>2838</v>
      </c>
      <c r="BA242" s="9" t="s">
        <v>3614</v>
      </c>
      <c r="BB242" s="9" t="s">
        <v>3615</v>
      </c>
    </row>
    <row r="243" spans="13:54" x14ac:dyDescent="0.25">
      <c r="M243" s="19" t="s">
        <v>917</v>
      </c>
      <c r="N243" s="19" t="s">
        <v>1150</v>
      </c>
      <c r="O243" s="25"/>
      <c r="P243" s="25"/>
      <c r="Q243" s="25"/>
      <c r="S243" s="23"/>
      <c r="T243" s="25"/>
      <c r="Y243" s="29"/>
      <c r="Z243" s="26"/>
      <c r="AE243" s="19" t="s">
        <v>2075</v>
      </c>
      <c r="AF243" s="19" t="s">
        <v>2076</v>
      </c>
      <c r="AG243" s="25"/>
      <c r="AH243" s="25"/>
      <c r="AI243" s="26"/>
      <c r="AJ243" s="25"/>
      <c r="AK243" s="25"/>
      <c r="AL243" s="25"/>
      <c r="AM243" s="25"/>
      <c r="AN243" s="25"/>
      <c r="AO243" s="25"/>
      <c r="AP243" s="25"/>
      <c r="AQ243" s="25"/>
      <c r="AR243" s="25"/>
      <c r="AS243" s="25"/>
      <c r="AT243" s="25"/>
      <c r="AU243" s="25"/>
      <c r="AV243" s="25"/>
      <c r="AW243" s="19" t="s">
        <v>2840</v>
      </c>
      <c r="AX243" s="19" t="s">
        <v>3116</v>
      </c>
    </row>
    <row r="244" spans="13:54" x14ac:dyDescent="0.25">
      <c r="M244" s="19" t="s">
        <v>918</v>
      </c>
      <c r="N244" s="19" t="s">
        <v>1151</v>
      </c>
      <c r="O244" s="25"/>
      <c r="P244" s="25"/>
      <c r="Q244" s="25"/>
      <c r="S244" s="23"/>
      <c r="T244" s="25"/>
      <c r="Y244" s="29"/>
      <c r="Z244" s="26"/>
      <c r="AE244" s="19" t="s">
        <v>2077</v>
      </c>
      <c r="AF244" s="19" t="s">
        <v>2078</v>
      </c>
      <c r="AG244" s="25"/>
      <c r="AH244" s="25"/>
      <c r="AI244" s="26"/>
      <c r="AJ244" s="25"/>
      <c r="AK244" s="25"/>
      <c r="AL244" s="25"/>
      <c r="AM244" s="25"/>
      <c r="AN244" s="25"/>
      <c r="AO244" s="25"/>
      <c r="AP244" s="25"/>
      <c r="AQ244" s="25"/>
      <c r="AR244" s="25"/>
      <c r="AS244" s="25"/>
      <c r="AT244" s="25"/>
      <c r="AU244" s="25"/>
      <c r="AV244" s="25"/>
      <c r="AW244" s="19" t="s">
        <v>2842</v>
      </c>
      <c r="AX244" s="19" t="s">
        <v>2841</v>
      </c>
    </row>
    <row r="245" spans="13:54" x14ac:dyDescent="0.25">
      <c r="M245" s="19" t="s">
        <v>919</v>
      </c>
      <c r="N245" s="19" t="s">
        <v>1152</v>
      </c>
      <c r="O245" s="25"/>
      <c r="P245" s="25"/>
      <c r="Q245" s="25"/>
      <c r="S245" s="23"/>
      <c r="T245" s="25"/>
      <c r="Y245" s="29"/>
      <c r="Z245" s="26"/>
      <c r="AE245" s="19" t="s">
        <v>2079</v>
      </c>
      <c r="AF245" s="19" t="s">
        <v>2080</v>
      </c>
      <c r="AG245" s="25"/>
      <c r="AH245" s="25"/>
      <c r="AI245" s="26"/>
      <c r="AJ245" s="25"/>
      <c r="AK245" s="25"/>
      <c r="AL245" s="25"/>
      <c r="AM245" s="25"/>
      <c r="AN245" s="25"/>
      <c r="AO245" s="25"/>
      <c r="AP245" s="25"/>
      <c r="AQ245" s="25"/>
      <c r="AR245" s="25"/>
      <c r="AS245" s="25"/>
      <c r="AT245" s="25"/>
      <c r="AU245" s="25"/>
      <c r="AV245" s="25"/>
      <c r="AW245" s="19" t="s">
        <v>2844</v>
      </c>
      <c r="AX245" s="19" t="s">
        <v>2843</v>
      </c>
    </row>
    <row r="246" spans="13:54" x14ac:dyDescent="0.25">
      <c r="M246" s="19" t="s">
        <v>920</v>
      </c>
      <c r="N246" s="19" t="s">
        <v>1153</v>
      </c>
      <c r="O246" s="25"/>
      <c r="P246" s="25"/>
      <c r="Q246" s="25"/>
      <c r="S246" s="23"/>
      <c r="T246" s="25"/>
      <c r="Y246" s="29"/>
      <c r="Z246" s="26"/>
      <c r="AE246" s="19" t="s">
        <v>2081</v>
      </c>
      <c r="AF246" s="19" t="s">
        <v>2082</v>
      </c>
      <c r="AG246" s="25"/>
      <c r="AH246" s="25"/>
      <c r="AI246" s="26"/>
      <c r="AJ246" s="25"/>
      <c r="AK246" s="25"/>
      <c r="AL246" s="25"/>
      <c r="AM246" s="25"/>
      <c r="AN246" s="25"/>
      <c r="AO246" s="25"/>
      <c r="AP246" s="25"/>
      <c r="AQ246" s="25"/>
      <c r="AR246" s="25"/>
      <c r="AS246" s="25"/>
      <c r="AT246" s="25"/>
      <c r="AU246" s="25"/>
      <c r="AV246" s="25"/>
      <c r="AW246" s="19" t="s">
        <v>2846</v>
      </c>
      <c r="AX246" s="19" t="s">
        <v>2845</v>
      </c>
    </row>
    <row r="247" spans="13:54" x14ac:dyDescent="0.25">
      <c r="M247" s="19" t="s">
        <v>921</v>
      </c>
      <c r="N247" s="19" t="s">
        <v>1154</v>
      </c>
      <c r="O247" s="25"/>
      <c r="P247" s="25"/>
      <c r="Q247" s="25"/>
      <c r="S247" s="23"/>
      <c r="T247" s="25"/>
      <c r="Y247" s="29"/>
      <c r="Z247" s="26"/>
      <c r="AE247" s="19" t="s">
        <v>2083</v>
      </c>
      <c r="AF247" s="19" t="s">
        <v>2084</v>
      </c>
      <c r="AG247" s="25"/>
      <c r="AH247" s="25"/>
      <c r="AI247" s="26"/>
      <c r="AJ247" s="25"/>
      <c r="AK247" s="25"/>
      <c r="AL247" s="25"/>
      <c r="AM247" s="25"/>
      <c r="AN247" s="25"/>
      <c r="AO247" s="25"/>
      <c r="AP247" s="25"/>
      <c r="AQ247" s="25"/>
      <c r="AR247" s="25"/>
      <c r="AS247" s="25"/>
      <c r="AT247" s="25"/>
      <c r="AU247" s="25"/>
      <c r="AV247" s="25"/>
      <c r="AW247" s="19" t="s">
        <v>2848</v>
      </c>
      <c r="AX247" s="19" t="s">
        <v>2847</v>
      </c>
    </row>
    <row r="248" spans="13:54" x14ac:dyDescent="0.25">
      <c r="M248" s="19" t="s">
        <v>922</v>
      </c>
      <c r="N248" s="19" t="s">
        <v>1155</v>
      </c>
      <c r="O248" s="25"/>
      <c r="P248" s="25"/>
      <c r="Q248" s="25"/>
      <c r="S248" s="23"/>
      <c r="T248" s="25"/>
      <c r="Y248" s="29"/>
      <c r="Z248" s="26"/>
      <c r="AE248" s="19" t="s">
        <v>2085</v>
      </c>
      <c r="AF248" s="19" t="s">
        <v>2086</v>
      </c>
      <c r="AG248" s="25"/>
      <c r="AH248" s="25"/>
      <c r="AI248" s="26"/>
      <c r="AJ248" s="25"/>
      <c r="AK248" s="25"/>
      <c r="AL248" s="25"/>
      <c r="AM248" s="25"/>
      <c r="AN248" s="25"/>
      <c r="AO248" s="25"/>
      <c r="AP248" s="25"/>
      <c r="AQ248" s="25"/>
      <c r="AR248" s="25"/>
      <c r="AS248" s="25"/>
      <c r="AT248" s="25"/>
      <c r="AU248" s="25"/>
      <c r="AV248" s="25"/>
      <c r="AW248" s="19" t="s">
        <v>2850</v>
      </c>
      <c r="AX248" s="19" t="s">
        <v>2849</v>
      </c>
    </row>
    <row r="249" spans="13:54" x14ac:dyDescent="0.25">
      <c r="M249" s="19" t="s">
        <v>923</v>
      </c>
      <c r="N249" s="19" t="s">
        <v>1156</v>
      </c>
      <c r="O249" s="25"/>
      <c r="P249" s="25"/>
      <c r="Q249" s="25"/>
      <c r="S249" s="23"/>
      <c r="Y249" s="29"/>
      <c r="Z249" s="26"/>
      <c r="AE249" s="19" t="s">
        <v>2087</v>
      </c>
      <c r="AF249" s="19" t="s">
        <v>2088</v>
      </c>
      <c r="AG249" s="25"/>
      <c r="AH249" s="25"/>
      <c r="AI249" s="26"/>
      <c r="AJ249" s="25"/>
      <c r="AK249" s="25"/>
      <c r="AL249" s="25"/>
      <c r="AM249" s="25"/>
      <c r="AN249" s="25"/>
      <c r="AO249" s="25"/>
      <c r="AP249" s="25"/>
      <c r="AQ249" s="25"/>
      <c r="AR249" s="25"/>
      <c r="AS249" s="25"/>
      <c r="AT249" s="25"/>
      <c r="AU249" s="25"/>
      <c r="AV249" s="25"/>
      <c r="AW249" s="19" t="s">
        <v>3641</v>
      </c>
      <c r="AX249" s="19" t="s">
        <v>3642</v>
      </c>
    </row>
    <row r="250" spans="13:54" x14ac:dyDescent="0.25">
      <c r="M250" s="19" t="s">
        <v>924</v>
      </c>
      <c r="N250" s="19" t="s">
        <v>1157</v>
      </c>
      <c r="O250" s="25"/>
      <c r="P250" s="25"/>
      <c r="Q250" s="25"/>
      <c r="S250" s="6"/>
      <c r="Y250" s="29"/>
      <c r="Z250" s="26"/>
      <c r="AE250" s="19" t="s">
        <v>2089</v>
      </c>
      <c r="AF250" s="19" t="s">
        <v>2090</v>
      </c>
      <c r="AG250" s="25"/>
      <c r="AH250" s="25"/>
      <c r="AI250" s="26"/>
      <c r="AJ250" s="25"/>
      <c r="AK250" s="25"/>
      <c r="AL250" s="25"/>
      <c r="AM250" s="25"/>
      <c r="AN250" s="25"/>
      <c r="AO250" s="25"/>
      <c r="AP250" s="25"/>
      <c r="AQ250" s="25"/>
      <c r="AR250" s="25"/>
      <c r="AS250" s="25"/>
      <c r="AT250" s="25"/>
      <c r="AU250" s="25"/>
      <c r="AV250" s="25"/>
      <c r="AW250" s="19" t="s">
        <v>3643</v>
      </c>
      <c r="AX250" s="19" t="s">
        <v>3644</v>
      </c>
    </row>
    <row r="251" spans="13:54" x14ac:dyDescent="0.25">
      <c r="M251" s="19" t="s">
        <v>925</v>
      </c>
      <c r="N251" s="19" t="s">
        <v>1158</v>
      </c>
      <c r="O251" s="25"/>
      <c r="P251" s="25"/>
      <c r="Q251" s="25"/>
      <c r="S251" s="6"/>
      <c r="Y251" s="29"/>
      <c r="Z251" s="26"/>
      <c r="AE251" s="19" t="s">
        <v>2091</v>
      </c>
      <c r="AF251" s="19" t="s">
        <v>2092</v>
      </c>
      <c r="AG251" s="25"/>
      <c r="AH251" s="25"/>
      <c r="AI251" s="26"/>
      <c r="AJ251" s="25"/>
      <c r="AK251" s="25"/>
      <c r="AL251" s="25"/>
      <c r="AM251" s="25"/>
      <c r="AN251" s="25"/>
      <c r="AO251" s="25"/>
      <c r="AP251" s="25"/>
      <c r="AQ251" s="25"/>
      <c r="AR251" s="25"/>
      <c r="AS251" s="25"/>
      <c r="AT251" s="25"/>
      <c r="AU251" s="25"/>
      <c r="AV251" s="25"/>
      <c r="AW251" s="25"/>
      <c r="AX251" s="25"/>
    </row>
    <row r="252" spans="13:54" x14ac:dyDescent="0.25">
      <c r="M252" s="19" t="s">
        <v>926</v>
      </c>
      <c r="N252" s="19" t="s">
        <v>1159</v>
      </c>
      <c r="O252" s="25"/>
      <c r="P252" s="25"/>
      <c r="Q252" s="25"/>
      <c r="S252" s="6"/>
      <c r="Y252" s="29"/>
      <c r="Z252" s="26"/>
      <c r="AE252" s="19" t="s">
        <v>2093</v>
      </c>
      <c r="AF252" s="19" t="s">
        <v>2094</v>
      </c>
      <c r="AG252" s="25"/>
      <c r="AH252" s="25"/>
      <c r="AI252" s="26"/>
      <c r="AJ252" s="25"/>
      <c r="AK252" s="25"/>
      <c r="AL252" s="25"/>
      <c r="AM252" s="25"/>
      <c r="AN252" s="25"/>
      <c r="AO252" s="25"/>
      <c r="AP252" s="25"/>
      <c r="AQ252" s="25"/>
      <c r="AR252" s="25"/>
      <c r="AS252" s="25"/>
      <c r="AT252" s="25"/>
      <c r="AV252" s="25"/>
      <c r="AW252" s="25"/>
      <c r="AX252" s="25"/>
    </row>
    <row r="253" spans="13:54" x14ac:dyDescent="0.25">
      <c r="M253" s="19" t="s">
        <v>927</v>
      </c>
      <c r="N253" s="19" t="s">
        <v>1160</v>
      </c>
      <c r="O253" s="25"/>
      <c r="P253" s="25"/>
      <c r="Q253" s="25"/>
      <c r="S253" s="6"/>
      <c r="Y253" s="29"/>
      <c r="Z253" s="26"/>
      <c r="AE253" s="19" t="s">
        <v>2095</v>
      </c>
      <c r="AF253" s="19" t="s">
        <v>2096</v>
      </c>
      <c r="AG253" s="25"/>
      <c r="AH253" s="25"/>
      <c r="AI253" s="26"/>
      <c r="AJ253" s="25"/>
      <c r="AK253" s="25"/>
      <c r="AL253" s="25"/>
      <c r="AM253" s="25"/>
      <c r="AN253" s="25"/>
      <c r="AO253" s="25"/>
      <c r="AP253" s="25"/>
      <c r="AQ253" s="25"/>
      <c r="AR253" s="25"/>
      <c r="AS253" s="25"/>
      <c r="AV253" s="25"/>
      <c r="AW253" s="25"/>
      <c r="AX253" s="25"/>
    </row>
    <row r="254" spans="13:54" x14ac:dyDescent="0.25">
      <c r="M254" s="19" t="s">
        <v>928</v>
      </c>
      <c r="N254" s="19" t="s">
        <v>1161</v>
      </c>
      <c r="O254" s="25"/>
      <c r="P254" s="25"/>
      <c r="Q254" s="25"/>
      <c r="S254" s="6"/>
      <c r="Y254" s="29"/>
      <c r="Z254" s="26"/>
      <c r="AE254" s="19" t="s">
        <v>2097</v>
      </c>
      <c r="AF254" s="19" t="s">
        <v>2098</v>
      </c>
      <c r="AH254" s="25"/>
      <c r="AK254" s="25"/>
      <c r="AN254" s="25"/>
      <c r="AQ254" s="25"/>
      <c r="AW254" s="25"/>
      <c r="AX254" s="25"/>
    </row>
    <row r="255" spans="13:54" x14ac:dyDescent="0.25">
      <c r="M255" s="19" t="s">
        <v>929</v>
      </c>
      <c r="N255" s="19" t="s">
        <v>1162</v>
      </c>
      <c r="O255" s="25"/>
      <c r="P255" s="25"/>
      <c r="Q255" s="25"/>
      <c r="S255" s="6"/>
      <c r="Y255" s="29"/>
      <c r="Z255" s="26"/>
      <c r="AE255" s="19" t="s">
        <v>2099</v>
      </c>
      <c r="AF255" s="19" t="s">
        <v>2100</v>
      </c>
      <c r="AW255" s="25"/>
      <c r="AX255" s="25"/>
    </row>
    <row r="256" spans="13:54" x14ac:dyDescent="0.25">
      <c r="M256" s="19" t="s">
        <v>930</v>
      </c>
      <c r="N256" s="19" t="s">
        <v>1163</v>
      </c>
      <c r="O256" s="25"/>
      <c r="P256" s="25"/>
      <c r="Q256" s="25"/>
      <c r="S256" s="6"/>
      <c r="Y256" s="29"/>
      <c r="Z256" s="26"/>
      <c r="AE256" s="19" t="s">
        <v>2101</v>
      </c>
      <c r="AF256" s="19" t="s">
        <v>2102</v>
      </c>
      <c r="AW256" s="25"/>
      <c r="AX256" s="25"/>
    </row>
    <row r="257" spans="13:50" x14ac:dyDescent="0.25">
      <c r="M257" s="19" t="s">
        <v>931</v>
      </c>
      <c r="N257" s="19" t="s">
        <v>1164</v>
      </c>
      <c r="O257" s="25"/>
      <c r="P257" s="25"/>
      <c r="Q257" s="25"/>
      <c r="S257" s="6"/>
      <c r="Y257" s="29"/>
      <c r="Z257" s="26"/>
      <c r="AE257" s="19" t="s">
        <v>2103</v>
      </c>
      <c r="AF257" s="19" t="s">
        <v>2104</v>
      </c>
      <c r="AW257" s="25"/>
      <c r="AX257" s="25"/>
    </row>
    <row r="258" spans="13:50" x14ac:dyDescent="0.25">
      <c r="M258" s="19" t="s">
        <v>932</v>
      </c>
      <c r="N258" s="19" t="s">
        <v>1165</v>
      </c>
      <c r="O258" s="25"/>
      <c r="P258" s="25"/>
      <c r="Q258" s="25"/>
      <c r="S258" s="6"/>
      <c r="Y258" s="29"/>
      <c r="Z258" s="26"/>
      <c r="AE258" s="19" t="s">
        <v>2105</v>
      </c>
      <c r="AF258" s="19" t="s">
        <v>2106</v>
      </c>
      <c r="AW258" s="25"/>
      <c r="AX258" s="25"/>
    </row>
    <row r="259" spans="13:50" x14ac:dyDescent="0.25">
      <c r="M259" s="19" t="s">
        <v>933</v>
      </c>
      <c r="N259" s="19" t="s">
        <v>1166</v>
      </c>
      <c r="O259" s="25"/>
      <c r="P259" s="25"/>
      <c r="Q259" s="25"/>
      <c r="S259" s="6"/>
      <c r="Y259" s="29"/>
      <c r="Z259" s="26"/>
      <c r="AE259" s="19" t="s">
        <v>2107</v>
      </c>
      <c r="AF259" s="19" t="s">
        <v>2108</v>
      </c>
      <c r="AW259" s="25"/>
      <c r="AX259" s="25"/>
    </row>
    <row r="260" spans="13:50" x14ac:dyDescent="0.25">
      <c r="M260" s="19" t="s">
        <v>934</v>
      </c>
      <c r="N260" s="19" t="s">
        <v>1167</v>
      </c>
      <c r="O260" s="25"/>
      <c r="P260" s="25"/>
      <c r="Q260" s="25"/>
      <c r="S260" s="6"/>
      <c r="Y260" s="29"/>
      <c r="Z260" s="26"/>
      <c r="AE260" s="19" t="s">
        <v>2109</v>
      </c>
      <c r="AF260" s="19" t="s">
        <v>2110</v>
      </c>
      <c r="AW260" s="25"/>
      <c r="AX260" s="25"/>
    </row>
    <row r="261" spans="13:50" x14ac:dyDescent="0.25">
      <c r="M261" s="19" t="s">
        <v>935</v>
      </c>
      <c r="N261" s="19" t="s">
        <v>1168</v>
      </c>
      <c r="O261" s="25"/>
      <c r="P261" s="25"/>
      <c r="Q261" s="25"/>
      <c r="S261" s="6"/>
      <c r="Y261" s="29"/>
      <c r="Z261" s="26"/>
      <c r="AE261" s="19" t="s">
        <v>2111</v>
      </c>
      <c r="AF261" s="19" t="s">
        <v>2112</v>
      </c>
      <c r="AW261" s="25"/>
      <c r="AX261" s="25"/>
    </row>
    <row r="262" spans="13:50" x14ac:dyDescent="0.25">
      <c r="M262" s="19" t="s">
        <v>936</v>
      </c>
      <c r="N262" s="19" t="s">
        <v>1169</v>
      </c>
      <c r="O262" s="25"/>
      <c r="P262" s="25"/>
      <c r="Q262" s="25"/>
      <c r="S262" s="6"/>
      <c r="Y262" s="29"/>
      <c r="Z262" s="26"/>
      <c r="AE262" s="19" t="s">
        <v>2113</v>
      </c>
      <c r="AF262" s="19" t="s">
        <v>2114</v>
      </c>
      <c r="AW262" s="25"/>
      <c r="AX262" s="25"/>
    </row>
    <row r="263" spans="13:50" x14ac:dyDescent="0.25">
      <c r="M263" s="19" t="s">
        <v>937</v>
      </c>
      <c r="N263" s="19" t="s">
        <v>1170</v>
      </c>
      <c r="O263" s="25"/>
      <c r="P263" s="25"/>
      <c r="Q263" s="25"/>
      <c r="S263" s="6"/>
      <c r="Y263" s="29"/>
      <c r="Z263" s="26"/>
      <c r="AE263" s="19" t="s">
        <v>2115</v>
      </c>
      <c r="AF263" s="19" t="s">
        <v>2116</v>
      </c>
      <c r="AW263" s="25"/>
      <c r="AX263" s="25"/>
    </row>
    <row r="264" spans="13:50" x14ac:dyDescent="0.25">
      <c r="M264" s="19" t="s">
        <v>938</v>
      </c>
      <c r="N264" s="19" t="s">
        <v>1171</v>
      </c>
      <c r="O264" s="25"/>
      <c r="P264" s="25"/>
      <c r="Q264" s="25"/>
      <c r="S264" s="6"/>
      <c r="Y264" s="29"/>
      <c r="Z264" s="26"/>
      <c r="AE264" s="19" t="s">
        <v>2117</v>
      </c>
      <c r="AF264" s="19" t="s">
        <v>2118</v>
      </c>
      <c r="AW264" s="25"/>
      <c r="AX264" s="25"/>
    </row>
    <row r="265" spans="13:50" x14ac:dyDescent="0.25">
      <c r="M265" s="19" t="s">
        <v>939</v>
      </c>
      <c r="N265" s="19" t="s">
        <v>1172</v>
      </c>
      <c r="O265" s="25"/>
      <c r="P265" s="25"/>
      <c r="Q265" s="25"/>
      <c r="S265" s="6"/>
      <c r="Y265" s="29"/>
      <c r="Z265" s="26"/>
      <c r="AE265" s="19" t="s">
        <v>2119</v>
      </c>
      <c r="AF265" s="19" t="s">
        <v>2120</v>
      </c>
      <c r="AW265" s="25"/>
      <c r="AX265" s="25"/>
    </row>
    <row r="266" spans="13:50" x14ac:dyDescent="0.25">
      <c r="M266" s="19" t="s">
        <v>940</v>
      </c>
      <c r="N266" s="19" t="s">
        <v>1173</v>
      </c>
      <c r="O266" s="25"/>
      <c r="P266" s="25"/>
      <c r="Q266" s="25"/>
      <c r="S266" s="6"/>
      <c r="Y266" s="29"/>
      <c r="Z266" s="26"/>
      <c r="AE266" s="19" t="s">
        <v>2121</v>
      </c>
      <c r="AF266" s="19" t="s">
        <v>2122</v>
      </c>
      <c r="AW266" s="25"/>
      <c r="AX266" s="25"/>
    </row>
    <row r="267" spans="13:50" x14ac:dyDescent="0.25">
      <c r="M267" s="19" t="s">
        <v>941</v>
      </c>
      <c r="N267" s="19" t="s">
        <v>1174</v>
      </c>
      <c r="O267" s="25"/>
      <c r="P267" s="25"/>
      <c r="Q267" s="25"/>
      <c r="S267" s="6"/>
      <c r="Y267" s="29"/>
      <c r="Z267" s="26"/>
      <c r="AE267" s="19" t="s">
        <v>2123</v>
      </c>
      <c r="AF267" s="19" t="s">
        <v>2124</v>
      </c>
      <c r="AW267" s="25"/>
      <c r="AX267" s="25"/>
    </row>
    <row r="268" spans="13:50" x14ac:dyDescent="0.25">
      <c r="M268" s="19" t="s">
        <v>942</v>
      </c>
      <c r="N268" s="19" t="s">
        <v>1175</v>
      </c>
      <c r="O268" s="25"/>
      <c r="P268" s="25"/>
      <c r="Q268" s="25"/>
      <c r="S268" s="6"/>
      <c r="Y268" s="29"/>
      <c r="Z268" s="26"/>
      <c r="AE268" s="19" t="s">
        <v>2125</v>
      </c>
      <c r="AF268" s="19" t="s">
        <v>2126</v>
      </c>
      <c r="AW268" s="25"/>
      <c r="AX268" s="25"/>
    </row>
    <row r="269" spans="13:50" x14ac:dyDescent="0.25">
      <c r="M269" s="19" t="s">
        <v>943</v>
      </c>
      <c r="N269" s="19" t="s">
        <v>1176</v>
      </c>
      <c r="O269" s="25"/>
      <c r="P269" s="25"/>
      <c r="Q269" s="25"/>
      <c r="S269" s="6"/>
      <c r="Y269" s="29"/>
      <c r="Z269" s="26"/>
      <c r="AE269" s="19" t="s">
        <v>2127</v>
      </c>
      <c r="AF269" s="19" t="s">
        <v>2128</v>
      </c>
      <c r="AW269" s="25"/>
      <c r="AX269" s="25"/>
    </row>
    <row r="270" spans="13:50" x14ac:dyDescent="0.25">
      <c r="M270" s="19" t="s">
        <v>944</v>
      </c>
      <c r="N270" s="19" t="s">
        <v>1177</v>
      </c>
      <c r="O270" s="25"/>
      <c r="P270" s="25"/>
      <c r="Q270" s="25"/>
      <c r="S270" s="6"/>
      <c r="Y270" s="29"/>
      <c r="Z270" s="26"/>
      <c r="AE270" s="19" t="s">
        <v>2129</v>
      </c>
      <c r="AF270" s="19" t="s">
        <v>2130</v>
      </c>
      <c r="AW270" s="25"/>
      <c r="AX270" s="25"/>
    </row>
    <row r="271" spans="13:50" x14ac:dyDescent="0.25">
      <c r="M271" s="19" t="s">
        <v>945</v>
      </c>
      <c r="N271" s="19" t="s">
        <v>1178</v>
      </c>
      <c r="O271" s="25"/>
      <c r="P271" s="25"/>
      <c r="Q271" s="25"/>
      <c r="S271" s="6"/>
      <c r="Y271" s="29"/>
      <c r="Z271" s="26"/>
      <c r="AE271" s="19" t="s">
        <v>2131</v>
      </c>
      <c r="AF271" s="19" t="s">
        <v>2132</v>
      </c>
      <c r="AW271" s="25"/>
      <c r="AX271" s="25"/>
    </row>
    <row r="272" spans="13:50" x14ac:dyDescent="0.25">
      <c r="M272" s="19" t="s">
        <v>946</v>
      </c>
      <c r="N272" s="19" t="s">
        <v>1179</v>
      </c>
      <c r="O272" s="25"/>
      <c r="P272" s="25"/>
      <c r="Q272" s="25"/>
      <c r="S272" s="6"/>
      <c r="Y272" s="29"/>
      <c r="Z272" s="26"/>
      <c r="AE272" s="19" t="s">
        <v>2133</v>
      </c>
      <c r="AF272" s="19" t="s">
        <v>2134</v>
      </c>
      <c r="AW272" s="25"/>
      <c r="AX272" s="25"/>
    </row>
    <row r="273" spans="13:50" x14ac:dyDescent="0.25">
      <c r="M273" s="19" t="s">
        <v>947</v>
      </c>
      <c r="N273" s="19" t="s">
        <v>1180</v>
      </c>
      <c r="O273" s="25"/>
      <c r="P273" s="25"/>
      <c r="Q273" s="25"/>
      <c r="S273" s="6"/>
      <c r="Y273" s="29"/>
      <c r="Z273" s="26"/>
      <c r="AE273" s="19" t="s">
        <v>2135</v>
      </c>
      <c r="AF273" s="19" t="s">
        <v>2136</v>
      </c>
      <c r="AW273" s="25"/>
      <c r="AX273" s="25"/>
    </row>
    <row r="274" spans="13:50" x14ac:dyDescent="0.25">
      <c r="M274" s="19" t="s">
        <v>948</v>
      </c>
      <c r="N274" s="19" t="s">
        <v>1181</v>
      </c>
      <c r="O274" s="25"/>
      <c r="P274" s="25"/>
      <c r="Q274" s="25"/>
      <c r="S274" s="6"/>
      <c r="Y274" s="29"/>
      <c r="Z274" s="26"/>
      <c r="AE274" s="19" t="s">
        <v>2137</v>
      </c>
      <c r="AF274" s="19" t="s">
        <v>2138</v>
      </c>
      <c r="AW274" s="25"/>
      <c r="AX274" s="25"/>
    </row>
    <row r="275" spans="13:50" x14ac:dyDescent="0.25">
      <c r="M275" s="19" t="s">
        <v>949</v>
      </c>
      <c r="N275" s="19" t="s">
        <v>1182</v>
      </c>
      <c r="O275" s="25"/>
      <c r="P275" s="25"/>
      <c r="Q275" s="25"/>
      <c r="S275" s="6"/>
      <c r="Y275" s="29"/>
      <c r="Z275" s="26"/>
      <c r="AE275" s="19" t="s">
        <v>2139</v>
      </c>
      <c r="AF275" s="19" t="s">
        <v>2140</v>
      </c>
      <c r="AW275" s="25"/>
      <c r="AX275" s="25"/>
    </row>
    <row r="276" spans="13:50" x14ac:dyDescent="0.25">
      <c r="M276" s="19" t="s">
        <v>950</v>
      </c>
      <c r="N276" s="19" t="s">
        <v>1183</v>
      </c>
      <c r="O276" s="25"/>
      <c r="P276" s="25"/>
      <c r="Q276" s="25"/>
      <c r="S276" s="6"/>
      <c r="Y276" s="29"/>
      <c r="Z276" s="26"/>
      <c r="AE276" s="19" t="s">
        <v>2141</v>
      </c>
      <c r="AF276" s="19" t="s">
        <v>2142</v>
      </c>
      <c r="AW276" s="25"/>
      <c r="AX276" s="25"/>
    </row>
    <row r="277" spans="13:50" x14ac:dyDescent="0.25">
      <c r="M277" s="19" t="s">
        <v>951</v>
      </c>
      <c r="N277" s="19" t="s">
        <v>1184</v>
      </c>
      <c r="O277" s="25"/>
      <c r="P277" s="25"/>
      <c r="Q277" s="25"/>
      <c r="S277" s="6"/>
      <c r="Y277" s="29"/>
      <c r="Z277" s="26"/>
      <c r="AE277" s="19" t="s">
        <v>2143</v>
      </c>
      <c r="AF277" s="19" t="s">
        <v>2144</v>
      </c>
      <c r="AW277" s="25"/>
      <c r="AX277" s="25"/>
    </row>
    <row r="278" spans="13:50" x14ac:dyDescent="0.25">
      <c r="M278" s="19" t="s">
        <v>952</v>
      </c>
      <c r="N278" s="19" t="s">
        <v>1185</v>
      </c>
      <c r="O278" s="25"/>
      <c r="P278" s="25"/>
      <c r="Q278" s="25"/>
      <c r="S278" s="6"/>
      <c r="Y278" s="29"/>
      <c r="Z278" s="26"/>
      <c r="AE278" s="19" t="s">
        <v>2145</v>
      </c>
      <c r="AF278" s="19" t="s">
        <v>2146</v>
      </c>
      <c r="AW278" s="25"/>
      <c r="AX278" s="25"/>
    </row>
    <row r="279" spans="13:50" x14ac:dyDescent="0.25">
      <c r="M279" s="19" t="s">
        <v>953</v>
      </c>
      <c r="N279" s="19" t="s">
        <v>1186</v>
      </c>
      <c r="O279" s="25"/>
      <c r="P279" s="25"/>
      <c r="Q279" s="25"/>
      <c r="S279" s="6"/>
      <c r="Y279" s="29"/>
      <c r="Z279" s="26"/>
      <c r="AE279" s="25"/>
      <c r="AF279" s="26"/>
      <c r="AW279" s="25"/>
      <c r="AX279" s="25"/>
    </row>
    <row r="280" spans="13:50" x14ac:dyDescent="0.25">
      <c r="M280" s="19" t="s">
        <v>954</v>
      </c>
      <c r="N280" s="19" t="s">
        <v>1187</v>
      </c>
      <c r="O280" s="25"/>
      <c r="P280" s="25"/>
      <c r="Q280" s="25"/>
      <c r="S280" s="6"/>
      <c r="Y280" s="29"/>
      <c r="Z280" s="26"/>
      <c r="AE280" s="25"/>
      <c r="AF280" s="26"/>
      <c r="AW280" s="25"/>
      <c r="AX280" s="25"/>
    </row>
    <row r="281" spans="13:50" x14ac:dyDescent="0.25">
      <c r="M281" s="19" t="s">
        <v>955</v>
      </c>
      <c r="N281" s="19" t="s">
        <v>1188</v>
      </c>
      <c r="O281" s="25"/>
      <c r="P281" s="25"/>
      <c r="Q281" s="25"/>
      <c r="S281" s="6"/>
      <c r="Y281" s="29"/>
      <c r="Z281" s="26"/>
      <c r="AE281" s="25"/>
      <c r="AF281" s="26"/>
      <c r="AW281" s="25"/>
      <c r="AX281" s="25"/>
    </row>
    <row r="282" spans="13:50" x14ac:dyDescent="0.25">
      <c r="M282" s="19" t="s">
        <v>956</v>
      </c>
      <c r="N282" s="19" t="s">
        <v>1189</v>
      </c>
      <c r="O282" s="25"/>
      <c r="P282" s="25"/>
      <c r="Q282" s="25"/>
      <c r="S282" s="6"/>
      <c r="Y282" s="29"/>
      <c r="Z282" s="26"/>
      <c r="AE282" s="25"/>
      <c r="AF282" s="26"/>
      <c r="AW282" s="25"/>
      <c r="AX282" s="25"/>
    </row>
    <row r="283" spans="13:50" x14ac:dyDescent="0.25">
      <c r="M283" s="19" t="s">
        <v>957</v>
      </c>
      <c r="N283" s="19" t="s">
        <v>1190</v>
      </c>
      <c r="O283" s="25"/>
      <c r="P283" s="25"/>
      <c r="Q283" s="25"/>
      <c r="S283" s="6"/>
      <c r="Y283" s="29"/>
      <c r="Z283" s="26"/>
      <c r="AE283" s="25"/>
      <c r="AF283" s="26"/>
      <c r="AW283" s="25"/>
      <c r="AX283" s="25"/>
    </row>
    <row r="284" spans="13:50" x14ac:dyDescent="0.25">
      <c r="M284" s="19" t="s">
        <v>958</v>
      </c>
      <c r="N284" s="19" t="s">
        <v>1191</v>
      </c>
      <c r="O284" s="25"/>
      <c r="P284" s="25"/>
      <c r="Q284" s="25"/>
      <c r="S284" s="6"/>
      <c r="Y284" s="29"/>
      <c r="Z284" s="26"/>
      <c r="AE284" s="25"/>
      <c r="AF284" s="26"/>
      <c r="AW284" s="25"/>
      <c r="AX284" s="25"/>
    </row>
    <row r="285" spans="13:50" x14ac:dyDescent="0.25">
      <c r="M285" s="19" t="s">
        <v>959</v>
      </c>
      <c r="N285" s="19" t="s">
        <v>1192</v>
      </c>
      <c r="O285" s="25"/>
      <c r="P285" s="25"/>
      <c r="Q285" s="25"/>
      <c r="S285" s="6"/>
      <c r="Y285" s="29"/>
      <c r="AE285" s="25"/>
      <c r="AF285" s="26"/>
      <c r="AW285" s="25"/>
      <c r="AX285" s="25"/>
    </row>
    <row r="286" spans="13:50" x14ac:dyDescent="0.25">
      <c r="M286" s="19" t="s">
        <v>960</v>
      </c>
      <c r="N286" s="19" t="s">
        <v>1193</v>
      </c>
      <c r="O286" s="25"/>
      <c r="P286" s="25"/>
      <c r="Q286" s="25"/>
      <c r="S286" s="6"/>
      <c r="AE286" s="25"/>
      <c r="AF286" s="26"/>
      <c r="AW286" s="25"/>
      <c r="AX286" s="25"/>
    </row>
    <row r="287" spans="13:50" x14ac:dyDescent="0.25">
      <c r="M287" s="19" t="s">
        <v>961</v>
      </c>
      <c r="N287" s="19" t="s">
        <v>1194</v>
      </c>
      <c r="O287" s="25"/>
      <c r="P287" s="25"/>
      <c r="Q287" s="25"/>
      <c r="S287" s="6"/>
      <c r="AE287" s="25"/>
      <c r="AF287" s="26"/>
      <c r="AW287" s="25"/>
      <c r="AX287" s="25"/>
    </row>
    <row r="288" spans="13:50" x14ac:dyDescent="0.25">
      <c r="M288" s="19" t="s">
        <v>962</v>
      </c>
      <c r="N288" s="19" t="s">
        <v>1195</v>
      </c>
      <c r="O288" s="25"/>
      <c r="P288" s="25"/>
      <c r="Q288" s="25"/>
      <c r="S288" s="6"/>
      <c r="AE288" s="25"/>
      <c r="AF288" s="26"/>
      <c r="AW288" s="25"/>
      <c r="AX288" s="25"/>
    </row>
    <row r="289" spans="13:50" x14ac:dyDescent="0.25">
      <c r="M289" s="19" t="s">
        <v>963</v>
      </c>
      <c r="N289" s="19" t="s">
        <v>1196</v>
      </c>
      <c r="O289" s="25"/>
      <c r="P289" s="25"/>
      <c r="Q289" s="25"/>
      <c r="S289" s="6"/>
      <c r="AE289" s="25"/>
      <c r="AF289" s="26"/>
      <c r="AW289" s="25"/>
      <c r="AX289" s="25"/>
    </row>
    <row r="290" spans="13:50" x14ac:dyDescent="0.25">
      <c r="M290" s="19" t="s">
        <v>964</v>
      </c>
      <c r="N290" s="19" t="s">
        <v>1197</v>
      </c>
      <c r="O290" s="25"/>
      <c r="P290" s="25"/>
      <c r="Q290" s="25"/>
      <c r="S290" s="6"/>
      <c r="AE290" s="25"/>
      <c r="AF290" s="26"/>
      <c r="AW290" s="25"/>
      <c r="AX290" s="25"/>
    </row>
    <row r="291" spans="13:50" x14ac:dyDescent="0.25">
      <c r="M291" s="19" t="s">
        <v>965</v>
      </c>
      <c r="N291" s="19" t="s">
        <v>1198</v>
      </c>
      <c r="O291" s="25"/>
      <c r="P291" s="25"/>
      <c r="Q291" s="25"/>
      <c r="S291" s="6"/>
      <c r="AE291" s="25"/>
      <c r="AF291" s="26"/>
      <c r="AW291" s="25"/>
      <c r="AX291" s="25"/>
    </row>
    <row r="292" spans="13:50" x14ac:dyDescent="0.25">
      <c r="M292" s="19" t="s">
        <v>966</v>
      </c>
      <c r="N292" s="19" t="s">
        <v>1199</v>
      </c>
      <c r="O292" s="25"/>
      <c r="P292" s="25"/>
      <c r="Q292" s="25"/>
      <c r="S292" s="6"/>
      <c r="AE292" s="25"/>
      <c r="AF292" s="26"/>
      <c r="AW292" s="25"/>
      <c r="AX292" s="25"/>
    </row>
    <row r="293" spans="13:50" x14ac:dyDescent="0.25">
      <c r="M293" s="19" t="s">
        <v>967</v>
      </c>
      <c r="N293" s="19" t="s">
        <v>1200</v>
      </c>
      <c r="O293" s="25"/>
      <c r="P293" s="25"/>
      <c r="Q293" s="25"/>
      <c r="S293" s="6"/>
      <c r="AE293" s="25"/>
      <c r="AF293" s="26"/>
      <c r="AW293" s="25"/>
      <c r="AX293" s="25"/>
    </row>
    <row r="294" spans="13:50" x14ac:dyDescent="0.25">
      <c r="M294" s="19" t="s">
        <v>968</v>
      </c>
      <c r="N294" s="19" t="s">
        <v>1201</v>
      </c>
      <c r="O294" s="25"/>
      <c r="P294" s="25"/>
      <c r="Q294" s="25"/>
      <c r="S294" s="6"/>
      <c r="AE294" s="25"/>
      <c r="AF294" s="26"/>
      <c r="AW294" s="25"/>
      <c r="AX294" s="25"/>
    </row>
    <row r="295" spans="13:50" x14ac:dyDescent="0.25">
      <c r="M295" s="19" t="s">
        <v>969</v>
      </c>
      <c r="N295" s="19" t="s">
        <v>1202</v>
      </c>
      <c r="O295" s="25"/>
      <c r="P295" s="25"/>
      <c r="Q295" s="25"/>
      <c r="S295" s="6"/>
      <c r="AE295" s="25"/>
      <c r="AF295" s="26"/>
      <c r="AW295" s="25"/>
      <c r="AX295" s="25"/>
    </row>
    <row r="296" spans="13:50" x14ac:dyDescent="0.25">
      <c r="M296" s="19" t="s">
        <v>970</v>
      </c>
      <c r="N296" s="19" t="s">
        <v>1203</v>
      </c>
      <c r="O296" s="25"/>
      <c r="P296" s="25"/>
      <c r="Q296" s="25"/>
      <c r="S296" s="6"/>
      <c r="AE296" s="25"/>
      <c r="AF296" s="26"/>
      <c r="AW296" s="25"/>
      <c r="AX296" s="25"/>
    </row>
    <row r="297" spans="13:50" x14ac:dyDescent="0.25">
      <c r="M297" s="19" t="s">
        <v>971</v>
      </c>
      <c r="N297" s="19" t="s">
        <v>1204</v>
      </c>
      <c r="O297" s="25"/>
      <c r="P297" s="25"/>
      <c r="Q297" s="25"/>
      <c r="S297" s="6"/>
      <c r="AE297" s="25"/>
      <c r="AF297" s="26"/>
      <c r="AW297" s="25"/>
      <c r="AX297" s="25"/>
    </row>
    <row r="298" spans="13:50" x14ac:dyDescent="0.25">
      <c r="M298" s="19" t="s">
        <v>972</v>
      </c>
      <c r="N298" s="19" t="s">
        <v>1205</v>
      </c>
      <c r="O298" s="25"/>
      <c r="P298" s="25"/>
      <c r="Q298" s="25"/>
      <c r="S298" s="6"/>
      <c r="AE298" s="25"/>
      <c r="AF298" s="26"/>
      <c r="AW298" s="25"/>
      <c r="AX298" s="25"/>
    </row>
    <row r="299" spans="13:50" x14ac:dyDescent="0.25">
      <c r="M299" s="19" t="s">
        <v>973</v>
      </c>
      <c r="N299" s="19" t="s">
        <v>1206</v>
      </c>
      <c r="O299" s="25"/>
      <c r="P299" s="25"/>
      <c r="Q299" s="25"/>
      <c r="S299" s="6"/>
      <c r="AE299" s="25"/>
      <c r="AF299" s="26"/>
      <c r="AW299" s="25"/>
      <c r="AX299" s="25"/>
    </row>
    <row r="300" spans="13:50" x14ac:dyDescent="0.25">
      <c r="M300" s="19" t="s">
        <v>974</v>
      </c>
      <c r="N300" s="19" t="s">
        <v>1207</v>
      </c>
      <c r="O300" s="25"/>
      <c r="P300" s="25"/>
      <c r="Q300" s="25"/>
      <c r="S300" s="6"/>
      <c r="AE300" s="25"/>
      <c r="AF300" s="26"/>
      <c r="AW300" s="25"/>
      <c r="AX300" s="25"/>
    </row>
    <row r="301" spans="13:50" x14ac:dyDescent="0.25">
      <c r="M301" s="19" t="s">
        <v>975</v>
      </c>
      <c r="N301" s="19" t="s">
        <v>1208</v>
      </c>
      <c r="O301" s="25"/>
      <c r="P301" s="25"/>
      <c r="Q301" s="25"/>
      <c r="S301" s="6"/>
      <c r="AE301" s="25"/>
      <c r="AF301" s="26"/>
      <c r="AW301" s="25"/>
      <c r="AX301" s="25"/>
    </row>
    <row r="302" spans="13:50" x14ac:dyDescent="0.25">
      <c r="M302" s="19" t="s">
        <v>976</v>
      </c>
      <c r="N302" s="19" t="s">
        <v>1209</v>
      </c>
      <c r="O302" s="25"/>
      <c r="P302" s="25"/>
      <c r="Q302" s="25"/>
      <c r="S302" s="6"/>
      <c r="AE302" s="25"/>
      <c r="AF302" s="26"/>
      <c r="AW302" s="25"/>
      <c r="AX302" s="25"/>
    </row>
    <row r="303" spans="13:50" x14ac:dyDescent="0.25">
      <c r="M303" s="19" t="s">
        <v>977</v>
      </c>
      <c r="N303" s="19" t="s">
        <v>1210</v>
      </c>
      <c r="O303" s="25"/>
      <c r="P303" s="25"/>
      <c r="Q303" s="25"/>
      <c r="S303" s="6"/>
      <c r="AE303" s="25"/>
      <c r="AF303" s="26"/>
      <c r="AW303" s="25"/>
      <c r="AX303" s="25"/>
    </row>
    <row r="304" spans="13:50" x14ac:dyDescent="0.25">
      <c r="M304" s="19" t="s">
        <v>978</v>
      </c>
      <c r="N304" s="19" t="s">
        <v>1211</v>
      </c>
      <c r="O304" s="25"/>
      <c r="P304" s="25"/>
      <c r="Q304" s="25"/>
      <c r="S304" s="6"/>
      <c r="AE304" s="25"/>
      <c r="AF304" s="26"/>
      <c r="AW304" s="25"/>
      <c r="AX304" s="25"/>
    </row>
    <row r="305" spans="13:50" x14ac:dyDescent="0.25">
      <c r="M305" s="19" t="s">
        <v>979</v>
      </c>
      <c r="N305" s="19" t="s">
        <v>1212</v>
      </c>
      <c r="O305" s="25"/>
      <c r="P305" s="25"/>
      <c r="Q305" s="25"/>
      <c r="S305" s="6"/>
      <c r="AE305" s="25"/>
      <c r="AF305" s="26"/>
      <c r="AW305" s="25"/>
      <c r="AX305" s="25"/>
    </row>
    <row r="306" spans="13:50" x14ac:dyDescent="0.25">
      <c r="M306" s="19" t="s">
        <v>980</v>
      </c>
      <c r="N306" s="19" t="s">
        <v>1213</v>
      </c>
      <c r="O306" s="25"/>
      <c r="P306" s="25"/>
      <c r="Q306" s="25"/>
      <c r="S306" s="6"/>
      <c r="AE306" s="25"/>
      <c r="AF306" s="26"/>
      <c r="AW306" s="25"/>
      <c r="AX306" s="25"/>
    </row>
    <row r="307" spans="13:50" x14ac:dyDescent="0.25">
      <c r="M307" s="19" t="s">
        <v>981</v>
      </c>
      <c r="N307" s="19" t="s">
        <v>1214</v>
      </c>
      <c r="O307" s="25"/>
      <c r="P307" s="25"/>
      <c r="Q307" s="25"/>
      <c r="AE307" s="25"/>
      <c r="AF307" s="26"/>
      <c r="AW307" s="25"/>
      <c r="AX307" s="25"/>
    </row>
    <row r="308" spans="13:50" x14ac:dyDescent="0.25">
      <c r="M308" s="19" t="s">
        <v>982</v>
      </c>
      <c r="N308" s="19" t="s">
        <v>1215</v>
      </c>
      <c r="O308" s="25"/>
      <c r="P308" s="25"/>
      <c r="Q308" s="25"/>
      <c r="AE308" s="25"/>
      <c r="AF308" s="26"/>
      <c r="AW308" s="25"/>
      <c r="AX308" s="25"/>
    </row>
    <row r="309" spans="13:50" x14ac:dyDescent="0.25">
      <c r="M309" s="19" t="s">
        <v>983</v>
      </c>
      <c r="N309" s="19" t="s">
        <v>1216</v>
      </c>
      <c r="O309" s="25"/>
      <c r="P309" s="25"/>
      <c r="Q309" s="25"/>
      <c r="AE309" s="25"/>
      <c r="AF309" s="26"/>
      <c r="AW309" s="25"/>
      <c r="AX309" s="25"/>
    </row>
    <row r="310" spans="13:50" x14ac:dyDescent="0.25">
      <c r="M310" s="19" t="s">
        <v>984</v>
      </c>
      <c r="N310" s="19" t="s">
        <v>1217</v>
      </c>
      <c r="O310" s="25"/>
      <c r="P310" s="25"/>
      <c r="Q310" s="25"/>
      <c r="AE310" s="25"/>
      <c r="AF310" s="26"/>
      <c r="AW310" s="25"/>
      <c r="AX310" s="25"/>
    </row>
    <row r="311" spans="13:50" x14ac:dyDescent="0.25">
      <c r="M311" s="19" t="s">
        <v>985</v>
      </c>
      <c r="N311" s="19" t="s">
        <v>1218</v>
      </c>
      <c r="O311" s="25"/>
      <c r="P311" s="25"/>
      <c r="Q311" s="25"/>
      <c r="AE311" s="25"/>
      <c r="AF311" s="26"/>
      <c r="AW311" s="25"/>
      <c r="AX311" s="25"/>
    </row>
    <row r="312" spans="13:50" x14ac:dyDescent="0.25">
      <c r="M312" s="19" t="s">
        <v>986</v>
      </c>
      <c r="N312" s="19" t="s">
        <v>1219</v>
      </c>
      <c r="O312" s="25"/>
      <c r="P312" s="25"/>
      <c r="Q312" s="25"/>
      <c r="AE312" s="25"/>
      <c r="AF312" s="26"/>
      <c r="AW312" s="25"/>
      <c r="AX312" s="25"/>
    </row>
    <row r="313" spans="13:50" x14ac:dyDescent="0.25">
      <c r="M313" s="19" t="s">
        <v>987</v>
      </c>
      <c r="N313" s="19" t="s">
        <v>1220</v>
      </c>
      <c r="O313" s="25"/>
      <c r="P313" s="25"/>
      <c r="Q313" s="25"/>
      <c r="AE313" s="25"/>
      <c r="AF313" s="26"/>
      <c r="AW313" s="25"/>
      <c r="AX313" s="25"/>
    </row>
    <row r="314" spans="13:50" x14ac:dyDescent="0.25">
      <c r="M314" s="19" t="s">
        <v>988</v>
      </c>
      <c r="N314" s="19" t="s">
        <v>1221</v>
      </c>
      <c r="O314" s="25"/>
      <c r="P314" s="25"/>
      <c r="Q314" s="25"/>
      <c r="AE314" s="25"/>
      <c r="AF314" s="26"/>
      <c r="AW314" s="25"/>
      <c r="AX314" s="25"/>
    </row>
    <row r="315" spans="13:50" x14ac:dyDescent="0.25">
      <c r="M315" s="19" t="s">
        <v>989</v>
      </c>
      <c r="N315" s="19" t="s">
        <v>1222</v>
      </c>
      <c r="O315" s="25"/>
      <c r="P315" s="25"/>
      <c r="Q315" s="25"/>
      <c r="AE315" s="25"/>
      <c r="AF315" s="26"/>
      <c r="AW315" s="25"/>
      <c r="AX315" s="25"/>
    </row>
    <row r="316" spans="13:50" x14ac:dyDescent="0.25">
      <c r="M316" s="25"/>
      <c r="N316" s="26"/>
      <c r="P316" s="25"/>
      <c r="AE316" s="25"/>
      <c r="AF316" s="26"/>
      <c r="AW316" s="25"/>
      <c r="AX316" s="25"/>
    </row>
    <row r="317" spans="13:50" x14ac:dyDescent="0.25">
      <c r="M317" s="25"/>
      <c r="N317" s="26"/>
      <c r="AE317" s="25"/>
      <c r="AF317" s="26"/>
      <c r="AW317" s="25"/>
      <c r="AX317" s="25"/>
    </row>
    <row r="318" spans="13:50" x14ac:dyDescent="0.25">
      <c r="M318" s="25"/>
      <c r="N318" s="26"/>
      <c r="AE318" s="25"/>
      <c r="AF318" s="26"/>
      <c r="AW318" s="25"/>
      <c r="AX318" s="25"/>
    </row>
    <row r="319" spans="13:50" x14ac:dyDescent="0.25">
      <c r="M319" s="25"/>
      <c r="N319" s="26"/>
      <c r="AE319" s="25"/>
      <c r="AF319" s="26"/>
      <c r="AW319" s="25"/>
      <c r="AX319" s="25"/>
    </row>
    <row r="320" spans="13:50" x14ac:dyDescent="0.25">
      <c r="M320" s="25"/>
      <c r="N320" s="26"/>
      <c r="AE320" s="25"/>
      <c r="AF320" s="26"/>
      <c r="AW320" s="25"/>
      <c r="AX320" s="25"/>
    </row>
    <row r="321" spans="13:50" x14ac:dyDescent="0.25">
      <c r="M321" s="25"/>
      <c r="N321" s="26"/>
      <c r="AE321" s="25"/>
      <c r="AF321" s="26"/>
      <c r="AW321" s="25"/>
      <c r="AX321" s="25"/>
    </row>
    <row r="322" spans="13:50" x14ac:dyDescent="0.25">
      <c r="M322" s="25"/>
      <c r="N322" s="26"/>
      <c r="AE322" s="25"/>
      <c r="AF322" s="26"/>
      <c r="AW322" s="25"/>
      <c r="AX322" s="25"/>
    </row>
    <row r="323" spans="13:50" x14ac:dyDescent="0.25">
      <c r="M323" s="25"/>
      <c r="N323" s="26"/>
      <c r="AE323" s="25"/>
      <c r="AF323" s="26"/>
      <c r="AW323" s="25"/>
      <c r="AX323" s="25"/>
    </row>
    <row r="324" spans="13:50" x14ac:dyDescent="0.25">
      <c r="M324" s="25"/>
      <c r="N324" s="26"/>
      <c r="AE324" s="25"/>
      <c r="AF324" s="26"/>
      <c r="AW324" s="25"/>
      <c r="AX324" s="25"/>
    </row>
    <row r="325" spans="13:50" x14ac:dyDescent="0.25">
      <c r="M325" s="25"/>
      <c r="N325" s="26"/>
      <c r="AE325" s="25"/>
      <c r="AF325" s="26"/>
      <c r="AW325" s="25"/>
      <c r="AX325" s="25"/>
    </row>
    <row r="326" spans="13:50" x14ac:dyDescent="0.25">
      <c r="M326" s="25"/>
      <c r="N326" s="26"/>
      <c r="AE326" s="25"/>
      <c r="AF326" s="26"/>
      <c r="AW326" s="25"/>
      <c r="AX326" s="25"/>
    </row>
    <row r="327" spans="13:50" x14ac:dyDescent="0.25">
      <c r="M327" s="25"/>
      <c r="N327" s="26"/>
      <c r="AE327" s="25"/>
      <c r="AF327" s="26"/>
      <c r="AW327" s="25"/>
      <c r="AX327" s="25"/>
    </row>
    <row r="328" spans="13:50" x14ac:dyDescent="0.25">
      <c r="M328" s="25"/>
      <c r="N328" s="26"/>
      <c r="AE328" s="25"/>
      <c r="AF328" s="26"/>
      <c r="AW328" s="25"/>
      <c r="AX328" s="25"/>
    </row>
    <row r="329" spans="13:50" x14ac:dyDescent="0.25">
      <c r="M329" s="25"/>
      <c r="N329" s="26"/>
      <c r="AE329" s="25"/>
      <c r="AF329" s="26"/>
      <c r="AW329" s="25"/>
      <c r="AX329" s="25"/>
    </row>
    <row r="330" spans="13:50" x14ac:dyDescent="0.25">
      <c r="M330" s="25"/>
      <c r="N330" s="26"/>
      <c r="AE330" s="25"/>
      <c r="AF330" s="26"/>
      <c r="AW330" s="25"/>
      <c r="AX330" s="25"/>
    </row>
    <row r="331" spans="13:50" x14ac:dyDescent="0.25">
      <c r="M331" s="25"/>
      <c r="N331" s="26"/>
      <c r="AE331" s="25"/>
      <c r="AF331" s="26"/>
      <c r="AW331" s="25"/>
      <c r="AX331" s="25"/>
    </row>
    <row r="332" spans="13:50" x14ac:dyDescent="0.25">
      <c r="M332" s="25"/>
      <c r="N332" s="26"/>
      <c r="AE332" s="25"/>
      <c r="AF332" s="26"/>
      <c r="AW332" s="25"/>
      <c r="AX332" s="25"/>
    </row>
    <row r="333" spans="13:50" x14ac:dyDescent="0.25">
      <c r="M333" s="25"/>
      <c r="N333" s="26"/>
      <c r="AE333" s="25"/>
      <c r="AF333" s="26"/>
      <c r="AW333" s="25"/>
      <c r="AX333" s="25"/>
    </row>
    <row r="334" spans="13:50" x14ac:dyDescent="0.25">
      <c r="M334" s="25"/>
      <c r="N334" s="26"/>
      <c r="AE334" s="25"/>
      <c r="AF334" s="26"/>
      <c r="AW334" s="25"/>
      <c r="AX334" s="25"/>
    </row>
    <row r="335" spans="13:50" x14ac:dyDescent="0.25">
      <c r="M335" s="25"/>
      <c r="N335" s="26"/>
      <c r="AE335" s="25"/>
      <c r="AF335" s="26"/>
      <c r="AW335" s="25"/>
      <c r="AX335" s="25"/>
    </row>
    <row r="336" spans="13:50" x14ac:dyDescent="0.25">
      <c r="M336" s="25"/>
      <c r="N336" s="26"/>
      <c r="AE336" s="25"/>
      <c r="AF336" s="26"/>
      <c r="AW336" s="25"/>
      <c r="AX336" s="25"/>
    </row>
    <row r="337" spans="13:50" x14ac:dyDescent="0.25">
      <c r="M337" s="25"/>
      <c r="N337" s="26"/>
      <c r="AE337" s="25"/>
      <c r="AF337" s="26"/>
      <c r="AW337" s="25"/>
      <c r="AX337" s="25"/>
    </row>
    <row r="338" spans="13:50" x14ac:dyDescent="0.25">
      <c r="M338" s="25"/>
      <c r="N338" s="26"/>
      <c r="AE338" s="25"/>
      <c r="AF338" s="26"/>
      <c r="AW338" s="25"/>
      <c r="AX338" s="25"/>
    </row>
    <row r="339" spans="13:50" x14ac:dyDescent="0.25">
      <c r="M339" s="25"/>
      <c r="N339" s="26"/>
      <c r="AE339" s="25"/>
      <c r="AF339" s="26"/>
      <c r="AW339" s="25"/>
      <c r="AX339" s="25"/>
    </row>
    <row r="340" spans="13:50" x14ac:dyDescent="0.25">
      <c r="M340" s="25"/>
      <c r="N340" s="26"/>
      <c r="AE340" s="25"/>
      <c r="AF340" s="26"/>
      <c r="AW340" s="25"/>
      <c r="AX340" s="25"/>
    </row>
    <row r="341" spans="13:50" x14ac:dyDescent="0.25">
      <c r="M341" s="25"/>
      <c r="N341" s="26"/>
      <c r="AE341" s="25"/>
      <c r="AF341" s="26"/>
      <c r="AW341" s="25"/>
      <c r="AX341" s="25"/>
    </row>
    <row r="342" spans="13:50" x14ac:dyDescent="0.25">
      <c r="M342" s="25"/>
      <c r="N342" s="26"/>
      <c r="AE342" s="25"/>
      <c r="AF342" s="26"/>
      <c r="AW342" s="25"/>
      <c r="AX342" s="25"/>
    </row>
    <row r="343" spans="13:50" x14ac:dyDescent="0.25">
      <c r="M343" s="25"/>
      <c r="N343" s="26"/>
      <c r="AE343" s="25"/>
      <c r="AF343" s="26"/>
      <c r="AW343" s="25"/>
      <c r="AX343" s="25"/>
    </row>
    <row r="344" spans="13:50" x14ac:dyDescent="0.25">
      <c r="M344" s="25"/>
      <c r="N344" s="26"/>
      <c r="AE344" s="25"/>
      <c r="AF344" s="26"/>
      <c r="AW344" s="25"/>
      <c r="AX344" s="25"/>
    </row>
    <row r="345" spans="13:50" x14ac:dyDescent="0.25">
      <c r="M345" s="25"/>
      <c r="N345" s="26"/>
      <c r="AE345" s="25"/>
      <c r="AF345" s="26"/>
      <c r="AW345" s="25"/>
      <c r="AX345" s="25"/>
    </row>
    <row r="346" spans="13:50" x14ac:dyDescent="0.25">
      <c r="M346" s="25"/>
      <c r="N346" s="26"/>
      <c r="AE346" s="25"/>
      <c r="AF346" s="26"/>
      <c r="AW346" s="25"/>
      <c r="AX346" s="25"/>
    </row>
    <row r="347" spans="13:50" x14ac:dyDescent="0.25">
      <c r="M347" s="25"/>
      <c r="N347" s="26"/>
      <c r="AE347" s="25"/>
      <c r="AF347" s="26"/>
      <c r="AW347" s="25"/>
      <c r="AX347" s="25"/>
    </row>
    <row r="348" spans="13:50" x14ac:dyDescent="0.25">
      <c r="M348" s="25"/>
      <c r="N348" s="26"/>
      <c r="AE348" s="25"/>
      <c r="AF348" s="26"/>
      <c r="AW348" s="25"/>
      <c r="AX348" s="25"/>
    </row>
    <row r="349" spans="13:50" x14ac:dyDescent="0.25">
      <c r="M349" s="25"/>
      <c r="N349" s="26"/>
      <c r="AE349" s="25"/>
      <c r="AF349" s="26"/>
      <c r="AW349" s="25"/>
      <c r="AX349" s="25"/>
    </row>
    <row r="350" spans="13:50" x14ac:dyDescent="0.25">
      <c r="M350" s="25"/>
      <c r="N350" s="26"/>
      <c r="AE350" s="25"/>
      <c r="AF350" s="26"/>
      <c r="AW350" s="25"/>
      <c r="AX350" s="25"/>
    </row>
    <row r="351" spans="13:50" x14ac:dyDescent="0.25">
      <c r="M351" s="25"/>
      <c r="N351" s="26"/>
      <c r="AE351" s="25"/>
      <c r="AF351" s="26"/>
      <c r="AW351" s="25"/>
      <c r="AX351" s="25"/>
    </row>
    <row r="352" spans="13:50" x14ac:dyDescent="0.25">
      <c r="M352" s="25"/>
      <c r="N352" s="26"/>
      <c r="AE352" s="25"/>
      <c r="AF352" s="26"/>
      <c r="AW352" s="25"/>
      <c r="AX352" s="25"/>
    </row>
    <row r="353" spans="13:50" x14ac:dyDescent="0.25">
      <c r="M353" s="25"/>
      <c r="N353" s="26"/>
      <c r="AE353" s="25"/>
      <c r="AF353" s="26"/>
      <c r="AW353" s="25"/>
      <c r="AX353" s="25"/>
    </row>
    <row r="354" spans="13:50" x14ac:dyDescent="0.25">
      <c r="M354" s="25"/>
      <c r="N354" s="26"/>
      <c r="AE354" s="25"/>
      <c r="AF354" s="26"/>
      <c r="AW354" s="25"/>
      <c r="AX354" s="25"/>
    </row>
    <row r="355" spans="13:50" x14ac:dyDescent="0.25">
      <c r="M355" s="25"/>
      <c r="N355" s="26"/>
      <c r="AE355" s="25"/>
      <c r="AF355" s="26"/>
      <c r="AW355" s="25"/>
      <c r="AX355" s="25"/>
    </row>
    <row r="356" spans="13:50" x14ac:dyDescent="0.25">
      <c r="M356" s="25"/>
      <c r="N356" s="26"/>
      <c r="AE356" s="25"/>
      <c r="AF356" s="26"/>
      <c r="AW356" s="25"/>
      <c r="AX356" s="25"/>
    </row>
    <row r="357" spans="13:50" x14ac:dyDescent="0.25">
      <c r="M357" s="25"/>
      <c r="N357" s="26"/>
      <c r="AE357" s="25"/>
      <c r="AF357" s="26"/>
      <c r="AW357" s="25"/>
      <c r="AX357" s="25"/>
    </row>
    <row r="358" spans="13:50" x14ac:dyDescent="0.25">
      <c r="M358" s="25"/>
      <c r="N358" s="26"/>
      <c r="AE358" s="25"/>
      <c r="AF358" s="26"/>
      <c r="AW358" s="25"/>
      <c r="AX358" s="25"/>
    </row>
    <row r="359" spans="13:50" x14ac:dyDescent="0.25">
      <c r="M359" s="25"/>
      <c r="N359" s="26"/>
      <c r="AE359" s="25"/>
      <c r="AF359" s="26"/>
      <c r="AW359" s="25"/>
      <c r="AX359" s="25"/>
    </row>
    <row r="360" spans="13:50" x14ac:dyDescent="0.25">
      <c r="M360" s="25"/>
      <c r="N360" s="26"/>
      <c r="AE360" s="25"/>
      <c r="AF360" s="26"/>
      <c r="AW360" s="25"/>
      <c r="AX360" s="25"/>
    </row>
    <row r="361" spans="13:50" x14ac:dyDescent="0.25">
      <c r="M361" s="25"/>
      <c r="N361" s="26"/>
      <c r="AE361" s="25"/>
      <c r="AF361" s="26"/>
      <c r="AW361" s="25"/>
      <c r="AX361" s="25"/>
    </row>
    <row r="362" spans="13:50" x14ac:dyDescent="0.25">
      <c r="M362" s="25"/>
      <c r="N362" s="26"/>
      <c r="AE362" s="25"/>
      <c r="AF362" s="26"/>
      <c r="AW362" s="25"/>
      <c r="AX362" s="25"/>
    </row>
    <row r="363" spans="13:50" x14ac:dyDescent="0.25">
      <c r="M363" s="25"/>
      <c r="N363" s="26"/>
      <c r="AE363" s="25"/>
      <c r="AF363" s="26"/>
      <c r="AW363" s="25"/>
      <c r="AX363" s="25"/>
    </row>
    <row r="364" spans="13:50" x14ac:dyDescent="0.25">
      <c r="M364" s="25"/>
      <c r="N364" s="26"/>
      <c r="AE364" s="25"/>
      <c r="AF364" s="26"/>
      <c r="AW364" s="25"/>
      <c r="AX364" s="25"/>
    </row>
    <row r="365" spans="13:50" x14ac:dyDescent="0.25">
      <c r="M365" s="25"/>
      <c r="N365" s="26"/>
      <c r="AE365" s="25"/>
      <c r="AF365" s="26"/>
      <c r="AW365" s="25"/>
      <c r="AX365" s="25"/>
    </row>
    <row r="366" spans="13:50" x14ac:dyDescent="0.25">
      <c r="M366" s="25"/>
      <c r="N366" s="26"/>
      <c r="AE366" s="25"/>
      <c r="AF366" s="26"/>
      <c r="AW366" s="25"/>
      <c r="AX366" s="25"/>
    </row>
    <row r="367" spans="13:50" x14ac:dyDescent="0.25">
      <c r="M367" s="25"/>
      <c r="N367" s="26"/>
      <c r="AE367" s="25"/>
      <c r="AF367" s="26"/>
      <c r="AW367" s="25"/>
      <c r="AX367" s="25"/>
    </row>
    <row r="368" spans="13:50" x14ac:dyDescent="0.25">
      <c r="M368" s="25"/>
      <c r="N368" s="26"/>
      <c r="AE368" s="25"/>
      <c r="AF368" s="26"/>
      <c r="AW368" s="25"/>
      <c r="AX368" s="25"/>
    </row>
    <row r="369" spans="13:50" x14ac:dyDescent="0.25">
      <c r="M369" s="25"/>
      <c r="N369" s="26"/>
      <c r="AE369" s="25"/>
      <c r="AF369" s="26"/>
      <c r="AW369" s="25"/>
      <c r="AX369" s="25"/>
    </row>
    <row r="370" spans="13:50" x14ac:dyDescent="0.25">
      <c r="M370" s="25"/>
      <c r="N370" s="26"/>
      <c r="AE370" s="25"/>
      <c r="AF370" s="26"/>
      <c r="AW370" s="25"/>
      <c r="AX370" s="25"/>
    </row>
    <row r="371" spans="13:50" x14ac:dyDescent="0.25">
      <c r="M371" s="25"/>
      <c r="N371" s="26"/>
      <c r="AE371" s="25"/>
      <c r="AF371" s="26"/>
      <c r="AW371" s="25"/>
      <c r="AX371" s="25"/>
    </row>
    <row r="372" spans="13:50" x14ac:dyDescent="0.25">
      <c r="M372" s="25"/>
      <c r="N372" s="26"/>
      <c r="AE372" s="25"/>
      <c r="AF372" s="26"/>
      <c r="AW372" s="25"/>
      <c r="AX372" s="25"/>
    </row>
    <row r="373" spans="13:50" x14ac:dyDescent="0.25">
      <c r="M373" s="25"/>
      <c r="N373" s="26"/>
      <c r="AE373" s="25"/>
      <c r="AF373" s="26"/>
      <c r="AW373" s="25"/>
      <c r="AX373" s="25"/>
    </row>
    <row r="374" spans="13:50" x14ac:dyDescent="0.25">
      <c r="M374" s="25"/>
      <c r="N374" s="26"/>
      <c r="AE374" s="25"/>
      <c r="AF374" s="26"/>
      <c r="AW374" s="25"/>
      <c r="AX374" s="25"/>
    </row>
    <row r="375" spans="13:50" x14ac:dyDescent="0.25">
      <c r="M375" s="25"/>
      <c r="N375" s="26"/>
      <c r="AE375" s="25"/>
      <c r="AF375" s="26"/>
      <c r="AW375" s="25"/>
      <c r="AX375" s="25"/>
    </row>
    <row r="376" spans="13:50" x14ac:dyDescent="0.25">
      <c r="M376" s="25"/>
      <c r="N376" s="26"/>
      <c r="AE376" s="25"/>
      <c r="AF376" s="26"/>
      <c r="AW376" s="25"/>
      <c r="AX376" s="25"/>
    </row>
    <row r="377" spans="13:50" x14ac:dyDescent="0.25">
      <c r="M377" s="25"/>
      <c r="N377" s="26"/>
      <c r="AE377" s="25"/>
      <c r="AF377" s="26"/>
      <c r="AW377" s="25"/>
      <c r="AX377" s="25"/>
    </row>
    <row r="378" spans="13:50" x14ac:dyDescent="0.25">
      <c r="M378" s="25"/>
      <c r="N378" s="26"/>
      <c r="AE378" s="25"/>
      <c r="AF378" s="26"/>
      <c r="AW378" s="25"/>
      <c r="AX378" s="25"/>
    </row>
    <row r="379" spans="13:50" x14ac:dyDescent="0.25">
      <c r="M379" s="25"/>
      <c r="N379" s="26"/>
      <c r="AE379" s="25"/>
      <c r="AF379" s="26"/>
      <c r="AW379" s="25"/>
      <c r="AX379" s="25"/>
    </row>
    <row r="380" spans="13:50" x14ac:dyDescent="0.25">
      <c r="M380" s="25"/>
      <c r="N380" s="26"/>
      <c r="AE380" s="25"/>
      <c r="AF380" s="26"/>
      <c r="AW380" s="25"/>
      <c r="AX380" s="25"/>
    </row>
    <row r="381" spans="13:50" x14ac:dyDescent="0.25">
      <c r="M381" s="25"/>
      <c r="N381" s="26"/>
      <c r="AE381" s="25"/>
      <c r="AF381" s="26"/>
      <c r="AW381" s="25"/>
      <c r="AX381" s="25"/>
    </row>
    <row r="382" spans="13:50" x14ac:dyDescent="0.25">
      <c r="M382" s="25"/>
      <c r="N382" s="26"/>
      <c r="AE382" s="25"/>
      <c r="AF382" s="26"/>
      <c r="AW382" s="25"/>
      <c r="AX382" s="25"/>
    </row>
    <row r="383" spans="13:50" x14ac:dyDescent="0.25">
      <c r="M383" s="25"/>
      <c r="N383" s="26"/>
      <c r="AE383" s="25"/>
      <c r="AF383" s="26"/>
      <c r="AW383" s="25"/>
      <c r="AX383" s="25"/>
    </row>
    <row r="384" spans="13:50" x14ac:dyDescent="0.25">
      <c r="M384" s="25"/>
      <c r="N384" s="26"/>
      <c r="AE384" s="25"/>
      <c r="AF384" s="26"/>
      <c r="AW384" s="25"/>
      <c r="AX384" s="25"/>
    </row>
    <row r="385" spans="13:50" x14ac:dyDescent="0.25">
      <c r="M385" s="25"/>
      <c r="N385" s="26"/>
      <c r="AE385" s="25"/>
      <c r="AF385" s="26"/>
      <c r="AW385" s="25"/>
      <c r="AX385" s="25"/>
    </row>
    <row r="386" spans="13:50" x14ac:dyDescent="0.25">
      <c r="M386" s="25"/>
      <c r="N386" s="26"/>
      <c r="AE386" s="25"/>
      <c r="AF386" s="26"/>
      <c r="AW386" s="25"/>
      <c r="AX386" s="25"/>
    </row>
    <row r="387" spans="13:50" x14ac:dyDescent="0.25">
      <c r="M387" s="25"/>
      <c r="N387" s="26"/>
      <c r="AE387" s="25"/>
      <c r="AF387" s="26"/>
      <c r="AW387" s="25"/>
      <c r="AX387" s="25"/>
    </row>
    <row r="388" spans="13:50" x14ac:dyDescent="0.25">
      <c r="M388" s="25"/>
      <c r="N388" s="26"/>
      <c r="AE388" s="25"/>
      <c r="AF388" s="26"/>
      <c r="AW388" s="25"/>
      <c r="AX388" s="25"/>
    </row>
    <row r="389" spans="13:50" x14ac:dyDescent="0.25">
      <c r="M389" s="25"/>
      <c r="N389" s="26"/>
      <c r="AE389" s="25"/>
      <c r="AF389" s="26"/>
      <c r="AW389" s="25"/>
      <c r="AX389" s="25"/>
    </row>
    <row r="390" spans="13:50" x14ac:dyDescent="0.25">
      <c r="M390" s="25"/>
      <c r="N390" s="26"/>
      <c r="AE390" s="25"/>
      <c r="AF390" s="26"/>
      <c r="AW390" s="25"/>
      <c r="AX390" s="25"/>
    </row>
    <row r="391" spans="13:50" x14ac:dyDescent="0.25">
      <c r="M391" s="25"/>
      <c r="N391" s="26"/>
      <c r="AE391" s="25"/>
      <c r="AF391" s="26"/>
      <c r="AW391" s="25"/>
      <c r="AX391" s="25"/>
    </row>
    <row r="392" spans="13:50" x14ac:dyDescent="0.25">
      <c r="M392" s="25"/>
      <c r="N392" s="26"/>
      <c r="AE392" s="25"/>
      <c r="AF392" s="26"/>
      <c r="AW392" s="25"/>
      <c r="AX392" s="25"/>
    </row>
    <row r="393" spans="13:50" x14ac:dyDescent="0.25">
      <c r="M393" s="25"/>
      <c r="N393" s="26"/>
      <c r="AE393" s="25"/>
      <c r="AF393" s="26"/>
      <c r="AW393" s="25"/>
      <c r="AX393" s="25"/>
    </row>
    <row r="394" spans="13:50" x14ac:dyDescent="0.25">
      <c r="M394" s="25"/>
      <c r="N394" s="26"/>
      <c r="AE394" s="25"/>
      <c r="AF394" s="26"/>
      <c r="AW394" s="25"/>
      <c r="AX394" s="25"/>
    </row>
    <row r="395" spans="13:50" x14ac:dyDescent="0.25">
      <c r="M395" s="25"/>
      <c r="N395" s="26"/>
      <c r="AE395" s="25"/>
      <c r="AF395" s="26"/>
      <c r="AW395" s="25"/>
      <c r="AX395" s="25"/>
    </row>
    <row r="396" spans="13:50" x14ac:dyDescent="0.25">
      <c r="M396" s="25"/>
      <c r="N396" s="26"/>
      <c r="AE396" s="25"/>
      <c r="AF396" s="26"/>
      <c r="AW396" s="25"/>
      <c r="AX396" s="25"/>
    </row>
    <row r="397" spans="13:50" x14ac:dyDescent="0.25">
      <c r="M397" s="25"/>
      <c r="N397" s="26"/>
      <c r="AE397" s="25"/>
      <c r="AF397" s="26"/>
      <c r="AW397" s="25"/>
      <c r="AX397" s="25"/>
    </row>
    <row r="398" spans="13:50" x14ac:dyDescent="0.25">
      <c r="M398" s="25"/>
      <c r="N398" s="26"/>
      <c r="AE398" s="25"/>
      <c r="AF398" s="26"/>
      <c r="AW398" s="25"/>
      <c r="AX398" s="25"/>
    </row>
    <row r="399" spans="13:50" x14ac:dyDescent="0.25">
      <c r="M399" s="25"/>
      <c r="N399" s="26"/>
      <c r="AE399" s="25"/>
      <c r="AF399" s="26"/>
      <c r="AW399" s="25"/>
      <c r="AX399" s="25"/>
    </row>
    <row r="400" spans="13:50" x14ac:dyDescent="0.25">
      <c r="M400" s="25"/>
      <c r="N400" s="26"/>
      <c r="AE400" s="25"/>
      <c r="AF400" s="26"/>
      <c r="AW400" s="25"/>
      <c r="AX400" s="25"/>
    </row>
    <row r="401" spans="13:50" x14ac:dyDescent="0.25">
      <c r="M401" s="25"/>
      <c r="N401" s="26"/>
      <c r="AE401" s="25"/>
      <c r="AF401" s="26"/>
      <c r="AW401" s="25"/>
      <c r="AX401" s="25"/>
    </row>
    <row r="402" spans="13:50" x14ac:dyDescent="0.25">
      <c r="M402" s="25"/>
      <c r="N402" s="26"/>
      <c r="AE402" s="25"/>
      <c r="AF402" s="26"/>
      <c r="AW402" s="25"/>
    </row>
    <row r="403" spans="13:50" x14ac:dyDescent="0.25">
      <c r="M403" s="25"/>
      <c r="N403" s="26"/>
      <c r="AE403" s="25"/>
      <c r="AF403" s="26"/>
    </row>
    <row r="404" spans="13:50" x14ac:dyDescent="0.25">
      <c r="M404" s="25"/>
      <c r="N404" s="26"/>
      <c r="AE404" s="25"/>
      <c r="AF404" s="26"/>
    </row>
    <row r="405" spans="13:50" x14ac:dyDescent="0.25">
      <c r="M405" s="25"/>
      <c r="N405" s="26"/>
      <c r="AE405" s="25"/>
      <c r="AF405" s="26"/>
    </row>
    <row r="406" spans="13:50" x14ac:dyDescent="0.25">
      <c r="M406" s="25"/>
      <c r="N406" s="26"/>
      <c r="AE406" s="25"/>
      <c r="AF406" s="26"/>
    </row>
    <row r="407" spans="13:50" x14ac:dyDescent="0.25">
      <c r="M407" s="25"/>
      <c r="N407" s="26"/>
      <c r="AE407" s="25"/>
      <c r="AF407" s="26"/>
    </row>
    <row r="408" spans="13:50" x14ac:dyDescent="0.25">
      <c r="M408" s="25"/>
      <c r="N408" s="26"/>
      <c r="AE408" s="25"/>
      <c r="AF408" s="26"/>
    </row>
    <row r="409" spans="13:50" x14ac:dyDescent="0.25">
      <c r="M409" s="25"/>
      <c r="N409" s="26"/>
      <c r="AE409" s="25"/>
      <c r="AF409" s="26"/>
    </row>
    <row r="410" spans="13:50" x14ac:dyDescent="0.25">
      <c r="M410" s="25"/>
      <c r="N410" s="26"/>
      <c r="AE410" s="25"/>
      <c r="AF410" s="26"/>
    </row>
    <row r="411" spans="13:50" x14ac:dyDescent="0.25">
      <c r="M411" s="25"/>
      <c r="N411" s="26"/>
      <c r="AE411" s="25"/>
      <c r="AF411" s="26"/>
    </row>
    <row r="412" spans="13:50" x14ac:dyDescent="0.25">
      <c r="M412" s="25"/>
      <c r="N412" s="26"/>
      <c r="AE412" s="25"/>
      <c r="AF412" s="26"/>
    </row>
    <row r="413" spans="13:50" x14ac:dyDescent="0.25">
      <c r="M413" s="25"/>
      <c r="N413" s="26"/>
      <c r="AE413" s="25"/>
      <c r="AF413" s="26"/>
    </row>
    <row r="414" spans="13:50" x14ac:dyDescent="0.25">
      <c r="M414" s="25"/>
      <c r="N414" s="26"/>
      <c r="AE414" s="25"/>
      <c r="AF414" s="26"/>
    </row>
    <row r="415" spans="13:50" x14ac:dyDescent="0.25">
      <c r="M415" s="25"/>
      <c r="N415" s="26"/>
      <c r="AE415" s="25"/>
      <c r="AF415" s="26"/>
    </row>
    <row r="416" spans="13:50" x14ac:dyDescent="0.25">
      <c r="M416" s="25"/>
      <c r="N416" s="26"/>
      <c r="AE416" s="25"/>
      <c r="AF416" s="26"/>
    </row>
    <row r="417" spans="13:32" x14ac:dyDescent="0.25">
      <c r="M417" s="25"/>
      <c r="N417" s="26"/>
      <c r="AE417" s="25"/>
      <c r="AF417" s="26"/>
    </row>
    <row r="418" spans="13:32" x14ac:dyDescent="0.25">
      <c r="M418" s="25"/>
      <c r="N418" s="26"/>
      <c r="AE418" s="25"/>
      <c r="AF418" s="26"/>
    </row>
    <row r="419" spans="13:32" x14ac:dyDescent="0.25">
      <c r="M419" s="25"/>
      <c r="N419" s="26"/>
      <c r="AE419" s="25"/>
      <c r="AF419" s="26"/>
    </row>
    <row r="420" spans="13:32" x14ac:dyDescent="0.25">
      <c r="M420" s="25"/>
      <c r="N420" s="26"/>
      <c r="AE420" s="25"/>
      <c r="AF420" s="26"/>
    </row>
    <row r="421" spans="13:32" x14ac:dyDescent="0.25">
      <c r="M421" s="25"/>
      <c r="N421" s="26"/>
      <c r="AE421" s="25"/>
      <c r="AF421" s="26"/>
    </row>
    <row r="422" spans="13:32" x14ac:dyDescent="0.25">
      <c r="M422" s="25"/>
      <c r="N422" s="26"/>
      <c r="AE422" s="25"/>
      <c r="AF422" s="26"/>
    </row>
    <row r="423" spans="13:32" x14ac:dyDescent="0.25">
      <c r="M423" s="25"/>
      <c r="N423" s="26"/>
      <c r="AE423" s="25"/>
      <c r="AF423" s="26"/>
    </row>
    <row r="424" spans="13:32" x14ac:dyDescent="0.25">
      <c r="M424" s="25"/>
      <c r="N424" s="26"/>
      <c r="AE424" s="25"/>
      <c r="AF424" s="26"/>
    </row>
    <row r="425" spans="13:32" x14ac:dyDescent="0.25">
      <c r="M425" s="25"/>
      <c r="N425" s="26"/>
      <c r="AE425" s="25"/>
      <c r="AF425" s="26"/>
    </row>
    <row r="426" spans="13:32" x14ac:dyDescent="0.25">
      <c r="M426" s="25"/>
      <c r="N426" s="26"/>
      <c r="AE426" s="25"/>
      <c r="AF426" s="26"/>
    </row>
    <row r="427" spans="13:32" x14ac:dyDescent="0.25">
      <c r="M427" s="25"/>
      <c r="N427" s="26"/>
      <c r="AE427" s="25"/>
      <c r="AF427" s="26"/>
    </row>
    <row r="428" spans="13:32" x14ac:dyDescent="0.25">
      <c r="M428" s="25"/>
      <c r="N428" s="26"/>
      <c r="AE428" s="25"/>
      <c r="AF428" s="26"/>
    </row>
    <row r="429" spans="13:32" x14ac:dyDescent="0.25">
      <c r="M429" s="25"/>
      <c r="N429" s="26"/>
      <c r="AE429" s="25"/>
      <c r="AF429" s="26"/>
    </row>
    <row r="430" spans="13:32" x14ac:dyDescent="0.25">
      <c r="M430" s="25"/>
      <c r="N430" s="26"/>
      <c r="AE430" s="25"/>
      <c r="AF430" s="26"/>
    </row>
    <row r="431" spans="13:32" x14ac:dyDescent="0.25">
      <c r="M431" s="25"/>
      <c r="N431" s="26"/>
      <c r="AE431" s="25"/>
      <c r="AF431" s="26"/>
    </row>
    <row r="432" spans="13:32" x14ac:dyDescent="0.25">
      <c r="M432" s="25"/>
      <c r="N432" s="26"/>
      <c r="AE432" s="25"/>
      <c r="AF432" s="26"/>
    </row>
    <row r="433" spans="13:32" x14ac:dyDescent="0.25">
      <c r="M433" s="25"/>
      <c r="N433" s="26"/>
      <c r="AE433" s="25"/>
      <c r="AF433" s="26"/>
    </row>
    <row r="434" spans="13:32" x14ac:dyDescent="0.25">
      <c r="M434" s="25"/>
      <c r="N434" s="26"/>
      <c r="AE434" s="25"/>
      <c r="AF434" s="26"/>
    </row>
    <row r="435" spans="13:32" x14ac:dyDescent="0.25">
      <c r="M435" s="25"/>
      <c r="N435" s="26"/>
      <c r="AE435" s="25"/>
      <c r="AF435" s="26"/>
    </row>
    <row r="436" spans="13:32" x14ac:dyDescent="0.25">
      <c r="M436" s="25"/>
      <c r="N436" s="26"/>
      <c r="AE436" s="25"/>
      <c r="AF436" s="26"/>
    </row>
    <row r="437" spans="13:32" x14ac:dyDescent="0.25">
      <c r="M437" s="25"/>
      <c r="N437" s="26"/>
      <c r="AE437" s="25"/>
      <c r="AF437" s="26"/>
    </row>
    <row r="438" spans="13:32" x14ac:dyDescent="0.25">
      <c r="M438" s="25"/>
      <c r="N438" s="26"/>
      <c r="AE438" s="25"/>
      <c r="AF438" s="26"/>
    </row>
    <row r="439" spans="13:32" x14ac:dyDescent="0.25">
      <c r="M439" s="25"/>
      <c r="N439" s="26"/>
      <c r="AE439" s="25"/>
      <c r="AF439" s="26"/>
    </row>
    <row r="440" spans="13:32" x14ac:dyDescent="0.25">
      <c r="M440" s="25"/>
      <c r="N440" s="26"/>
      <c r="AE440" s="25"/>
      <c r="AF440" s="26"/>
    </row>
    <row r="441" spans="13:32" x14ac:dyDescent="0.25">
      <c r="M441" s="25"/>
      <c r="N441" s="26"/>
      <c r="AE441" s="25"/>
      <c r="AF441" s="26"/>
    </row>
    <row r="442" spans="13:32" x14ac:dyDescent="0.25">
      <c r="M442" s="25"/>
      <c r="N442" s="26"/>
      <c r="AE442" s="25"/>
      <c r="AF442" s="26"/>
    </row>
    <row r="443" spans="13:32" x14ac:dyDescent="0.25">
      <c r="M443" s="25"/>
      <c r="N443" s="26"/>
      <c r="AE443" s="25"/>
      <c r="AF443" s="26"/>
    </row>
    <row r="444" spans="13:32" x14ac:dyDescent="0.25">
      <c r="M444" s="25"/>
      <c r="N444" s="26"/>
      <c r="AE444" s="25"/>
      <c r="AF444" s="26"/>
    </row>
    <row r="445" spans="13:32" x14ac:dyDescent="0.25">
      <c r="M445" s="25"/>
      <c r="N445" s="26"/>
      <c r="AE445" s="25"/>
      <c r="AF445" s="26"/>
    </row>
    <row r="446" spans="13:32" x14ac:dyDescent="0.25">
      <c r="M446" s="25"/>
      <c r="N446" s="26"/>
      <c r="AE446" s="25"/>
      <c r="AF446" s="26"/>
    </row>
    <row r="447" spans="13:32" x14ac:dyDescent="0.25">
      <c r="M447" s="25"/>
      <c r="N447" s="26"/>
      <c r="AE447" s="25"/>
      <c r="AF447" s="26"/>
    </row>
    <row r="448" spans="13:32" x14ac:dyDescent="0.25">
      <c r="M448" s="25"/>
      <c r="N448" s="26"/>
      <c r="AE448" s="25"/>
      <c r="AF448" s="26"/>
    </row>
    <row r="449" spans="13:32" x14ac:dyDescent="0.25">
      <c r="M449" s="25"/>
      <c r="N449" s="26"/>
      <c r="AE449" s="25"/>
      <c r="AF449" s="26"/>
    </row>
    <row r="450" spans="13:32" x14ac:dyDescent="0.25">
      <c r="M450" s="25"/>
      <c r="N450" s="26"/>
      <c r="AE450" s="25"/>
      <c r="AF450" s="26"/>
    </row>
    <row r="451" spans="13:32" x14ac:dyDescent="0.25">
      <c r="M451" s="25"/>
      <c r="N451" s="26"/>
      <c r="AE451" s="25"/>
      <c r="AF451" s="26"/>
    </row>
    <row r="452" spans="13:32" x14ac:dyDescent="0.25">
      <c r="M452" s="25"/>
      <c r="N452" s="26"/>
      <c r="AE452" s="25"/>
      <c r="AF452" s="26"/>
    </row>
    <row r="453" spans="13:32" x14ac:dyDescent="0.25">
      <c r="M453" s="25"/>
      <c r="N453" s="26"/>
      <c r="AE453" s="25"/>
      <c r="AF453" s="26"/>
    </row>
    <row r="454" spans="13:32" x14ac:dyDescent="0.25">
      <c r="M454" s="25"/>
      <c r="N454" s="26"/>
      <c r="AE454" s="25"/>
      <c r="AF454" s="26"/>
    </row>
    <row r="455" spans="13:32" x14ac:dyDescent="0.25">
      <c r="M455" s="25"/>
      <c r="N455" s="26"/>
      <c r="AE455" s="25"/>
      <c r="AF455" s="26"/>
    </row>
    <row r="456" spans="13:32" x14ac:dyDescent="0.25">
      <c r="M456" s="25"/>
      <c r="N456" s="26"/>
      <c r="AE456" s="25"/>
      <c r="AF456" s="26"/>
    </row>
    <row r="457" spans="13:32" x14ac:dyDescent="0.25">
      <c r="M457" s="25"/>
      <c r="N457" s="26"/>
      <c r="AE457" s="25"/>
      <c r="AF457" s="26"/>
    </row>
    <row r="458" spans="13:32" x14ac:dyDescent="0.25">
      <c r="M458" s="25"/>
      <c r="N458" s="26"/>
      <c r="AE458" s="25"/>
      <c r="AF458" s="26"/>
    </row>
    <row r="459" spans="13:32" x14ac:dyDescent="0.25">
      <c r="M459" s="25"/>
      <c r="N459" s="26"/>
      <c r="AE459" s="25"/>
      <c r="AF459" s="26"/>
    </row>
    <row r="460" spans="13:32" x14ac:dyDescent="0.25">
      <c r="M460" s="25"/>
      <c r="N460" s="26"/>
      <c r="AE460" s="25"/>
      <c r="AF460" s="26"/>
    </row>
    <row r="461" spans="13:32" x14ac:dyDescent="0.25">
      <c r="M461" s="25"/>
      <c r="N461" s="26"/>
      <c r="AE461" s="25"/>
      <c r="AF461" s="26"/>
    </row>
    <row r="462" spans="13:32" x14ac:dyDescent="0.25">
      <c r="M462" s="25"/>
      <c r="N462" s="26"/>
      <c r="AE462" s="25"/>
      <c r="AF462" s="26"/>
    </row>
    <row r="463" spans="13:32" x14ac:dyDescent="0.25">
      <c r="M463" s="25"/>
      <c r="N463" s="26"/>
      <c r="AE463" s="25"/>
      <c r="AF463" s="26"/>
    </row>
    <row r="464" spans="13:32" x14ac:dyDescent="0.25">
      <c r="M464" s="25"/>
      <c r="N464" s="26"/>
      <c r="AE464" s="25"/>
      <c r="AF464" s="26"/>
    </row>
    <row r="465" spans="13:32" x14ac:dyDescent="0.25">
      <c r="M465" s="25"/>
      <c r="N465" s="26"/>
      <c r="AE465" s="25"/>
      <c r="AF465" s="26"/>
    </row>
    <row r="466" spans="13:32" x14ac:dyDescent="0.25">
      <c r="M466" s="25"/>
      <c r="N466" s="26"/>
      <c r="AE466" s="25"/>
      <c r="AF466" s="26"/>
    </row>
    <row r="467" spans="13:32" x14ac:dyDescent="0.25">
      <c r="M467" s="25"/>
      <c r="N467" s="26"/>
      <c r="AE467" s="25"/>
      <c r="AF467" s="26"/>
    </row>
    <row r="468" spans="13:32" x14ac:dyDescent="0.25">
      <c r="M468" s="25"/>
      <c r="N468" s="26"/>
      <c r="AE468" s="25"/>
      <c r="AF468" s="26"/>
    </row>
    <row r="469" spans="13:32" x14ac:dyDescent="0.25">
      <c r="M469" s="25"/>
      <c r="N469" s="26"/>
      <c r="AE469" s="25"/>
      <c r="AF469" s="26"/>
    </row>
    <row r="470" spans="13:32" x14ac:dyDescent="0.25">
      <c r="M470" s="25"/>
      <c r="N470" s="26"/>
      <c r="AE470" s="25"/>
      <c r="AF470" s="26"/>
    </row>
    <row r="471" spans="13:32" x14ac:dyDescent="0.25">
      <c r="M471" s="25"/>
      <c r="N471" s="26"/>
      <c r="AE471" s="25"/>
      <c r="AF471" s="26"/>
    </row>
    <row r="472" spans="13:32" x14ac:dyDescent="0.25">
      <c r="M472" s="25"/>
      <c r="N472" s="26"/>
      <c r="AE472" s="25"/>
      <c r="AF472" s="26"/>
    </row>
    <row r="473" spans="13:32" x14ac:dyDescent="0.25">
      <c r="M473" s="25"/>
      <c r="N473" s="26"/>
      <c r="AE473" s="25"/>
      <c r="AF473" s="26"/>
    </row>
    <row r="474" spans="13:32" x14ac:dyDescent="0.25">
      <c r="M474" s="25"/>
      <c r="N474" s="26"/>
      <c r="AE474" s="25"/>
      <c r="AF474" s="26"/>
    </row>
    <row r="475" spans="13:32" x14ac:dyDescent="0.25">
      <c r="M475" s="25"/>
      <c r="N475" s="26"/>
      <c r="AE475" s="25"/>
      <c r="AF475" s="26"/>
    </row>
    <row r="476" spans="13:32" x14ac:dyDescent="0.25">
      <c r="M476" s="25"/>
      <c r="N476" s="26"/>
      <c r="AE476" s="25"/>
      <c r="AF476" s="26"/>
    </row>
    <row r="477" spans="13:32" x14ac:dyDescent="0.25">
      <c r="M477" s="25"/>
      <c r="N477" s="26"/>
      <c r="AE477" s="25"/>
      <c r="AF477" s="26"/>
    </row>
    <row r="478" spans="13:32" x14ac:dyDescent="0.25">
      <c r="M478" s="25"/>
      <c r="N478" s="26"/>
      <c r="AE478" s="25"/>
      <c r="AF478" s="26"/>
    </row>
    <row r="479" spans="13:32" x14ac:dyDescent="0.25">
      <c r="M479" s="25"/>
      <c r="N479" s="26"/>
      <c r="AE479" s="25"/>
      <c r="AF479" s="26"/>
    </row>
    <row r="480" spans="13:32" x14ac:dyDescent="0.25">
      <c r="M480" s="25"/>
      <c r="N480" s="26"/>
      <c r="AE480" s="25"/>
      <c r="AF480" s="26"/>
    </row>
    <row r="481" spans="13:32" x14ac:dyDescent="0.25">
      <c r="M481" s="25"/>
      <c r="N481" s="26"/>
      <c r="AE481" s="25"/>
      <c r="AF481" s="26"/>
    </row>
    <row r="482" spans="13:32" x14ac:dyDescent="0.25">
      <c r="M482" s="25"/>
      <c r="N482" s="26"/>
      <c r="AE482" s="25"/>
      <c r="AF482" s="26"/>
    </row>
    <row r="483" spans="13:32" x14ac:dyDescent="0.25">
      <c r="M483" s="25"/>
      <c r="N483" s="26"/>
      <c r="AE483" s="25"/>
      <c r="AF483" s="26"/>
    </row>
    <row r="484" spans="13:32" x14ac:dyDescent="0.25">
      <c r="M484" s="25"/>
      <c r="N484" s="26"/>
      <c r="AE484" s="25"/>
      <c r="AF484" s="26"/>
    </row>
    <row r="485" spans="13:32" x14ac:dyDescent="0.25">
      <c r="M485" s="25"/>
      <c r="N485" s="26"/>
      <c r="AE485" s="25"/>
      <c r="AF485" s="26"/>
    </row>
    <row r="486" spans="13:32" x14ac:dyDescent="0.25">
      <c r="M486" s="25"/>
      <c r="N486" s="26"/>
      <c r="AE486" s="25"/>
      <c r="AF486" s="26"/>
    </row>
    <row r="487" spans="13:32" x14ac:dyDescent="0.25">
      <c r="M487" s="25"/>
      <c r="N487" s="26"/>
      <c r="AE487" s="25"/>
      <c r="AF487" s="26"/>
    </row>
    <row r="488" spans="13:32" x14ac:dyDescent="0.25">
      <c r="M488" s="25"/>
      <c r="N488" s="26"/>
      <c r="AE488" s="25"/>
      <c r="AF488" s="26"/>
    </row>
    <row r="489" spans="13:32" x14ac:dyDescent="0.25">
      <c r="M489" s="25"/>
      <c r="N489" s="26"/>
      <c r="AE489" s="25"/>
      <c r="AF489" s="26"/>
    </row>
    <row r="490" spans="13:32" x14ac:dyDescent="0.25">
      <c r="M490" s="25"/>
      <c r="N490" s="26"/>
      <c r="AE490" s="25"/>
      <c r="AF490" s="26"/>
    </row>
    <row r="491" spans="13:32" x14ac:dyDescent="0.25">
      <c r="M491" s="25"/>
      <c r="N491" s="26"/>
      <c r="AE491" s="25"/>
      <c r="AF491" s="26"/>
    </row>
    <row r="492" spans="13:32" x14ac:dyDescent="0.25">
      <c r="M492" s="25"/>
      <c r="N492" s="26"/>
      <c r="AE492" s="25"/>
      <c r="AF492" s="26"/>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89B5BF2-6713-41C7-BD98-4D5E2076B5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2023-02-01T06:50:28Z</dcterms:modified>
</cp:coreProperties>
</file>