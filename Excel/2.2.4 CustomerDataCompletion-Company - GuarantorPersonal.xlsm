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1" activeTab="5"/>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C4" i="2" l="1"/>
  <c r="C10" i="2"/>
  <c r="B10" i="2"/>
  <c r="C4" i="3" l="1"/>
  <c r="B4" i="4"/>
  <c r="B4" i="7" l="1"/>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C9" i="2" s="1"/>
  <c r="D12" i="1"/>
  <c r="E12" i="1"/>
  <c r="C26" i="1"/>
  <c r="D26" i="1"/>
  <c r="E26" i="1"/>
  <c r="B12" i="1" l="1"/>
  <c r="B9" i="2" s="1"/>
  <c r="B47" i="3" l="1"/>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<sst xmlns="http://schemas.openxmlformats.org/spreadsheetml/2006/main" count="4688" uniqueCount="4255">
  <si>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</si>
  <si>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</si>
  <si>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</si>
  <si>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</si>
  <si>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</si>
  <si>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</si>
  <si>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</si>
  <si>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</si>
  <si>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</si>
  <si>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</si>
  <si>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</si>
  <si>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</si>
  <si>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</si>
  <si>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</si>
  <si>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</si>
  <si>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</si>
  <si>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</si>
  <si>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</si>
  <si>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</si>
  <si>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</si>
  <si>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</si>
  <si>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</si>
  <si>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</si>
  <si>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</si>
  <si>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</si>
  <si>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</si>
  <si>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</si>
  <si>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</si>
  <si>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</si>
  <si>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</si>
  <si>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</si>
  <si>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</si>
  <si>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</si>
  <si>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</si>
  <si>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</si>
  <si>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</si>
  <si>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</si>
  <si>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</si>
  <si>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</si>
  <si>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</si>
  <si>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</si>
  <si>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</si>
  <si>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</si>
  <si>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</si>
  <si>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</si>
  <si>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</si>
  <si>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</si>
  <si>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</si>
  <si>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</si>
  <si>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</si>
  <si>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</si>
  <si>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</si>
  <si>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</si>
  <si>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</si>
  <si>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</si>
  <si>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</si>
  <si>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</si>
  <si>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</si>
  <si>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</si>
  <si>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</si>
  <si>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</si>
  <si>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</si>
  <si>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</si>
  <si>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</si>
  <si>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</si>
  <si>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</si>
  <si>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</si>
  <si>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</si>
  <si>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</si>
  <si>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</si>
  <si>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</si>
  <si>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</si>
  <si>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</si>
  <si>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</si>
  <si>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</si>
  <si>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</si>
  <si>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</si>
  <si>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</si>
  <si>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</si>
  <si>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</si>
  <si>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</si>
  <si>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</si>
  <si>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</si>
  <si>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</si>
  <si>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</si>
  <si>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</si>
  <si>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</si>
  <si>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</si>
  <si>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</si>
  <si>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</si>
  <si>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</si>
  <si>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</si>
  <si>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</si>
  <si>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</si>
  <si>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</si>
  <si>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</si>
  <si>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</si>
  <si>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</si>
  <si>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</si>
  <si>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</si>
  <si>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</si>
  <si>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</si>
  <si>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</si>
  <si>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</si>
  <si>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</si>
  <si>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</si>
  <si>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</si>
  <si>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</si>
  <si>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</si>
  <si>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</si>
  <si>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</si>
  <si>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</si>
  <si>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</si>
  <si>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</si>
  <si>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</si>
  <si>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</si>
  <si>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</si>
  <si>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</si>
  <si>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</si>
  <si>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</si>
  <si>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</si>
  <si>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</si>
  <si>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</si>
  <si>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</si>
  <si>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</si>
  <si>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</si>
  <si>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</si>
  <si>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</si>
  <si>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</si>
  <si>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</si>
  <si>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</si>
  <si>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</si>
  <si>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</si>
  <si>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</si>
  <si>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</si>
  <si>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</si>
  <si>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</si>
  <si>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</si>
  <si>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</si>
  <si>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</si>
  <si>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</si>
  <si>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</si>
  <si>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</si>
  <si>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</si>
  <si>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</si>
  <si>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</si>
  <si>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</si>
  <si>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</si>
  <si>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</si>
  <si>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</si>
  <si>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</si>
  <si>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</si>
  <si>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</si>
  <si>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</si>
  <si>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</si>
  <si>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</si>
  <si>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</si>
  <si>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</si>
  <si>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</si>
  <si>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</si>
  <si>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</si>
  <si>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</si>
  <si>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</si>
  <si>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</si>
  <si>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</si>
  <si>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</si>
  <si>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</si>
  <si>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</si>
  <si>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</si>
  <si>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</si>
  <si>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</si>
  <si>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</si>
  <si>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</si>
  <si>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</si>
  <si>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</si>
  <si>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</si>
  <si>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</si>
  <si>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</si>
  <si>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</si>
  <si>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</si>
  <si>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</si>
  <si>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</si>
  <si>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</si>
  <si>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</si>
  <si>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</si>
  <si>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</si>
  <si>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</si>
  <si>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</si>
  <si>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</si>
  <si>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</si>
  <si>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</si>
  <si>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</si>
  <si>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</si>
  <si>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</si>
  <si>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</si>
  <si>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</si>
  <si>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</si>
  <si>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</si>
  <si>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</si>
  <si>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</si>
  <si>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</si>
  <si>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</si>
  <si>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</si>
  <si>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</si>
  <si>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</si>
  <si>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</si>
  <si>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</si>
  <si>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</si>
  <si>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</si>
  <si>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</si>
  <si>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</si>
  <si>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</si>
  <si>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</si>
  <si>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</si>
  <si>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</si>
  <si>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</si>
  <si>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</si>
  <si>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</si>
  <si>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</si>
  <si>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</si>
  <si>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</si>
  <si>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</si>
  <si>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</si>
  <si>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</si>
  <si>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</si>
  <si>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</si>
  <si>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</si>
  <si>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</si>
  <si>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</si>
  <si>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</si>
  <si>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</si>
  <si>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</si>
  <si>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</si>
  <si>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</si>
  <si>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</si>
  <si>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</si>
  <si>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</si>
  <si>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</si>
  <si>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</si>
  <si>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</si>
  <si>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</si>
  <si>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</si>
  <si>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</si>
  <si>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</si>
  <si>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</si>
  <si>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</si>
  <si>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</si>
  <si>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</si>
  <si>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</si>
  <si>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</si>
  <si>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</si>
  <si>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</si>
  <si>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</si>
  <si>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</si>
  <si>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</si>
  <si>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</si>
  <si>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</si>
  <si>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</si>
  <si>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</si>
  <si>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</si>
  <si>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</si>
  <si>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</si>
  <si>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</si>
  <si>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</si>
  <si>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</si>
  <si>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</si>
  <si>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</si>
  <si>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</si>
  <si>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</si>
  <si>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</si>
  <si>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</si>
  <si>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</si>
  <si>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</si>
  <si>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</si>
  <si>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</si>
  <si>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</si>
  <si>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</si>
  <si>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</si>
  <si>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</si>
  <si>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</si>
  <si>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</si>
  <si>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</si>
  <si>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</si>
  <si>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</si>
  <si>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</si>
  <si>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</si>
  <si>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</si>
  <si>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</si>
  <si>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</si>
  <si>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</si>
  <si>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</si>
  <si>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</si>
  <si>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</si>
  <si>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</si>
  <si>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</si>
  <si>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</si>
  <si>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</si>
  <si>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</si>
  <si>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</si>
  <si>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</si>
  <si>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</si>
  <si>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</si>
  <si>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</si>
  <si>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</si>
  <si>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</si>
  <si>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</si>
  <si>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</si>
  <si>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</si>
  <si>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</si>
  <si>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</si>
  <si>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</si>
  <si>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</si>
  <si>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</si>
  <si>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</si>
  <si>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</si>
  <si>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</si>
  <si>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</si>
  <si>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</si>
  <si>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</si>
  <si>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</si>
  <si>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</si>
  <si>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</si>
  <si>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</si>
  <si>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</si>
  <si>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</si>
  <si>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</si>
  <si>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</si>
  <si>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</si>
  <si>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</si>
  <si>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</si>
  <si>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</si>
  <si>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</si>
  <si>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</si>
  <si>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</si>
  <si>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</si>
  <si>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</si>
  <si>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</si>
  <si>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</si>
  <si>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</si>
  <si>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</si>
  <si>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</si>
  <si>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</si>
  <si>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</si>
  <si>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</si>
  <si>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</si>
  <si>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</si>
  <si>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</si>
  <si>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</si>
  <si>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</si>
  <si>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</si>
  <si>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</si>
  <si>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</si>
  <si>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</si>
  <si>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</si>
  <si>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</si>
  <si>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</si>
  <si>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</si>
  <si>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</si>
  <si>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</si>
  <si>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</si>
  <si>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</si>
  <si>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</si>
  <si>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</si>
  <si>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</si>
  <si>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</si>
  <si>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</si>
  <si>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</si>
  <si>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</si>
  <si>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</si>
  <si>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</si>
  <si>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</si>
  <si>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</si>
  <si>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</si>
  <si>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</si>
  <si>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</si>
  <si>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</si>
  <si>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</si>
  <si>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</si>
  <si>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</si>
  <si>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</si>
  <si>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</si>
  <si>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</si>
  <si>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</si>
  <si>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</si>
  <si>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</si>
  <si>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</si>
  <si>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</si>
  <si>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</si>
  <si>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</si>
  <si>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</si>
  <si>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</si>
  <si>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</si>
  <si>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</si>
  <si>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</si>
  <si>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</si>
  <si>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</si>
  <si>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</si>
  <si>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</si>
  <si>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</si>
  <si>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</si>
  <si>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</si>
  <si>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</si>
  <si>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</si>
  <si>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</si>
  <si>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</si>
  <si>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</si>
  <si>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</si>
  <si>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</si>
  <si>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</si>
  <si>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</si>
  <si>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</si>
  <si>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</si>
  <si>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</si>
  <si>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</si>
  <si>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</si>
  <si>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</si>
  <si>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</si>
  <si>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</si>
  <si>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</si>
  <si>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</si>
  <si>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</si>
  <si>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</si>
  <si>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</si>
  <si>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</si>
  <si>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</si>
  <si>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</si>
  <si>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</si>
  <si>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</si>
  <si>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</si>
  <si>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</si>
  <si>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</si>
  <si>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</si>
  <si>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</si>
  <si>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</si>
  <si>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</si>
  <si>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</si>
  <si>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</si>
  <si>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</si>
  <si>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</si>
  <si>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</si>
  <si>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</si>
  <si>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</si>
  <si>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</si>
  <si>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</si>
  <si>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</si>
  <si>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</si>
  <si>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</si>
  <si>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</si>
  <si>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</si>
  <si>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</si>
  <si>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</si>
  <si>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</si>
  <si>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</si>
  <si>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</si>
  <si>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</si>
  <si>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</si>
  <si>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</si>
  <si>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</si>
  <si>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</si>
  <si>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</si>
  <si>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</si>
  <si>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</si>
  <si>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</si>
  <si>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</si>
  <si>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</si>
  <si>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</si>
  <si>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</si>
  <si>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</si>
  <si>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</si>
  <si>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</si>
  <si>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</si>
  <si>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</si>
  <si>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</si>
  <si>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</si>
  <si>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</si>
  <si>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</si>
  <si>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</si>
  <si>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</si>
  <si>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</si>
  <si>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</si>
  <si>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</si>
  <si>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</si>
  <si>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</si>
  <si>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</si>
  <si>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</si>
  <si>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</si>
  <si>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</si>
  <si>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</si>
  <si>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</si>
  <si>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</si>
  <si>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</si>
  <si>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</si>
  <si>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</si>
  <si>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</si>
  <si>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</si>
  <si>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</si>
  <si>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</si>
  <si>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</si>
  <si>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</si>
  <si>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</si>
  <si>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</si>
  <si>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</si>
  <si>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</si>
  <si>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</si>
  <si>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</si>
  <si>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</si>
  <si>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</si>
  <si>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</si>
  <si>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</si>
  <si>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</si>
  <si>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</si>
  <si>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</si>
  <si>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</si>
  <si>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</si>
  <si>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</si>
  <si>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</si>
  <si>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</si>
  <si>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</si>
  <si>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</si>
  <si>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</si>
  <si>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</si>
  <si>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</si>
  <si>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</si>
  <si>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</si>
  <si>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</si>
  <si>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</si>
  <si>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</si>
  <si>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</si>
  <si>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</si>
  <si>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</si>
  <si>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</si>
  <si>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</si>
  <si>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</si>
  <si>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</si>
  <si>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</si>
  <si>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</si>
  <si>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</si>
  <si>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</si>
  <si>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</si>
  <si>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</si>
  <si>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</si>
  <si>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</si>
  <si>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</si>
  <si>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</si>
  <si>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</si>
  <si>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</si>
  <si>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</si>
  <si>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</si>
  <si>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</si>
  <si>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</si>
  <si>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</si>
  <si>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</si>
  <si>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</si>
  <si>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</si>
  <si>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</si>
  <si>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</si>
  <si>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</si>
  <si>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</si>
  <si>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</si>
  <si>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</si>
  <si>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</si>
  <si>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</si>
  <si>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</si>
  <si>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</si>
  <si>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</si>
  <si>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</si>
  <si>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</si>
  <si>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</si>
  <si>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</si>
  <si>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</si>
  <si>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</si>
  <si>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</si>
  <si>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</si>
  <si>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</si>
  <si>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</si>
  <si>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</si>
  <si>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</si>
  <si>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</si>
  <si>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</si>
  <si>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</si>
  <si>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</si>
  <si>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</si>
  <si>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</si>
  <si>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</si>
  <si>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</si>
  <si>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</si>
  <si>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</si>
  <si>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</si>
  <si>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</si>
  <si>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</si>
  <si>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</si>
  <si>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</si>
  <si>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</si>
  <si>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</si>
  <si>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</si>
  <si>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</si>
  <si>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</si>
  <si>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</si>
  <si>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</si>
  <si>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</si>
  <si>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</si>
  <si>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</si>
  <si>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</si>
  <si>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</si>
  <si>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</si>
  <si>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</si>
  <si>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</si>
  <si>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</si>
  <si>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</si>
  <si>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</si>
  <si>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</si>
  <si>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</si>
  <si>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</si>
  <si>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</si>
  <si>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</si>
  <si>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</si>
  <si>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</si>
  <si>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</si>
  <si>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</si>
  <si>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</si>
  <si>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</si>
  <si>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</si>
  <si>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</si>
  <si>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</si>
  <si>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</si>
  <si>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</si>
  <si>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</si>
  <si>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</si>
  <si>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</si>
  <si>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</si>
  <si>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</si>
  <si>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</si>
  <si>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</si>
  <si>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</si>
  <si>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</si>
  <si>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</si>
  <si>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</si>
  <si>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</si>
  <si>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</si>
  <si>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</si>
  <si>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</si>
  <si>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</si>
  <si>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</si>
  <si>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</si>
  <si>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</si>
  <si>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</si>
  <si>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</si>
  <si>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</si>
  <si>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</si>
  <si>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</si>
  <si>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</si>
  <si>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</si>
  <si>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</si>
  <si>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</si>
  <si>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</si>
  <si>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</si>
  <si>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</si>
  <si>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</si>
  <si>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</si>
  <si>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</si>
  <si>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</si>
  <si>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</si>
  <si>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</si>
  <si>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</si>
  <si>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</si>
  <si>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</si>
  <si>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</si>
  <si>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</si>
  <si>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</si>
  <si>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</si>
  <si>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</si>
  <si>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</si>
  <si>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</si>
  <si>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</si>
  <si>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</si>
  <si>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</si>
  <si>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</si>
  <si>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</si>
  <si>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</si>
  <si>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</si>
  <si>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</si>
  <si>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</si>
  <si>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</si>
  <si>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</si>
  <si>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</si>
  <si>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</si>
  <si>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</si>
  <si>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</si>
  <si>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</si>
  <si>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</si>
  <si>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</si>
  <si>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</si>
  <si>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</si>
  <si>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</si>
  <si>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</si>
  <si>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</si>
  <si>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</si>
  <si>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</si>
  <si>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</si>
  <si>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</si>
  <si>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</si>
  <si>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</si>
  <si>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</si>
  <si>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</si>
  <si>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</si>
  <si>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</si>
  <si>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</si>
  <si>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</si>
  <si>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</si>
  <si>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</si>
  <si>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</si>
  <si>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</si>
  <si>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</si>
  <si>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</si>
  <si>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</si>
  <si>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</si>
  <si>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</si>
  <si>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</si>
  <si>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</si>
  <si>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</si>
  <si>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</si>
  <si>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</si>
  <si>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</si>
  <si>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</si>
  <si>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</si>
  <si>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</si>
  <si>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</si>
  <si>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</si>
  <si>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</si>
  <si>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</si>
  <si>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</si>
  <si>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</si>
  <si>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</si>
  <si>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</si>
  <si>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</si>
  <si>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</si>
  <si>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</si>
  <si>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</si>
  <si>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</si>
  <si>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</si>
  <si>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</si>
  <si>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</si>
  <si>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</si>
  <si>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</si>
  <si>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</si>
  <si>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</si>
  <si>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</si>
  <si>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</si>
  <si>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</si>
  <si>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</si>
  <si>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</si>
  <si>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</si>
  <si>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</si>
  <si>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</si>
  <si>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</si>
  <si>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</si>
  <si>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</si>
  <si>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</si>
  <si>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</si>
  <si>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</si>
  <si>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</si>
  <si>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</si>
  <si>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</si>
  <si>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</si>
  <si>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</si>
  <si>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</si>
  <si>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</si>
  <si>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</si>
  <si>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</si>
  <si>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</si>
  <si>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</si>
  <si>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</si>
  <si>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</si>
  <si>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</si>
  <si>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</si>
  <si>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</si>
  <si>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</si>
  <si>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</si>
  <si>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</si>
  <si>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</si>
  <si>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</si>
  <si>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</si>
  <si>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</si>
  <si>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</si>
  <si>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</si>
  <si>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</si>
  <si>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</si>
  <si>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</si>
  <si>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</si>
  <si>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</si>
  <si>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</si>
  <si>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</si>
  <si>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</si>
  <si>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</si>
  <si>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</si>
  <si>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</si>
  <si>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</si>
  <si>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</si>
  <si>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</si>
  <si>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</si>
  <si>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</si>
  <si>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</si>
  <si>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</si>
  <si>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</si>
  <si>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</si>
  <si>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</si>
  <si>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</si>
  <si>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</si>
  <si>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</si>
  <si>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</si>
  <si>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</si>
  <si>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</si>
  <si>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</si>
  <si>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</si>
  <si>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</si>
  <si>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</si>
  <si>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</si>
  <si>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</si>
  <si>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</si>
  <si>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</si>
  <si>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</si>
  <si>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</si>
  <si>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</si>
  <si>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</si>
  <si>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</si>
  <si>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</si>
  <si>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</si>
  <si>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</si>
  <si>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</si>
  <si>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</si>
  <si>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</si>
  <si>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</si>
  <si>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</si>
  <si>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</si>
  <si>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</si>
  <si>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</si>
  <si>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</si>
  <si>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</si>
  <si>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</si>
  <si>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</si>
  <si>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</si>
  <si>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</si>
  <si>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</si>
  <si>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</si>
  <si>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</si>
  <si>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</si>
  <si>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</si>
  <si>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</si>
  <si>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</si>
  <si>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</si>
  <si>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</si>
  <si>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</si>
  <si>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</si>
  <si>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</si>
  <si>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</si>
  <si>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</si>
  <si>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</si>
  <si>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</si>
  <si>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</si>
  <si>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</si>
  <si>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</si>
  <si>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</si>
  <si>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</si>
  <si>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</si>
  <si>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</si>
  <si>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</si>
  <si>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</si>
  <si>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</si>
  <si>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</si>
  <si>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</si>
  <si>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</si>
  <si>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</si>
  <si>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</si>
  <si>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</si>
  <si>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</si>
  <si>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</si>
  <si>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</si>
  <si>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</si>
  <si>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</si>
  <si>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</si>
  <si>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</si>
  <si>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</si>
  <si>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</si>
  <si>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</si>
  <si>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</si>
  <si>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</si>
  <si>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</si>
  <si>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</si>
  <si>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</si>
  <si>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</si>
  <si>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</si>
  <si>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</si>
  <si>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</si>
  <si>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</si>
  <si>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</si>
  <si>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</si>
  <si>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</si>
  <si>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</si>
  <si>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</si>
  <si>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</si>
  <si>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</si>
  <si>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</si>
  <si>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</si>
  <si>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</si>
  <si>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</si>
  <si>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</si>
  <si>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</si>
  <si>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</si>
  <si>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</si>
  <si>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</si>
  <si>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</si>
  <si>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</si>
  <si>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</si>
  <si>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</si>
  <si>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</si>
  <si>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</si>
  <si>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</si>
  <si>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</si>
  <si>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</si>
  <si>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</si>
  <si>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</si>
  <si>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</si>
  <si>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</si>
  <si>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</si>
  <si>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</si>
  <si>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</si>
  <si>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</si>
  <si>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</si>
  <si>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</si>
  <si>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</si>
  <si>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</si>
  <si>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</si>
  <si>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</si>
  <si>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</si>
  <si>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</si>
  <si>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</si>
  <si>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</si>
  <si>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</si>
  <si>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</si>
  <si>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</si>
  <si>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</si>
  <si>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</si>
  <si>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</si>
  <si>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</si>
  <si>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</si>
  <si>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</si>
  <si>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</si>
  <si>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</si>
  <si>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</si>
  <si>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</si>
  <si>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</si>
  <si>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</si>
  <si>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</si>
  <si>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</si>
  <si>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</si>
  <si>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</si>
  <si>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</si>
  <si>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</si>
  <si>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</si>
  <si>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</si>
  <si>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</si>
  <si>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</si>
  <si>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</si>
  <si>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</si>
  <si>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</si>
  <si>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</si>
  <si>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</si>
  <si>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</si>
  <si>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</si>
  <si>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</si>
  <si>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</si>
  <si>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</si>
  <si>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</si>
  <si>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</si>
  <si>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</si>
  <si>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</si>
  <si>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</si>
  <si>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</si>
  <si>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</si>
  <si>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</si>
  <si>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</si>
  <si>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</si>
  <si>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</si>
  <si>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</si>
  <si>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</si>
  <si>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</si>
  <si>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</si>
  <si>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</si>
  <si>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</si>
  <si>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</si>
  <si>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</si>
  <si>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</si>
  <si>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</si>
  <si>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</si>
  <si>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</si>
  <si>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</si>
  <si>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</si>
  <si>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</si>
  <si>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</si>
  <si>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</si>
  <si>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</si>
  <si>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</si>
  <si>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</si>
  <si>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</si>
  <si>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</si>
  <si>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</si>
  <si>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</si>
  <si>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</si>
  <si>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</si>
  <si>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</si>
  <si>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</si>
  <si>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</si>
  <si>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</si>
  <si>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</si>
  <si>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</si>
  <si>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</si>
  <si>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</si>
  <si>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</si>
  <si>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</si>
  <si>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</si>
  <si>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</si>
  <si>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</si>
  <si>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</si>
  <si>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</si>
  <si>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</si>
  <si>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</si>
  <si>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</si>
  <si>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</si>
  <si>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</si>
  <si>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</si>
  <si>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</si>
  <si>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</si>
  <si>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</si>
  <si>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</si>
  <si>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</si>
  <si>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</si>
  <si>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</si>
  <si>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</si>
  <si>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</si>
  <si>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</si>
  <si>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</si>
  <si>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</si>
  <si>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</si>
  <si>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</si>
  <si>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</si>
  <si>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</si>
  <si>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</si>
  <si>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</si>
  <si>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</si>
  <si>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</si>
  <si>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</si>
  <si>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</si>
  <si>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</si>
  <si>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</si>
  <si>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</si>
  <si>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</si>
  <si>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</si>
  <si>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</si>
  <si>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</si>
  <si>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</si>
  <si>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</si>
  <si>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</si>
  <si>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</si>
  <si>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</si>
  <si>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</si>
  <si>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</si>
  <si>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</si>
  <si>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</si>
  <si>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</si>
  <si>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</si>
  <si>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</si>
  <si>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</si>
  <si>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</si>
  <si>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</si>
  <si>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</si>
  <si>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</si>
  <si>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</si>
  <si>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</si>
  <si>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</si>
  <si>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</si>
  <si>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</si>
  <si>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</si>
  <si>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</si>
  <si>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</si>
  <si>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</si>
  <si>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</si>
  <si>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</si>
  <si>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</si>
  <si>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</si>
  <si>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</si>
  <si>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</si>
  <si>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</si>
  <si>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</si>
  <si>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</si>
  <si>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</si>
  <si>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</si>
  <si>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</si>
  <si>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</si>
  <si>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</si>
  <si>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</si>
  <si>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</si>
  <si>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</si>
  <si>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</si>
  <si>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</si>
  <si>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</si>
  <si>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</si>
  <si>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</si>
  <si>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</si>
  <si>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</si>
  <si>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</si>
  <si>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</si>
  <si>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</si>
  <si>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</si>
  <si>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</si>
  <si>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</si>
  <si>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</si>
  <si>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</si>
  <si>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</si>
  <si>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</si>
  <si>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</si>
  <si>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</si>
  <si>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</si>
  <si>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</si>
  <si>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</si>
  <si>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</si>
  <si>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</si>
  <si>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</si>
  <si>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</si>
  <si>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</si>
  <si>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</si>
  <si>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</si>
  <si>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</si>
  <si>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</si>
  <si>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</si>
  <si>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</si>
  <si>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</si>
  <si>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</si>
  <si>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</si>
  <si>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</si>
  <si>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</si>
  <si>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</si>
  <si>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</si>
  <si>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</si>
  <si>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</si>
  <si>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</si>
  <si>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</si>
  <si>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</si>
  <si>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</si>
  <si>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</si>
  <si>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</si>
  <si>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</si>
  <si>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</si>
  <si>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</si>
  <si>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</si>
  <si>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</si>
  <si>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</si>
  <si>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</si>
  <si>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</si>
  <si>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</si>
  <si>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</si>
  <si>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</si>
  <si>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</si>
  <si>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</si>
  <si>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</si>
  <si>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</si>
  <si>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</si>
  <si>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</si>
  <si>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</si>
  <si>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</si>
  <si>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</si>
  <si>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</si>
  <si>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</si>
  <si>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</si>
  <si>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</si>
  <si>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</si>
  <si>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</si>
  <si>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</si>
  <si>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</si>
  <si>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</si>
  <si>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</si>
  <si>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</si>
  <si>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</si>
  <si>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</si>
  <si>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</si>
  <si>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</si>
  <si>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</si>
  <si>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</si>
  <si>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</si>
  <si>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</si>
  <si>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</si>
  <si>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</si>
  <si>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</si>
  <si>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</si>
  <si>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</si>
  <si>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</si>
  <si>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</si>
  <si>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</si>
  <si>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</si>
  <si>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</si>
  <si>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</si>
  <si>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</si>
  <si>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</si>
  <si>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</si>
  <si>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</si>
  <si>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</si>
  <si>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</si>
  <si>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</si>
  <si>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</si>
  <si>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</si>
  <si>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</si>
  <si>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</si>
  <si>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</si>
  <si>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</si>
  <si>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</si>
  <si>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</si>
  <si>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</si>
  <si>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</si>
  <si>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</si>
  <si>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</si>
  <si>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</si>
  <si>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</si>
  <si>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</si>
  <si>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</si>
  <si>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</si>
  <si>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</si>
  <si>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</si>
  <si>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</si>
  <si>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</si>
  <si>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</si>
  <si>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</si>
  <si>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</si>
  <si>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</si>
  <si>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</si>
  <si>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</si>
  <si>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</si>
  <si>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</si>
  <si>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</si>
  <si>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</si>
  <si>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</si>
  <si>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</si>
  <si>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</si>
  <si>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</si>
  <si>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</si>
  <si>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</si>
  <si>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</si>
  <si>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</si>
  <si>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</si>
  <si>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</si>
  <si>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</si>
  <si>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</si>
  <si>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</si>
  <si>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</si>
  <si>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</si>
  <si>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</si>
  <si>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</si>
  <si>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</si>
  <si>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</si>
  <si>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</si>
  <si>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</si>
  <si>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</si>
  <si>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</si>
  <si>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</si>
  <si>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</si>
  <si>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</si>
  <si>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</si>
  <si>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</si>
  <si>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</si>
  <si>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</si>
  <si>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</si>
  <si>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</si>
  <si>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</si>
  <si>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</si>
  <si>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</si>
  <si>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</si>
  <si>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</si>
  <si>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</si>
  <si>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</si>
  <si>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</si>
  <si>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</si>
  <si>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</si>
  <si>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</si>
  <si>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</si>
  <si>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</si>
  <si>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</si>
  <si>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</si>
  <si>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</si>
  <si>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</si>
  <si>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</si>
  <si>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</si>
  <si>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</si>
  <si>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</si>
  <si>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</si>
  <si>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</si>
  <si>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</si>
  <si>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</si>
  <si>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</si>
  <si>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</si>
  <si>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</si>
  <si>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</si>
  <si>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</si>
  <si>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</si>
  <si>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</si>
  <si>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</si>
  <si>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</si>
  <si>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</si>
  <si>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</si>
  <si>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</si>
  <si>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</si>
  <si>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</si>
  <si>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</si>
  <si>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</si>
  <si>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</si>
  <si>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</si>
  <si>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</si>
  <si>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</si>
  <si>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</si>
  <si>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</si>
  <si>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</si>
  <si>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</si>
  <si>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</si>
  <si>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</si>
  <si>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</si>
  <si>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</si>
  <si>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</si>
  <si>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</si>
  <si>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</si>
  <si>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</si>
  <si>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</si>
  <si>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</si>
  <si>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</si>
  <si>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</si>
  <si>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</si>
  <si>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</si>
  <si>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</si>
  <si>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</si>
  <si>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</si>
  <si>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</si>
  <si>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</si>
  <si>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</si>
  <si>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</si>
  <si>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</si>
  <si>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</si>
  <si>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</si>
  <si>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</si>
  <si>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</si>
  <si>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</si>
  <si>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</si>
  <si>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</si>
  <si>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</si>
  <si>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</si>
  <si>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</si>
  <si>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</si>
  <si>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</si>
  <si>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</si>
  <si>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</si>
  <si>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</si>
  <si>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</si>
  <si>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</si>
  <si>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</si>
  <si>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</si>
  <si>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</si>
  <si>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</si>
  <si>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</si>
  <si>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</si>
  <si>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</si>
  <si>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</si>
  <si>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</si>
  <si>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</si>
  <si>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</si>
  <si>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</si>
  <si>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</si>
  <si>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</si>
  <si>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</si>
  <si>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</si>
  <si>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</si>
  <si>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</si>
  <si>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</si>
  <si>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</si>
  <si>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</si>
  <si>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</si>
  <si>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</si>
  <si>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</si>
  <si>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</si>
  <si>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</si>
  <si>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</si>
  <si>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</si>
  <si>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</si>
  <si>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</si>
  <si>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</si>
  <si>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</si>
  <si>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</si>
  <si>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</si>
  <si>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</si>
  <si>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</si>
  <si>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</si>
  <si>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</si>
  <si>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</si>
  <si>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</si>
  <si>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</si>
  <si>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</si>
  <si>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</si>
  <si>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</si>
  <si>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</si>
  <si>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</si>
  <si>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</si>
  <si>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</si>
  <si>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</si>
  <si>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</si>
  <si>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</si>
  <si>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</si>
  <si>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</si>
  <si>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</si>
  <si>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</si>
  <si>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</si>
  <si>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</si>
  <si>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</si>
  <si>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</si>
  <si>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</si>
  <si>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</si>
  <si>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</si>
  <si>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</si>
  <si>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</si>
  <si>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</si>
  <si>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</si>
  <si>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</si>
  <si>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</si>
  <si>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</si>
  <si>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</si>
  <si>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</si>
  <si>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</si>
  <si>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</si>
  <si>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</si>
  <si>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</si>
  <si>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</si>
  <si>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</si>
  <si>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</si>
  <si>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</si>
  <si>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</si>
  <si>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</si>
  <si>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</si>
  <si>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</si>
  <si>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</si>
  <si>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</si>
  <si>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</si>
  <si>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</si>
  <si>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</si>
  <si>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</si>
  <si>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</si>
  <si>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</si>
  <si>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</si>
  <si>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</si>
  <si>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</si>
  <si>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</si>
  <si>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</si>
  <si>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</si>
  <si>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</si>
  <si>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</si>
  <si>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</si>
  <si>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</si>
  <si>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</si>
  <si>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</si>
  <si>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</si>
  <si>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</si>
  <si>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</si>
  <si>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</si>
  <si>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</si>
  <si>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</si>
  <si>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</si>
  <si>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</si>
  <si>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</si>
  <si>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</si>
  <si>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</si>
  <si>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</si>
  <si>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</si>
  <si>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</si>
  <si>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</si>
  <si>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</si>
  <si>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</si>
  <si>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</si>
  <si>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</si>
  <si>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</si>
  <si>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</si>
  <si>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</si>
  <si>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</si>
  <si>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</si>
  <si>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</si>
  <si>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</si>
  <si>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</si>
  <si>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</si>
  <si>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</si>
  <si>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</si>
  <si>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</si>
  <si>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</si>
  <si>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</si>
  <si>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</si>
  <si>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</si>
  <si>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</si>
  <si>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</si>
  <si>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</si>
  <si>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</si>
  <si>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</si>
  <si>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</si>
  <si>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</si>
  <si>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</si>
  <si>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</si>
  <si>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</si>
  <si>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</si>
  <si>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</si>
  <si>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</si>
  <si>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</si>
  <si>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</si>
  <si>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</si>
  <si>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</si>
  <si>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</si>
  <si>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</si>
  <si>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</si>
  <si>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</si>
  <si>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</si>
  <si>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</si>
  <si>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</si>
  <si>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</si>
  <si>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</si>
  <si>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</si>
  <si>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</si>
  <si>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</si>
  <si>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</si>
  <si>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</si>
  <si>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</si>
  <si>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</si>
  <si>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</si>
  <si>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</si>
  <si>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</si>
  <si>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</si>
  <si>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</si>
  <si>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</si>
  <si>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</si>
  <si>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</si>
  <si>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</si>
  <si>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</si>
  <si>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</si>
  <si>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</si>
  <si>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</si>
  <si>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</si>
  <si>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</si>
  <si>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</si>
  <si>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</si>
  <si>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</si>
  <si>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</si>
  <si>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</si>
  <si>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</si>
  <si>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</si>
  <si>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</si>
  <si>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</si>
  <si>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</si>
  <si>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</si>
  <si>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</si>
  <si>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</si>
  <si>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</si>
  <si>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</si>
  <si>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</si>
  <si>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</si>
  <si>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</si>
  <si>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</si>
  <si>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</si>
  <si>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</si>
  <si>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</si>
  <si>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</si>
  <si>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</si>
  <si>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</si>
  <si>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</si>
  <si>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</si>
  <si>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</si>
  <si>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</si>
  <si>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</si>
  <si>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</si>
  <si>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</si>
  <si>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</si>
  <si>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</si>
  <si>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</si>
  <si>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</si>
  <si>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</si>
  <si>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</si>
  <si>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</si>
  <si>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</si>
  <si>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</si>
  <si>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</si>
  <si>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</si>
  <si>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</si>
  <si>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</si>
  <si>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</si>
  <si>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</si>
  <si>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</si>
  <si>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</si>
  <si>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</si>
  <si>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</si>
  <si>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</si>
  <si>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</si>
  <si>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</si>
  <si>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</si>
  <si>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</si>
  <si>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</si>
  <si>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</si>
  <si>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</si>
  <si>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</si>
  <si>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</si>
  <si>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</si>
  <si>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</si>
  <si>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</si>
  <si>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</si>
  <si>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</si>
  <si>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</si>
  <si>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</si>
  <si>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</si>
  <si>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</si>
  <si>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</si>
  <si>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</si>
  <si>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</si>
  <si>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</si>
  <si>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</si>
  <si>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</si>
  <si>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</si>
  <si>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</si>
  <si>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</si>
  <si>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</si>
  <si>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</si>
  <si>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</si>
  <si>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</si>
  <si>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</si>
  <si>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</si>
  <si>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</si>
  <si>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</si>
  <si>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</si>
  <si>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</si>
  <si>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</si>
  <si>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</si>
  <si>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</si>
  <si>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</si>
  <si>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</si>
  <si>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</si>
  <si>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</si>
  <si>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</si>
  <si>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</si>
  <si>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</si>
  <si>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</si>
  <si>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</si>
  <si>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</si>
  <si>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</si>
  <si>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</si>
  <si>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</si>
  <si>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</si>
  <si>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</si>
  <si>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</si>
  <si>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</si>
  <si>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</si>
  <si>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</si>
  <si>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</si>
  <si>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</si>
  <si>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</si>
  <si>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</si>
  <si>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</si>
  <si>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</si>
  <si>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</si>
  <si>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</si>
  <si>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</si>
  <si>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</si>
  <si>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</si>
  <si>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</si>
  <si>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</si>
  <si>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</si>
  <si>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</si>
  <si>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</si>
  <si>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</si>
  <si>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</si>
  <si>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</si>
  <si>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</si>
  <si>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</si>
  <si>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</si>
  <si>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</si>
  <si>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</si>
  <si>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</si>
  <si>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</si>
  <si>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</si>
  <si>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</si>
  <si>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</si>
  <si>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</si>
  <si>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</si>
  <si>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</si>
  <si>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</si>
  <si>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</si>
  <si>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</si>
  <si>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</si>
  <si>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</si>
  <si>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</si>
  <si>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</si>
  <si>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</si>
  <si>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</si>
  <si>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</si>
  <si>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</si>
  <si>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</si>
  <si>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</si>
  <si>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</si>
  <si>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</si>
  <si>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</si>
  <si>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</si>
  <si>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</si>
  <si>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</si>
  <si>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</si>
  <si>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</si>
  <si>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</si>
  <si>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</si>
  <si>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</si>
  <si>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</si>
  <si>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</si>
  <si>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</si>
  <si>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</si>
  <si>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</si>
  <si>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</si>
  <si>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</si>
  <si>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</si>
  <si>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</si>
  <si>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</si>
  <si>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</si>
  <si>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</si>
  <si>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</si>
  <si>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</si>
  <si>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</si>
  <si>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</si>
  <si>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</si>
  <si>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</si>
  <si>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</si>
  <si>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</si>
  <si>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</si>
  <si>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</si>
  <si>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</si>
  <si>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</si>
  <si>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</si>
  <si>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</si>
  <si>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</si>
  <si>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</si>
  <si>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</si>
  <si>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</si>
  <si>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</si>
  <si>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</si>
  <si>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</si>
  <si>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</si>
  <si>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</si>
  <si>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</si>
  <si>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</si>
  <si>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</si>
  <si>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</si>
  <si>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</si>
  <si>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</si>
  <si>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</si>
  <si>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</si>
  <si>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</si>
  <si>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</si>
  <si>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</si>
  <si>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</si>
  <si>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</si>
  <si>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</si>
  <si>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</si>
  <si>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</si>
  <si>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</si>
  <si>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</si>
  <si>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</si>
  <si>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</si>
  <si>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</si>
  <si>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</si>
  <si>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</si>
  <si>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</si>
  <si>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</si>
  <si>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</si>
  <si>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</si>
  <si>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</si>
  <si>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</si>
  <si>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</si>
  <si>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</si>
  <si>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</si>
  <si>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</si>
  <si>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</si>
  <si>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</si>
  <si>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</si>
  <si>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</si>
  <si>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</si>
  <si>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</si>
  <si>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</si>
  <si>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</si>
  <si>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</si>
  <si>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</si>
  <si>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</si>
  <si>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</si>
  <si>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</si>
  <si>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</si>
  <si>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</si>
  <si>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</si>
  <si>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</si>
  <si>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</si>
  <si>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</si>
  <si>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</si>
  <si>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</si>
  <si>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</si>
  <si>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</si>
  <si>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</si>
  <si>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</si>
  <si>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</si>
  <si>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</si>
  <si>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</si>
  <si>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</si>
  <si>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</si>
  <si>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</si>
  <si>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</si>
  <si>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</si>
  <si>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</si>
  <si>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</si>
  <si>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</si>
  <si>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</si>
  <si>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</si>
  <si>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</si>
  <si>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</si>
  <si>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</si>
  <si>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</si>
  <si>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</si>
  <si>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</si>
  <si>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</si>
  <si>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</si>
  <si>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</si>
  <si>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</si>
  <si>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</si>
  <si>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</si>
  <si>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</si>
  <si>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</si>
  <si>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</si>
  <si>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</si>
  <si>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</si>
  <si>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</si>
  <si>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</si>
  <si>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</si>
  <si>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</si>
  <si>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</si>
  <si>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</si>
  <si>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</si>
  <si>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</si>
  <si>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</si>
  <si>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</si>
  <si>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</si>
  <si>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</si>
  <si>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</si>
  <si>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</si>
  <si>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</si>
  <si>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</si>
  <si>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</si>
  <si>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</si>
  <si>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</si>
  <si>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</si>
  <si>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</si>
  <si>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</si>
  <si>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</si>
  <si>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</si>
  <si>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</si>
  <si>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</si>
  <si>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</si>
  <si>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</si>
  <si>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</si>
  <si>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</si>
  <si>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</si>
  <si>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</si>
  <si>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</si>
  <si>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</si>
  <si>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</si>
  <si>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</si>
  <si>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</si>
  <si>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</si>
  <si>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</si>
  <si>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</si>
  <si>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</si>
  <si>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</si>
  <si>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</si>
  <si>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</si>
  <si>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</si>
  <si>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</si>
  <si>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</si>
  <si>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</si>
  <si>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</si>
  <si>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</si>
  <si>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</si>
  <si>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</si>
  <si>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</si>
  <si>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</si>
  <si>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</si>
  <si>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</si>
  <si>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</si>
  <si>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</si>
  <si>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</si>
  <si>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</si>
  <si>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</si>
  <si>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</si>
  <si>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</si>
  <si>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</si>
  <si>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</si>
  <si>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</si>
  <si>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</si>
  <si>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</si>
  <si>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</si>
  <si>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</si>
  <si>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</si>
  <si>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</si>
  <si>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</si>
  <si>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</si>
  <si>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</si>
  <si>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</si>
  <si>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</si>
  <si>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</si>
  <si>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</si>
  <si>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</si>
  <si>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</si>
  <si>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</si>
  <si>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</si>
  <si>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</si>
  <si>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</si>
  <si>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</si>
  <si>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</si>
  <si>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</si>
  <si>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</si>
  <si>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</si>
  <si>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</si>
  <si>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</si>
  <si>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</si>
  <si>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</si>
  <si>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</si>
  <si>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</si>
  <si>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</si>
  <si>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</si>
  <si>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</si>
  <si>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</si>
  <si>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</si>
  <si>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</si>
  <si>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</si>
  <si>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</si>
  <si>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</si>
  <si>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</si>
  <si>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</si>
  <si>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</si>
  <si>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</si>
  <si>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</si>
  <si>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</si>
  <si>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</si>
  <si>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</si>
  <si>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</si>
  <si>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</si>
  <si>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</si>
  <si>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</si>
  <si>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</si>
  <si>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</si>
  <si>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</si>
  <si>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</si>
  <si>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</si>
  <si>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</si>
  <si>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</si>
  <si>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</si>
  <si>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</si>
  <si>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</si>
  <si>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</si>
  <si>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</si>
  <si>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</si>
  <si>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</si>
  <si>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</si>
  <si>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</si>
  <si>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</si>
  <si>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</si>
  <si>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</si>
  <si>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</si>
  <si>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</si>
  <si>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</si>
  <si>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</si>
  <si>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</si>
  <si>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</si>
  <si>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</si>
  <si>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</si>
  <si>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</si>
  <si>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</si>
  <si>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</si>
  <si>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</si>
  <si>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</si>
  <si>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</si>
  <si>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</si>
  <si>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</si>
  <si>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</si>
  <si>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</si>
  <si>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</si>
  <si>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</si>
  <si>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</si>
  <si>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</si>
  <si>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</si>
  <si>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</si>
  <si>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</si>
  <si>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</si>
  <si>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</si>
  <si>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</si>
  <si>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</si>
  <si>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</si>
  <si>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</si>
  <si>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</si>
  <si>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</si>
  <si>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</si>
  <si>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</si>
  <si>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</si>
  <si>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</si>
  <si>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</si>
  <si>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</si>
  <si>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</si>
  <si>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</si>
  <si>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</si>
  <si>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</si>
  <si>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</si>
  <si>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</si>
  <si>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</si>
  <si>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</si>
  <si>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</si>
  <si>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</si>
  <si>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</si>
  <si>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</si>
  <si>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</si>
  <si>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</si>
  <si>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</si>
  <si>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</si>
  <si>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</si>
  <si>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</si>
  <si>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</si>
  <si>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</si>
  <si>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</si>
  <si>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</si>
  <si>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</si>
  <si>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</si>
  <si>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</si>
  <si>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</si>
  <si>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</si>
  <si>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</si>
  <si>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</si>
  <si>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</si>
  <si>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</si>
  <si>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</si>
  <si>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</si>
  <si>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</si>
  <si>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</si>
  <si>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</si>
  <si>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</si>
  <si>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</si>
  <si>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</si>
  <si>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</si>
  <si>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</si>
  <si>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</si>
  <si>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</si>
  <si>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</si>
  <si>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</si>
  <si>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</si>
  <si>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</si>
  <si>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</si>
  <si>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</si>
  <si>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</si>
  <si>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</si>
  <si>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</si>
  <si>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</si>
  <si>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</si>
  <si>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</si>
  <si>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</si>
  <si>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</si>
  <si>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</si>
  <si>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</si>
  <si>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</si>
  <si>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</si>
  <si>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</si>
  <si>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</si>
  <si>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</si>
  <si>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</si>
  <si>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</si>
  <si>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</si>
  <si>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</si>
  <si>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</si>
  <si>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</si>
  <si>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</si>
  <si>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</si>
  <si>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</si>
  <si>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</si>
  <si>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</si>
  <si>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</si>
  <si>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</si>
  <si>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</si>
  <si>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</si>
  <si>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</si>
  <si>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</si>
  <si>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</si>
  <si>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</si>
  <si>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</si>
  <si>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</si>
  <si>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</si>
  <si>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</si>
  <si>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</si>
  <si>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</si>
  <si>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</si>
  <si>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</si>
  <si>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</si>
  <si>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</si>
  <si>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</si>
  <si>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</si>
  <si>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</si>
  <si>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</si>
  <si>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</si>
  <si>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</si>
  <si>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</si>
  <si>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</si>
  <si>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</si>
  <si>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</si>
  <si>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</si>
  <si>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</si>
  <si>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</si>
  <si>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</si>
  <si>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</si>
  <si>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</si>
  <si>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</si>
  <si>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</si>
  <si>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</si>
  <si>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</si>
  <si>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</si>
  <si>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</si>
  <si>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</si>
  <si>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</si>
  <si>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</si>
  <si>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</si>
  <si>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</si>
  <si>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</si>
  <si>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</si>
  <si>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</si>
  <si>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</si>
  <si>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</si>
  <si>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</si>
  <si>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</si>
  <si>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</si>
  <si>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</si>
  <si>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</si>
  <si>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</si>
  <si>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</si>
  <si>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</si>
  <si>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</si>
  <si>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</si>
  <si>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</si>
  <si>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</si>
  <si>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</si>
  <si>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</si>
  <si>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</si>
  <si>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</si>
  <si>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</si>
  <si>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</si>
  <si>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</si>
  <si>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</si>
  <si>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</si>
  <si>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</si>
  <si>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</si>
  <si>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</si>
  <si>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</si>
  <si>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</si>
  <si>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</si>
  <si>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</si>
  <si>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</si>
  <si>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</si>
  <si>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</si>
  <si>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</si>
  <si>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</si>
  <si>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</si>
  <si>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</si>
  <si>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</si>
  <si>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</si>
  <si>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</si>
  <si>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</si>
  <si>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</si>
  <si>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</si>
  <si>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</si>
  <si>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</si>
  <si>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</si>
  <si>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</si>
  <si>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</si>
  <si>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</si>
  <si>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</si>
  <si>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</si>
  <si>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</si>
  <si>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</si>
  <si>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</si>
  <si>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</si>
  <si>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</si>
  <si>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</si>
  <si>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</si>
  <si>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</si>
  <si>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</si>
  <si>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</si>
  <si>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</si>
  <si>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</si>
  <si>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</si>
  <si>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</si>
  <si>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</si>
  <si>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</si>
  <si>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</si>
  <si>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</si>
  <si>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</si>
  <si>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</si>
  <si>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</si>
  <si>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</si>
  <si>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</si>
  <si>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</si>
  <si>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</si>
  <si>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</si>
  <si>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</si>
  <si>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</si>
  <si>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</si>
  <si>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</si>
  <si>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</si>
  <si>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</si>
  <si>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</si>
  <si>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</si>
  <si>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</si>
  <si>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</si>
  <si>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</si>
  <si>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</si>
  <si>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</si>
  <si>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</si>
  <si>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</si>
  <si>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</si>
  <si>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</si>
  <si>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</si>
  <si>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</si>
  <si>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</si>
  <si>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</si>
  <si>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</si>
  <si>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</si>
  <si>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</si>
  <si>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</si>
  <si>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</si>
  <si>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</si>
  <si>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</si>
  <si>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</si>
  <si>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</si>
  <si>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</si>
  <si>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</si>
  <si>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</si>
  <si>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</si>
  <si>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</si>
  <si>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</si>
  <si>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</si>
  <si>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</si>
  <si>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</si>
  <si>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</si>
  <si>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</si>
  <si>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</si>
  <si>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</si>
  <si>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</si>
  <si>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</si>
  <si>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</si>
  <si>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</si>
  <si>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</si>
  <si>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</si>
  <si>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</si>
  <si>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</si>
  <si>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</si>
  <si>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</si>
  <si>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</si>
  <si>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</si>
  <si>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</si>
  <si>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</si>
  <si>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</si>
  <si>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</si>
  <si>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</si>
  <si>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</si>
  <si>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</si>
  <si>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</si>
  <si>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</si>
  <si>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</si>
  <si>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</si>
  <si>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</si>
  <si>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</si>
  <si>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</si>
  <si>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</si>
  <si>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</si>
  <si>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</si>
  <si>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</si>
  <si>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</si>
  <si>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</si>
  <si>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</si>
  <si>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</si>
  <si>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</si>
  <si>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</si>
  <si>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</si>
  <si>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</si>
  <si>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</si>
  <si>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</si>
  <si>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</si>
  <si>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</si>
  <si>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</si>
  <si>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</si>
  <si>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</si>
  <si>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</si>
  <si>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</si>
  <si>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</si>
  <si>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</si>
  <si>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</si>
  <si>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</si>
  <si>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</si>
  <si>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</si>
  <si>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</si>
  <si>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</si>
  <si>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</si>
  <si>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</si>
  <si>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</si>
  <si>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</si>
  <si>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</si>
  <si>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</si>
  <si>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</si>
  <si>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</si>
  <si>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</si>
  <si>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</si>
  <si>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</si>
  <si>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</si>
  <si>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</si>
  <si>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</si>
  <si>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</si>
  <si>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</si>
  <si>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</si>
  <si>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</si>
  <si>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</si>
  <si>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</si>
  <si>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</si>
  <si>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</si>
  <si>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</si>
  <si>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</si>
  <si>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</si>
  <si>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</si>
  <si>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</si>
  <si>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</si>
  <si>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</si>
  <si>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</si>
  <si>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</si>
  <si>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</si>
  <si>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</si>
  <si>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</si>
  <si>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</si>
  <si>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</si>
  <si>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</si>
  <si>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</si>
  <si>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</si>
  <si>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</si>
  <si>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</si>
  <si>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</si>
  <si>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</si>
  <si>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</si>
  <si>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</si>
  <si>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</si>
  <si>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</si>
  <si>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</si>
  <si>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</si>
  <si>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</si>
  <si>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</si>
  <si>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</si>
  <si>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</si>
  <si>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</si>
  <si>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</si>
  <si>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</si>
  <si>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</si>
  <si>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</si>
  <si>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</si>
  <si>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</si>
  <si>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</si>
  <si>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</si>
  <si>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</si>
  <si>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</si>
  <si>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</si>
  <si>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</si>
  <si>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</si>
  <si>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</si>
  <si>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</si>
  <si>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</si>
  <si>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</si>
  <si>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</si>
  <si>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</si>
  <si>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</si>
  <si>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</si>
  <si>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</si>
  <si>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</si>
  <si>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</si>
  <si>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</si>
  <si>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</si>
  <si>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</si>
  <si>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</si>
  <si>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</si>
  <si>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</si>
  <si>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</si>
  <si>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</si>
  <si>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</si>
  <si>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</si>
  <si>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</si>
  <si>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</si>
  <si>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</si>
  <si>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</si>
  <si>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</si>
  <si>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</si>
  <si>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</si>
  <si>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</si>
  <si>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</si>
  <si>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</si>
  <si>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</si>
  <si>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</si>
  <si>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</si>
  <si>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</si>
  <si>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</si>
  <si>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</si>
  <si>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</si>
  <si>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</si>
  <si>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</si>
  <si>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</si>
  <si>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</si>
  <si>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</si>
  <si>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</si>
  <si>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</si>
  <si>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</si>
  <si>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</si>
  <si>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</si>
  <si>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</si>
  <si>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</si>
  <si>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</si>
  <si>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</si>
  <si>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</si>
  <si>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</si>
  <si>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</si>
  <si>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</si>
  <si>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</si>
  <si>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</si>
  <si>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</si>
  <si>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</si>
  <si>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</si>
  <si>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</si>
  <si>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</si>
  <si>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</si>
  <si>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</si>
  <si>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</si>
  <si>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</si>
  <si>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</si>
  <si>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</si>
  <si>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</si>
  <si>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</si>
  <si>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</si>
  <si>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</si>
  <si>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</si>
  <si>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</si>
  <si>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</si>
  <si>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</si>
  <si>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</si>
  <si>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</si>
  <si>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</si>
  <si>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</si>
  <si>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</si>
  <si>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</si>
  <si>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</si>
  <si>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</si>
  <si>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</si>
  <si>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</si>
  <si>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</si>
  <si>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</si>
  <si>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</si>
  <si>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</si>
  <si>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</si>
  <si>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</si>
  <si>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</si>
  <si>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</si>
  <si>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</si>
  <si>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</si>
  <si>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</si>
  <si>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</si>
  <si>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</si>
  <si>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</si>
  <si>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</si>
  <si>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</si>
  <si>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</si>
  <si>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</si>
  <si>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</si>
  <si>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</si>
  <si>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</si>
  <si>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</si>
  <si>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</si>
  <si>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</si>
  <si>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</si>
  <si>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</si>
  <si>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</si>
  <si>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</si>
  <si>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</si>
  <si>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</si>
  <si>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</si>
  <si>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</si>
  <si>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</si>
  <si>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</si>
  <si>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</si>
  <si>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</si>
  <si>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</si>
  <si>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</si>
  <si>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</si>
  <si>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</si>
  <si>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</si>
  <si>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</si>
  <si>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</si>
  <si>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</si>
  <si>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</si>
  <si>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</si>
  <si>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</si>
  <si>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</si>
  <si>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</si>
  <si>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</si>
  <si>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</si>
  <si>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</si>
  <si>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</si>
  <si>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</si>
  <si>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</si>
  <si>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</si>
  <si>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</si>
  <si>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</si>
  <si>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</si>
  <si>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</si>
  <si>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</si>
  <si>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</si>
  <si>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</si>
  <si>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</si>
  <si>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</si>
  <si>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</si>
  <si>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</si>
  <si>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</si>
  <si>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</si>
  <si>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</si>
  <si>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</si>
  <si>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</si>
  <si>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</si>
  <si>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</si>
  <si>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</si>
  <si>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</si>
  <si>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</si>
  <si>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</si>
  <si>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</si>
  <si>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</si>
  <si>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</si>
  <si>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</si>
  <si>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</si>
  <si>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</si>
  <si>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</si>
  <si>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</si>
  <si>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</si>
  <si>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</si>
  <si>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</si>
  <si>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</si>
  <si>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</si>
  <si>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</si>
  <si>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</si>
  <si>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</si>
  <si>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</si>
  <si>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</si>
  <si>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</si>
  <si>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</si>
  <si>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</si>
  <si>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</si>
  <si>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</si>
  <si>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</si>
  <si>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</si>
  <si>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</si>
  <si>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</si>
  <si>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</si>
  <si>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</si>
  <si>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</si>
  <si>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</si>
  <si>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</si>
  <si>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</si>
  <si>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</si>
  <si>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</si>
  <si>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</si>
  <si>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</si>
  <si>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</si>
  <si>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</si>
  <si>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</si>
  <si>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</si>
  <si>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</si>
  <si>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</si>
  <si>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</si>
  <si>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</si>
  <si>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</si>
  <si>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</si>
  <si>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</si>
  <si>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</si>
  <si>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</si>
  <si>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</si>
  <si>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</si>
  <si>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</si>
  <si>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</si>
  <si>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</si>
  <si>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</si>
  <si>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</si>
  <si>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</si>
  <si>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</si>
  <si>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</si>
  <si>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</si>
  <si>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</si>
  <si>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</si>
  <si>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</si>
  <si>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</si>
  <si>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</si>
  <si>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</si>
  <si>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</si>
  <si>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</si>
  <si>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</si>
  <si>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</si>
  <si>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</si>
  <si>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</si>
  <si>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</si>
  <si>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</si>
  <si>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</si>
  <si>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</si>
  <si>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</si>
  <si>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</si>
  <si>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</si>
  <si>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</si>
  <si>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</si>
  <si>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</si>
  <si>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</si>
  <si>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</si>
  <si>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</si>
  <si>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</si>
  <si>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</si>
  <si>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</si>
  <si>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</si>
  <si>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</si>
  <si>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</si>
  <si>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</si>
  <si>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</si>
  <si>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</si>
  <si>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</si>
  <si>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</si>
  <si>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</si>
  <si>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</si>
  <si>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</si>
  <si>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</si>
  <si>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</si>
  <si>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</si>
  <si>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</si>
  <si>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</si>
  <si>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</si>
  <si>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</si>
  <si>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</si>
  <si>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</si>
  <si>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</si>
  <si>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</si>
  <si>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</si>
  <si>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</si>
  <si>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</si>
  <si>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</si>
  <si>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</si>
  <si>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</si>
  <si>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</si>
  <si>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</si>
  <si>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</si>
  <si>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</si>
  <si>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</si>
  <si>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</si>
  <si>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</si>
  <si>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</si>
  <si>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</si>
  <si>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</si>
  <si>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</si>
  <si>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</si>
  <si>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</si>
  <si>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</si>
  <si>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</si>
  <si>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</si>
  <si>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</si>
  <si>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</si>
  <si>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</si>
  <si>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</si>
  <si>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</si>
  <si>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</si>
  <si>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</si>
  <si>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</si>
  <si>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</si>
  <si>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</si>
  <si>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</si>
  <si>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</si>
  <si>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</si>
  <si>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</si>
  <si>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</si>
  <si>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</si>
  <si>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</si>
  <si>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</si>
  <si>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</si>
  <si>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</si>
  <si>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</si>
  <si>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</si>
  <si>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</si>
  <si>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</si>
  <si>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</si>
  <si>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</si>
  <si>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</si>
  <si>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</si>
  <si>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</si>
  <si>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</si>
  <si>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</si>
  <si>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</si>
  <si>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</si>
  <si>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</si>
  <si>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</si>
  <si>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</si>
  <si>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</si>
  <si>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</si>
  <si>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</si>
  <si>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</si>
  <si>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</si>
  <si>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</si>
  <si>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</si>
  <si>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</si>
  <si>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</si>
  <si>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</si>
  <si>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</si>
  <si>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</si>
  <si>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</si>
  <si>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</si>
  <si>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</si>
  <si>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</si>
  <si>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</si>
  <si>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</si>
  <si>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</si>
  <si>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</si>
  <si>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</si>
  <si>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</si>
  <si>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</si>
  <si>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</si>
  <si>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</si>
  <si>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</si>
  <si>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</si>
  <si>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</si>
  <si>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</si>
  <si>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</si>
  <si>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</si>
  <si>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</si>
  <si>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</si>
  <si>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</si>
  <si>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</si>
  <si>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</si>
  <si>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</si>
  <si>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</si>
  <si>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</si>
  <si>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</si>
  <si>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</si>
  <si>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</si>
  <si>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</si>
  <si>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</si>
  <si>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</si>
  <si>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</si>
  <si>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</si>
  <si>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</si>
  <si>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</si>
  <si>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</si>
  <si>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</si>
  <si>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</si>
  <si>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</si>
  <si>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</si>
  <si>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</si>
  <si>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</si>
  <si>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</si>
  <si>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</si>
  <si>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</si>
  <si>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</si>
  <si>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</si>
  <si>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</si>
  <si>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</si>
  <si>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</si>
  <si>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</si>
  <si>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</si>
  <si>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</si>
  <si>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</si>
  <si>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</si>
  <si>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</si>
  <si>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</si>
  <si>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</si>
  <si>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</si>
  <si>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</si>
  <si>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</si>
  <si>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</si>
  <si>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</si>
  <si>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</si>
  <si>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</si>
  <si>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</si>
  <si>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</si>
  <si>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</si>
  <si>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</si>
  <si>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</si>
  <si>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</si>
  <si>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</si>
  <si>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</si>
  <si>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</si>
  <si>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</si>
  <si>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</si>
  <si>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</si>
  <si>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</si>
  <si>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</si>
  <si>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</si>
  <si>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</si>
  <si>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</si>
  <si>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</si>
  <si>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</si>
  <si>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</si>
  <si>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</si>
  <si>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</si>
  <si>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</si>
  <si>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</si>
  <si>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</si>
  <si>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</si>
  <si>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</si>
  <si>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</si>
  <si>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</si>
  <si>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</si>
  <si>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</si>
  <si>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</si>
  <si>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</si>
  <si>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</si>
  <si>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</si>
  <si>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</si>
  <si>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</si>
  <si>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</si>
  <si>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</si>
  <si>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</si>
  <si>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</si>
  <si>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</si>
  <si>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</si>
  <si>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</si>
  <si>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</si>
  <si>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</si>
  <si>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</si>
  <si>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</si>
  <si>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</si>
  <si>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</si>
  <si>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</si>
  <si>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</si>
  <si>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</si>
  <si>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</si>
  <si>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</si>
  <si>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</si>
  <si>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</si>
  <si>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</si>
  <si>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</si>
  <si>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</si>
  <si>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</si>
  <si>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</si>
  <si>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</si>
  <si>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</si>
  <si>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</si>
  <si>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</si>
  <si>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</si>
  <si>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</si>
  <si>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</si>
  <si>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</si>
  <si>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</si>
  <si>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</si>
  <si>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</si>
  <si>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</si>
  <si>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</si>
  <si>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</si>
  <si>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</si>
  <si>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</si>
  <si>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</si>
  <si>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</si>
  <si>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</si>
  <si>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</si>
  <si>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</si>
  <si>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</si>
  <si>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</si>
  <si>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</si>
  <si>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</si>
  <si>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</si>
  <si>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</si>
  <si>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</si>
  <si>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</si>
  <si>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</si>
  <si>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</si>
  <si>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</si>
  <si>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</si>
  <si>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</si>
  <si>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</si>
  <si>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</si>
  <si>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</si>
  <si>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</si>
  <si>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</si>
  <si>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</si>
  <si>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</si>
  <si>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</si>
  <si>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</si>
  <si>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</si>
  <si>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</si>
  <si>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</si>
  <si>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</si>
  <si>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</si>
  <si>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</si>
  <si>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</si>
  <si>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</si>
  <si>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</si>
  <si>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</si>
  <si>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</si>
  <si>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</si>
  <si>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</si>
  <si>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</si>
  <si>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</si>
  <si>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</si>
  <si>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</si>
  <si>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</si>
  <si>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</si>
  <si>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</si>
  <si>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</si>
  <si>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</si>
  <si>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</si>
  <si>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</si>
  <si>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</si>
  <si>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</si>
  <si>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</si>
  <si>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</si>
  <si>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</si>
  <si>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</si>
  <si>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</si>
  <si>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</si>
  <si>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</si>
  <si>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</si>
  <si>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</si>
  <si>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</si>
  <si>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</si>
  <si>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</si>
  <si>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</si>
  <si>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</si>
  <si>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</si>
  <si>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</si>
  <si>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</si>
  <si>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</si>
  <si>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</si>
  <si>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</si>
  <si>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</si>
  <si>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</si>
  <si>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</si>
  <si>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</si>
  <si>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</si>
  <si>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</si>
  <si>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</si>
  <si>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</si>
  <si>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</si>
  <si>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</si>
  <si>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</si>
  <si>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</si>
  <si>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</si>
  <si>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</si>
  <si>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</si>
  <si>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</si>
  <si>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</si>
  <si>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</si>
  <si>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</si>
  <si>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</si>
  <si>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</si>
  <si>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</si>
  <si>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</si>
  <si>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</si>
  <si>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</si>
  <si>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</si>
  <si>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</si>
  <si>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</si>
  <si>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</si>
  <si>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</si>
  <si>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</si>
  <si>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</si>
  <si>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</si>
  <si>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</si>
  <si>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</si>
  <si>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</si>
  <si>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</si>
  <si>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</si>
  <si>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</si>
  <si>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</si>
  <si>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</si>
  <si>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</si>
  <si>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</si>
  <si>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</si>
  <si>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</si>
  <si>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</si>
  <si>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</si>
  <si>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</si>
  <si>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</si>
  <si>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</si>
  <si>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</si>
  <si>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</si>
  <si>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</si>
  <si>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</si>
  <si>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</si>
  <si>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</si>
  <si>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</si>
  <si>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</si>
  <si>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</si>
  <si>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</si>
  <si>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</si>
  <si>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</si>
  <si>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</si>
  <si>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</si>
  <si>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</si>
  <si>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</si>
  <si>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</si>
  <si>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</si>
  <si>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</si>
  <si>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</si>
  <si>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</si>
  <si>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</si>
  <si>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</si>
  <si>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</si>
  <si>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</si>
  <si>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</si>
  <si>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</si>
  <si>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</si>
  <si>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</si>
  <si>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</si>
  <si>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</si>
  <si>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</si>
  <si>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</si>
  <si>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</si>
  <si>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</si>
  <si>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</si>
  <si>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</si>
  <si>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</si>
  <si>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</si>
  <si>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</si>
  <si>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</si>
  <si>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</si>
  <si>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</si>
  <si>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</si>
  <si>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</si>
  <si>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</si>
  <si>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</si>
  <si>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</si>
  <si>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</si>
  <si>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</si>
  <si>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</si>
  <si>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</si>
  <si>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</si>
  <si>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</si>
  <si>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</si>
  <si>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</si>
  <si>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</si>
  <si>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</si>
  <si>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</si>
  <si>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</si>
  <si>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</si>
  <si>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</si>
  <si>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</si>
  <si>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</si>
  <si>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</si>
  <si>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</si>
  <si>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</si>
  <si>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</si>
  <si>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</si>
  <si>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</si>
  <si>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</si>
  <si>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</si>
  <si>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</si>
  <si>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</si>
  <si>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</si>
  <si>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</si>
  <si>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</si>
  <si>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</si>
  <si>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</si>
  <si>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</si>
  <si>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</si>
  <si>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</si>
  <si>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</si>
  <si>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</si>
  <si>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</si>
  <si>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</si>
  <si>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</si>
  <si>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</si>
  <si>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</si>
  <si>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</si>
  <si>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</si>
  <si>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</si>
  <si>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</si>
  <si>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</si>
  <si>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</si>
  <si>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</si>
  <si>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</si>
  <si>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</si>
  <si>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</si>
  <si>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</si>
  <si>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</si>
  <si>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</si>
  <si>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</si>
  <si>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</si>
  <si>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</si>
  <si>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</si>
  <si>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</si>
  <si>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</si>
  <si>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</si>
  <si>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</si>
  <si>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</si>
  <si>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</si>
  <si>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</si>
  <si>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</si>
  <si>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</si>
  <si>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</si>
  <si>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</si>
  <si>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</si>
  <si>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</si>
  <si>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</si>
  <si>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</si>
  <si>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</si>
  <si>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</si>
  <si>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</si>
  <si>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</si>
  <si>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</si>
  <si>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</si>
  <si>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</si>
  <si>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</si>
  <si>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</si>
  <si>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</si>
  <si>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</si>
  <si>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</si>
  <si>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</si>
  <si>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</si>
  <si>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</si>
  <si>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</si>
  <si>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</si>
  <si>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</si>
  <si>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</si>
  <si>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</si>
  <si>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</si>
  <si>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</si>
  <si>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</si>
  <si>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</si>
  <si>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</si>
  <si>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</si>
  <si>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</si>
  <si>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</si>
  <si>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</si>
  <si>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</si>
  <si>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</si>
  <si>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</si>
  <si>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</si>
  <si>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</si>
  <si>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</si>
  <si>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</si>
  <si>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</si>
  <si>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</si>
  <si>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</si>
  <si>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</si>
  <si>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</si>
  <si>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</si>
  <si>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</si>
  <si>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</si>
  <si>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</si>
  <si>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</si>
  <si>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</si>
  <si>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</si>
  <si>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</si>
  <si>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</si>
  <si>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</si>
  <si>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</si>
  <si>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</si>
  <si>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</si>
  <si>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</si>
  <si>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</si>
  <si>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</si>
  <si>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</si>
  <si>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</si>
  <si>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</si>
  <si>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</si>
  <si>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</si>
  <si>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</si>
  <si>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</si>
  <si>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</si>
  <si>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</si>
  <si>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</si>
  <si>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</si>
  <si>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</si>
  <si>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</si>
  <si>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</si>
  <si>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</si>
  <si>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</si>
  <si>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</si>
  <si>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</si>
  <si>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</si>
  <si>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</si>
  <si>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</si>
  <si>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</si>
  <si>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</si>
  <si>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</si>
  <si>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</si>
  <si>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</si>
  <si>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</si>
  <si>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</si>
  <si>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</si>
  <si>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</si>
  <si>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</si>
  <si>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</si>
  <si>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</si>
  <si>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</si>
  <si>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</si>
  <si>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</si>
  <si>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</si>
  <si>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</si>
  <si>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</si>
  <si>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</si>
  <si>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</si>
  <si>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</si>
  <si>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</si>
  <si>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</si>
  <si>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</si>
  <si>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</si>
  <si>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</si>
  <si>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</si>
  <si>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</si>
  <si>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</si>
  <si>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</si>
  <si>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</si>
  <si>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</si>
  <si>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</si>
  <si>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</si>
  <si>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</si>
  <si>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</si>
  <si>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</si>
  <si>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</si>
  <si>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</si>
  <si>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</si>
  <si>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</si>
  <si>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</si>
  <si>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</si>
  <si>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</si>
  <si>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</si>
  <si>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</si>
  <si>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</si>
  <si>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</si>
  <si>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</si>
  <si>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</si>
  <si>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</si>
  <si>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</si>
  <si>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</si>
  <si>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</si>
  <si>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</si>
  <si>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</si>
  <si>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</si>
  <si>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</si>
  <si>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</si>
  <si>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</si>
  <si>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</si>
  <si>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</si>
  <si>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</si>
  <si>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</si>
  <si>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</si>
  <si>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</si>
  <si>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</si>
  <si>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</si>
  <si>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</si>
  <si>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</si>
  <si>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</si>
  <si>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</si>
  <si>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</si>
  <si>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</si>
  <si>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</si>
  <si>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</si>
  <si>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</si>
  <si>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</si>
  <si>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</si>
  <si>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</si>
  <si>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</si>
  <si>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</si>
  <si>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</si>
  <si>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</si>
  <si>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</si>
  <si>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</si>
  <si>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</si>
  <si>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</si>
  <si>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</si>
  <si>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</si>
  <si>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</si>
  <si>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</si>
  <si>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</si>
  <si>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</si>
  <si>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</si>
  <si>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</si>
  <si>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</si>
  <si>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</si>
  <si>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</si>
  <si>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</si>
  <si>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</si>
  <si>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</si>
  <si>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</si>
  <si>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</si>
  <si>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</si>
  <si>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</si>
  <si>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</si>
  <si>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</si>
  <si>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</si>
  <si>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</si>
  <si>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</si>
  <si>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</si>
  <si>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</si>
  <si>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</si>
  <si>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</si>
  <si>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</si>
  <si>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</si>
  <si>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</si>
  <si>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</si>
  <si>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</si>
  <si>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</si>
  <si>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</si>
  <si>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</si>
  <si>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</si>
  <si>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</si>
  <si>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</si>
  <si>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</si>
  <si>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</si>
  <si>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</si>
  <si>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</si>
  <si>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</si>
  <si>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</si>
  <si>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</si>
  <si>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</si>
  <si>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</si>
  <si>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</si>
  <si>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</si>
  <si>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</si>
  <si>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</si>
  <si>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</si>
  <si>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</si>
  <si>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</si>
  <si>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</si>
  <si>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</si>
  <si>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</si>
  <si>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</si>
  <si>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</si>
  <si>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</si>
  <si>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</si>
  <si>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</si>
  <si>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</si>
  <si>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</si>
  <si>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</si>
  <si>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</si>
  <si>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</si>
  <si>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</si>
  <si>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</si>
  <si>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</si>
  <si>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</si>
  <si>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</si>
  <si>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</si>
  <si>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</si>
  <si>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</si>
  <si>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</si>
  <si>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</si>
  <si>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</si>
  <si>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</si>
  <si>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</si>
  <si>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</si>
  <si>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</si>
  <si>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</si>
  <si>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</si>
  <si>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</si>
  <si>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</si>
  <si>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</si>
  <si>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</si>
  <si>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</si>
  <si>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</si>
  <si>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</si>
  <si>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</si>
  <si>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</si>
  <si>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</si>
  <si>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</si>
  <si>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</si>
  <si>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</si>
  <si>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</si>
  <si>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</si>
  <si>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</si>
  <si>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</si>
  <si>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</si>
  <si>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</si>
  <si>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</si>
  <si>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</si>
  <si>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</si>
  <si>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</si>
  <si>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</si>
  <si>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</si>
  <si>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</si>
  <si>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</si>
  <si>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</si>
  <si>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</si>
  <si>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</si>
  <si>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</si>
  <si>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</si>
  <si>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</si>
  <si>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</si>
  <si>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</si>
  <si>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</si>
  <si>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</si>
  <si>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</si>
  <si>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</si>
  <si>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</si>
  <si>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</si>
  <si>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</si>
  <si>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</si>
  <si>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</si>
  <si>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</si>
  <si>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</si>
  <si>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</si>
  <si>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</si>
  <si>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</si>
  <si>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</si>
  <si>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</si>
  <si>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</si>
  <si>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</si>
  <si>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</si>
  <si>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</si>
  <si>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</si>
  <si>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</si>
  <si>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</si>
  <si>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</si>
  <si>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</si>
  <si>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</si>
  <si>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</si>
  <si>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</si>
  <si>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</si>
  <si>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</si>
  <si>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</si>
  <si>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</si>
  <si>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</si>
  <si>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</si>
  <si>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</si>
  <si>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</si>
  <si>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</si>
  <si>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</si>
  <si>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</si>
  <si>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</si>
  <si>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</si>
  <si>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</si>
  <si>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</si>
  <si>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</si>
  <si>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</si>
  <si>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</si>
  <si>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</si>
  <si>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</si>
  <si>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</si>
  <si>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</si>
  <si>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</si>
  <si>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</si>
  <si>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</si>
  <si>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</si>
  <si>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</si>
  <si>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</si>
  <si>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</si>
  <si>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</si>
  <si>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</si>
  <si>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</si>
  <si>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</si>
  <si>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</si>
  <si>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</si>
  <si>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</si>
  <si>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</si>
  <si>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</si>
  <si>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</si>
  <si>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</si>
  <si>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</si>
  <si>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</si>
  <si>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</si>
  <si>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</si>
  <si>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</si>
  <si>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</si>
  <si>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</si>
  <si>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</si>
  <si>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</si>
  <si>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</si>
  <si>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</si>
  <si>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</si>
  <si>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</si>
  <si>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</si>
  <si>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</si>
  <si>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</si>
  <si>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</si>
  <si>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</si>
  <si>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</si>
  <si>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</si>
  <si>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</si>
  <si>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</si>
  <si>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</si>
  <si>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</si>
  <si>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</si>
  <si>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</si>
  <si>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</si>
  <si>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</si>
  <si>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</si>
  <si>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</si>
  <si>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</si>
  <si>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</si>
  <si>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</si>
  <si>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</si>
  <si>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</si>
  <si>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</si>
  <si>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</si>
  <si>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</si>
  <si>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</si>
  <si>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</si>
  <si>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</si>
  <si>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</si>
  <si>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</si>
  <si>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</si>
  <si>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</si>
  <si>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</si>
  <si>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</si>
  <si>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</si>
  <si>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</si>
  <si>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</si>
  <si>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</si>
  <si>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</si>
  <si>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</si>
  <si>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</si>
  <si>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</si>
  <si>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</si>
  <si>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</si>
  <si>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</si>
  <si>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</si>
  <si>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</si>
  <si>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</si>
  <si>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</si>
  <si>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</si>
  <si>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</si>
  <si>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</si>
  <si>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</si>
  <si>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</si>
  <si>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</si>
  <si>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</si>
  <si>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</si>
  <si>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</si>
  <si>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</si>
  <si>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</si>
  <si>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</si>
  <si>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</si>
  <si>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</si>
  <si>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</si>
  <si>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</si>
  <si>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</si>
  <si>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</si>
  <si>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</si>
  <si>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</si>
  <si>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</si>
  <si>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</si>
  <si>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</si>
  <si>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</si>
  <si>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</si>
  <si>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</si>
  <si>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</si>
  <si>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</si>
  <si>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</si>
  <si>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</si>
  <si>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</si>
  <si>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</si>
  <si>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</si>
  <si>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</si>
  <si>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</si>
  <si>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</si>
  <si>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</si>
  <si>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</si>
  <si>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</si>
  <si>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</si>
  <si>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</si>
  <si>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</si>
  <si>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</si>
  <si>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</si>
  <si>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</si>
  <si>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</si>
  <si>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</si>
  <si>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</si>
  <si>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</si>
  <si>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</si>
  <si>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</si>
  <si>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</si>
  <si>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</si>
  <si>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</si>
  <si>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</si>
  <si>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</si>
  <si>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</si>
  <si>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</si>
  <si>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</si>
  <si>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</si>
  <si>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</si>
  <si>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</si>
  <si>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</si>
  <si>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</si>
  <si>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</si>
  <si>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</si>
  <si>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</si>
  <si>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</si>
  <si>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</si>
  <si>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</si>
  <si>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</si>
  <si>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</si>
  <si>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</si>
  <si>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</si>
  <si>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</si>
  <si>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</si>
  <si>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</si>
  <si>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</si>
  <si>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</si>
  <si>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</si>
  <si>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</si>
  <si>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</si>
  <si>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</si>
  <si>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</si>
  <si>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</si>
  <si>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</si>
  <si>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</si>
  <si>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</si>
  <si>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</si>
  <si>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</si>
  <si>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</si>
  <si>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</si>
  <si>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</si>
  <si>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</si>
  <si>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</si>
  <si>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</si>
  <si>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</si>
  <si>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</si>
  <si>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</si>
  <si>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</si>
  <si>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</si>
  <si>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</si>
  <si>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</si>
  <si>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</si>
  <si>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</si>
  <si>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</si>
  <si>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</si>
  <si>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</si>
  <si>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</si>
  <si>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</si>
  <si>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</si>
  <si>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</si>
  <si>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</si>
  <si>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</si>
  <si>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</si>
  <si>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</si>
  <si>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</si>
  <si>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</si>
  <si>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</si>
  <si>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</si>
  <si>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</si>
  <si>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</si>
  <si>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</si>
  <si>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</si>
  <si>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</si>
  <si>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</si>
  <si>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</si>
  <si>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</si>
  <si>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</si>
  <si>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</si>
  <si>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</si>
  <si>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</si>
  <si>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</si>
  <si>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</si>
  <si>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</si>
  <si>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</si>
  <si>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</si>
  <si>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</si>
  <si>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</si>
  <si>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</si>
  <si>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</si>
  <si>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</si>
  <si>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</si>
  <si>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</si>
  <si>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</si>
  <si>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</si>
  <si>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</si>
  <si>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</si>
  <si>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</si>
  <si>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</si>
  <si>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</si>
  <si>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</si>
  <si>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</si>
  <si>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</si>
  <si>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</si>
  <si>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</si>
  <si>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</si>
  <si>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</si>
  <si>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</si>
  <si>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</si>
  <si>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</si>
  <si>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</si>
  <si>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</si>
  <si>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</si>
  <si>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</si>
  <si>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</si>
  <si>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</si>
  <si>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</si>
  <si>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</si>
  <si>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</si>
  <si>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</si>
  <si>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</si>
  <si>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</si>
  <si>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</si>
  <si>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</si>
  <si>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</si>
  <si>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</si>
  <si>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</si>
  <si>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</si>
  <si>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</si>
  <si>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</si>
  <si>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</si>
  <si>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</si>
  <si>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</si>
  <si>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</si>
  <si>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</si>
  <si>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</si>
  <si>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</si>
  <si>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</si>
  <si>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</si>
  <si>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</si>
  <si>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</si>
  <si>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</si>
  <si>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</si>
  <si>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</si>
  <si>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</si>
  <si>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</si>
  <si>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</si>
  <si>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</si>
  <si>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</si>
  <si>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</si>
  <si>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</si>
  <si>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</si>
  <si>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</si>
  <si>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</si>
  <si>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</si>
  <si>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</si>
  <si>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</si>
  <si>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</si>
  <si>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</si>
  <si>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</si>
  <si>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</si>
  <si>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</si>
  <si>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</si>
  <si>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</si>
  <si>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</si>
  <si>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</si>
  <si>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</si>
  <si>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</si>
  <si>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</si>
  <si>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</si>
  <si>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</si>
  <si>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</si>
  <si>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</si>
  <si>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</si>
  <si>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</si>
  <si>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</si>
  <si>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</si>
  <si>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</si>
  <si>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</si>
  <si>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</si>
  <si>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</si>
  <si>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</si>
  <si>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</si>
  <si>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</si>
  <si>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</si>
  <si>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</si>
  <si>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</si>
  <si>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</si>
  <si>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</si>
  <si>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</si>
  <si>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</si>
  <si>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</si>
  <si>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</si>
  <si>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</si>
  <si>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</si>
  <si>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</si>
  <si>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</si>
  <si>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</si>
  <si>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</si>
  <si>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</si>
  <si>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</si>
  <si>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</si>
  <si>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</si>
  <si>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</si>
  <si>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</si>
  <si>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</si>
  <si>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</si>
  <si>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</si>
  <si>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</si>
  <si>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</si>
  <si>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</si>
  <si>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</si>
  <si>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</si>
  <si>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</si>
  <si>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</si>
  <si>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</si>
  <si>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</si>
  <si>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</si>
  <si>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</si>
  <si>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</si>
  <si>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</si>
  <si>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</si>
  <si>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</si>
  <si>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</si>
  <si>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</si>
  <si>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</si>
  <si>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</si>
  <si>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</si>
  <si>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</si>
  <si>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</si>
  <si>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</si>
  <si>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</si>
  <si>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</si>
  <si>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</si>
  <si>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</si>
  <si>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</si>
  <si>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</si>
  <si>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</si>
  <si>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</si>
  <si>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</si>
  <si>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</si>
  <si>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</si>
  <si>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</si>
  <si>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</si>
  <si>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</si>
  <si>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</si>
  <si>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</si>
  <si>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</si>
  <si>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</si>
  <si>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</si>
  <si>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</si>
  <si>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</si>
  <si>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</si>
  <si>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</si>
  <si>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</si>
  <si>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</si>
  <si>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</si>
  <si>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</si>
  <si>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</si>
  <si>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</si>
  <si>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</si>
  <si>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</si>
  <si>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</si>
  <si>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</si>
  <si>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</si>
  <si>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</si>
  <si>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</si>
  <si>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</si>
  <si>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</si>
  <si>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</si>
  <si>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</si>
  <si>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</si>
  <si>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</si>
  <si>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</si>
  <si>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</si>
  <si>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</si>
  <si>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</si>
  <si>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</si>
  <si>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</si>
  <si>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</si>
  <si>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</si>
  <si>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</si>
  <si>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</si>
  <si>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</si>
  <si>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</si>
  <si>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</si>
  <si>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</si>
  <si>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</si>
  <si>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</si>
  <si>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</si>
  <si>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</si>
  <si>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</si>
  <si>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</si>
  <si>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</si>
  <si>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</si>
  <si>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</si>
  <si>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</si>
  <si>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</si>
  <si>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</si>
  <si>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</si>
  <si>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</si>
  <si>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</si>
  <si>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</si>
  <si>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</si>
  <si>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</si>
  <si>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</si>
  <si>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</si>
  <si>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</si>
  <si>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</si>
  <si>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</si>
  <si>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</si>
  <si>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</si>
  <si>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</si>
  <si>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</si>
  <si>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</si>
  <si>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</si>
  <si>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</si>
  <si>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</si>
  <si>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</si>
  <si>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</si>
  <si>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</si>
  <si>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</si>
  <si>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</si>
  <si>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</si>
  <si>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</si>
  <si>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</si>
  <si>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</si>
  <si>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</si>
  <si>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</si>
  <si>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</si>
  <si>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</si>
  <si>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</si>
  <si>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</si>
  <si>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</si>
  <si>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</si>
  <si>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</si>
  <si>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</si>
  <si>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</si>
  <si>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</si>
  <si>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</si>
  <si>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</si>
  <si>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</si>
  <si>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</si>
  <si>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</si>
  <si>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</si>
  <si>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</si>
  <si>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</si>
  <si>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</si>
  <si>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</si>
  <si>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</si>
  <si>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</si>
  <si>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</si>
  <si>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</si>
  <si>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</si>
  <si>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</si>
  <si>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</si>
  <si>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</si>
  <si>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</si>
  <si>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</si>
  <si>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</si>
  <si>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</si>
  <si>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</si>
  <si>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</si>
  <si>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</si>
  <si>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</si>
  <si>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</si>
  <si>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</si>
  <si>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</si>
  <si>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</si>
  <si>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</si>
  <si>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</si>
  <si>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</si>
  <si>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</si>
  <si>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</si>
  <si>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</si>
  <si>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</si>
  <si>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</si>
  <si>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</si>
  <si>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</si>
  <si>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</si>
  <si>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</si>
  <si>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</si>
  <si>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</si>
  <si>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</si>
  <si>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</si>
  <si>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</si>
  <si>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</si>
  <si>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</si>
  <si>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</si>
  <si>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</si>
  <si>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</si>
  <si>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</si>
  <si>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</si>
  <si>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</si>
  <si>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</si>
  <si>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</si>
  <si>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</si>
  <si>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</si>
  <si>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</si>
  <si>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</si>
  <si>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</si>
  <si>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</si>
  <si>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</si>
  <si>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</si>
  <si>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</si>
  <si>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</si>
  <si>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</si>
  <si>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</si>
  <si>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</si>
  <si>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</si>
  <si>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</si>
  <si>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</si>
  <si>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</si>
  <si>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</si>
  <si>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</si>
  <si>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</si>
  <si>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</si>
  <si>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</si>
  <si>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</si>
  <si>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</si>
  <si>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</si>
  <si>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</si>
  <si>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</si>
  <si>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</si>
  <si>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</si>
  <si>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</si>
  <si>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</si>
  <si>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</si>
  <si>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</si>
  <si>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</si>
  <si>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</si>
  <si>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</si>
  <si>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</si>
  <si>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</si>
  <si>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</si>
  <si>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</si>
  <si>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</si>
  <si>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</si>
  <si>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</si>
  <si>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</si>
  <si>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</si>
  <si>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</si>
  <si>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</si>
  <si>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</si>
  <si>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</si>
  <si>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</si>
  <si>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</si>
  <si>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</si>
  <si>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</si>
  <si>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</si>
  <si>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</si>
  <si>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</si>
  <si>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</si>
  <si>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</si>
  <si>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</si>
  <si>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</si>
  <si>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</si>
  <si>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</si>
  <si>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</si>
  <si>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</si>
  <si>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</si>
  <si>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</si>
  <si>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</si>
  <si>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</si>
  <si>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</si>
  <si>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</si>
  <si>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</si>
  <si>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</si>
  <si>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</si>
  <si>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</si>
  <si>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</si>
  <si>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</si>
  <si>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</si>
  <si>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</si>
  <si>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</si>
  <si>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</si>
  <si>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</si>
  <si>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</si>
  <si>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</si>
  <si>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</si>
  <si>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</si>
  <si>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</si>
  <si>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</si>
  <si>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</si>
  <si>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</si>
  <si>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</si>
  <si>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</si>
  <si>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</si>
  <si>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</si>
  <si>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</si>
  <si>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</si>
  <si>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</si>
  <si>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</si>
  <si>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</si>
  <si>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</si>
  <si>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</si>
  <si>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</si>
  <si>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</si>
  <si>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</si>
  <si>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</si>
  <si>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</si>
  <si>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</si>
  <si>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</si>
  <si>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</si>
  <si>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</si>
  <si>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</si>
  <si>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</si>
  <si>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</si>
  <si>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</si>
  <si>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</si>
  <si>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</si>
  <si>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</si>
  <si>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</si>
  <si>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</si>
  <si>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</si>
  <si>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</si>
  <si>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</si>
  <si>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</si>
  <si>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</si>
  <si>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</si>
  <si>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</si>
  <si>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</si>
  <si>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</si>
  <si>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</si>
  <si>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</si>
  <si>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</si>
  <si>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</si>
  <si>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</si>
  <si>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</si>
  <si>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</si>
  <si>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</si>
  <si>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</si>
  <si>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</si>
  <si>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</si>
  <si>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</si>
  <si>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</si>
  <si>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</si>
  <si>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</si>
  <si>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</si>
  <si>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</si>
  <si>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</si>
  <si>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</si>
  <si>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</si>
  <si>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</si>
  <si>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</si>
  <si>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</si>
  <si>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</si>
  <si>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</si>
  <si>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</si>
  <si>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</si>
  <si>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</si>
  <si>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</si>
  <si>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</si>
  <si>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</si>
  <si>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</si>
  <si>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</si>
  <si>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</si>
  <si>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</si>
  <si>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</si>
  <si>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</si>
  <si>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</si>
  <si>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</si>
  <si>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</si>
  <si>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</si>
  <si>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</si>
  <si>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</si>
  <si>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</si>
  <si>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</si>
  <si>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</si>
  <si>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</si>
  <si>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</si>
  <si>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</si>
  <si>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</si>
  <si>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</si>
  <si>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</si>
  <si>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</si>
  <si>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</si>
  <si>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</si>
  <si>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</si>
  <si>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</si>
  <si>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</si>
  <si>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</si>
  <si>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</si>
  <si>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</si>
  <si>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</si>
  <si>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</si>
  <si>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</si>
  <si>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</si>
  <si>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</si>
  <si>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</si>
  <si>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</si>
  <si>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</si>
  <si>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</si>
  <si>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</si>
  <si>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</si>
  <si>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</si>
  <si>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</si>
  <si>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</si>
  <si>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</si>
  <si>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</si>
  <si>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</si>
  <si>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</si>
  <si>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</si>
  <si>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</si>
  <si>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</si>
  <si>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</si>
  <si>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</si>
  <si>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</si>
  <si>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</si>
  <si>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</si>
  <si>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</si>
  <si>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</si>
  <si>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</si>
  <si>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</si>
  <si>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</si>
  <si>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</si>
  <si>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</si>
  <si>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</si>
  <si>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</si>
  <si>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</si>
  <si>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</si>
  <si>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</si>
  <si>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</si>
  <si>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</si>
  <si>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</si>
  <si>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</si>
  <si>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</si>
  <si>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</si>
  <si>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</si>
  <si>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</si>
  <si>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</si>
  <si>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</si>
  <si>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</si>
  <si>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</si>
  <si>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</si>
  <si>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</si>
  <si>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</si>
  <si>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</si>
  <si>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</si>
  <si>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</si>
  <si>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</si>
  <si>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</si>
  <si>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</si>
  <si>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</si>
  <si>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</si>
  <si>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</si>
  <si>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</si>
  <si>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</si>
  <si>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</si>
  <si>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</si>
  <si>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</si>
  <si>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</si>
  <si>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</si>
  <si>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</si>
  <si>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</si>
  <si>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</si>
  <si>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</si>
  <si>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</si>
  <si>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</si>
  <si>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</si>
  <si>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</si>
  <si>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</si>
  <si>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</si>
  <si>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</si>
  <si>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</si>
  <si>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</si>
  <si>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</si>
  <si>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</si>
  <si>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</si>
  <si>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</si>
  <si>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TINO</t>
  </si>
  <si>
    <t>Customer name</t>
  </si>
  <si>
    <t>FAILED</t>
  </si>
  <si>
    <t>Button Save Tidak Berfungsi</t>
  </si>
  <si>
    <t>Mandatory tidak lengkap</t>
  </si>
  <si>
    <t>Add Asset</t>
  </si>
  <si>
    <t>Mobil;Motor</t>
  </si>
  <si>
    <t>;</t>
  </si>
  <si>
    <t>100000000;12000000</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</si>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</sst>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ont="1" applyFill="1" applyBorder="1"/>
    <xf numFmtId="0" fontId="0" fillId="9" borderId="0" xfId="0" applyFont="1"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6.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C1" sqref="C1"/>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4070</v>
      </c>
      <c r="C1" s="1" t="s">
        <v>3292</v>
      </c>
      <c r="D1" s="1" t="s">
        <v>3292</v>
      </c>
      <c r="E1" s="1" t="s">
        <v>3292</v>
      </c>
    </row>
    <row r="2" spans="1:11" s="1" customFormat="1" x14ac:dyDescent="0.25">
      <c r="A2" s="1" t="s">
        <v>4158</v>
      </c>
    </row>
    <row r="3" spans="1:11" s="1" customFormat="1" x14ac:dyDescent="0.25">
      <c r="A3" s="1" t="s">
        <v>4159</v>
      </c>
      <c r="B3" t="s">
        <v>4245</v>
      </c>
    </row>
    <row r="4" spans="1:11" s="1" customFormat="1" x14ac:dyDescent="0.25">
      <c r="A4" s="1" t="s">
        <v>4184</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4185</v>
      </c>
      <c r="B18" s="1" t="s">
        <v>5</v>
      </c>
      <c r="C18" s="1" t="s">
        <v>5</v>
      </c>
      <c r="D18" s="1" t="s">
        <v>5</v>
      </c>
      <c r="E18" s="1" t="s">
        <v>5</v>
      </c>
    </row>
    <row r="19" spans="1:11" s="1" customFormat="1" x14ac:dyDescent="0.25">
      <c r="A19" s="1" t="s">
        <v>4186</v>
      </c>
      <c r="B19" s="1" t="s">
        <v>5</v>
      </c>
      <c r="C19" s="1" t="s">
        <v>5</v>
      </c>
      <c r="D19" s="1" t="s">
        <v>5</v>
      </c>
      <c r="E19" s="1" t="s">
        <v>5</v>
      </c>
    </row>
    <row r="20" spans="1:11" s="1" customFormat="1" x14ac:dyDescent="0.25">
      <c r="A20" s="1" t="s">
        <v>4187</v>
      </c>
      <c r="B20" s="1" t="s">
        <v>5</v>
      </c>
      <c r="C20" s="1" t="s">
        <v>5</v>
      </c>
      <c r="D20" s="1" t="s">
        <v>5</v>
      </c>
      <c r="E20" s="1" t="s">
        <v>5</v>
      </c>
    </row>
    <row r="21" spans="1:11" s="1" customFormat="1" x14ac:dyDescent="0.25">
      <c r="A21" s="1" t="s">
        <v>7</v>
      </c>
    </row>
    <row r="22" spans="1:11" s="1" customFormat="1" x14ac:dyDescent="0.25">
      <c r="A22" s="37" t="s">
        <v>4177</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4178</v>
      </c>
      <c r="B25" s="1" t="s">
        <v>11</v>
      </c>
      <c r="C25" s="1" t="s">
        <v>11</v>
      </c>
      <c r="D25" s="1" t="s">
        <v>11</v>
      </c>
      <c r="E25" s="1" t="s">
        <v>11</v>
      </c>
    </row>
    <row r="26" spans="1:11" s="1" customFormat="1" x14ac:dyDescent="0.25">
      <c r="A26" s="38" t="s">
        <v>4179</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4180</v>
      </c>
      <c r="B27" s="2" t="s">
        <v>3581</v>
      </c>
      <c r="C27" s="2" t="s">
        <v>3581</v>
      </c>
      <c r="D27" s="2" t="s">
        <v>3581</v>
      </c>
      <c r="E27" s="2" t="s">
        <v>3581</v>
      </c>
      <c r="F27" s="2"/>
      <c r="G27" s="2"/>
      <c r="H27" s="2"/>
      <c r="I27" s="2"/>
      <c r="J27" s="2"/>
      <c r="K27" s="2"/>
    </row>
    <row r="28" spans="1:11" s="1" customFormat="1" x14ac:dyDescent="0.25">
      <c r="A28" s="37" t="s">
        <v>4181</v>
      </c>
      <c r="B28" s="1" t="s">
        <v>4115</v>
      </c>
      <c r="C28" s="1" t="s">
        <v>4160</v>
      </c>
      <c r="D28" s="1" t="s">
        <v>4161</v>
      </c>
      <c r="E28" s="1" t="s">
        <v>4162</v>
      </c>
    </row>
    <row r="29" spans="1:11" s="1" customFormat="1" x14ac:dyDescent="0.25">
      <c r="A29" s="37" t="s">
        <v>4182</v>
      </c>
      <c r="B29" s="1" t="s">
        <v>4110</v>
      </c>
      <c r="C29" s="1" t="s">
        <v>4110</v>
      </c>
      <c r="D29" s="1" t="s">
        <v>4110</v>
      </c>
      <c r="E29" s="1" t="s">
        <v>4110</v>
      </c>
    </row>
    <row r="30" spans="1:11" s="1" customFormat="1" x14ac:dyDescent="0.25">
      <c r="A30" s="36" t="s">
        <v>4183</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2" sqref="B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4247</v>
      </c>
      <c r="C1" t="s">
        <v>4247</v>
      </c>
      <c r="D1" s="1" t="s">
        <v>3292</v>
      </c>
      <c r="E1" s="1" t="s">
        <v>3292</v>
      </c>
    </row>
    <row r="2" spans="1:11" s="1" customFormat="1" x14ac:dyDescent="0.25">
      <c r="A2" s="1" t="s">
        <v>4158</v>
      </c>
      <c r="B2" t="s">
        <v>4248</v>
      </c>
      <c r="C2" t="s">
        <v>4249</v>
      </c>
    </row>
    <row r="3" spans="1:11" s="1" customFormat="1" x14ac:dyDescent="0.25">
      <c r="A3" s="1" t="s">
        <v>4159</v>
      </c>
    </row>
    <row r="4" spans="1:11" s="1" customFormat="1" x14ac:dyDescent="0.25">
      <c r="A4" s="1" t="s">
        <v>4184</v>
      </c>
      <c r="B4" s="1">
        <f>IF(B13="",COUNTIFS($A$12:$A$32, "*$*",B12:B32,""),0)</f>
        <v>0</v>
      </c>
      <c r="C4" s="1">
        <f>IF(C13="",COUNTIFS($A$12:$A$32, "*$*",C12:C32,""),0)</f>
        <v>2</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3567</v>
      </c>
      <c r="B9" s="1" t="str">
        <f>'1.CustomerDetail'!B12</f>
        <v>0002APP20211200164</v>
      </c>
      <c r="C9" s="1" t="str">
        <f>'1.CustomerDetail'!C12</f>
        <v>0002APP20211200164</v>
      </c>
    </row>
    <row r="10" spans="1:11" s="1" customFormat="1" x14ac:dyDescent="0.25">
      <c r="A10" s="1" t="s">
        <v>4246</v>
      </c>
      <c r="B10" s="1" t="str">
        <f>'1.CustomerDetail'!B13</f>
        <v>hendry</v>
      </c>
      <c r="C10" s="1" t="str">
        <f>'1.CustomerDetail'!C13</f>
        <v>hendry</v>
      </c>
    </row>
    <row r="11" spans="1:11" s="53" customFormat="1" x14ac:dyDescent="0.25">
      <c r="B11" s="54"/>
      <c r="C11" s="54"/>
    </row>
    <row r="12" spans="1:11" s="1" customFormat="1" x14ac:dyDescent="0.25">
      <c r="A12" s="37" t="s">
        <v>4188</v>
      </c>
      <c r="B12" s="1" t="s">
        <v>13</v>
      </c>
      <c r="C12" s="1" t="s">
        <v>13</v>
      </c>
      <c r="D12" s="1" t="s">
        <v>13</v>
      </c>
      <c r="E12" s="1" t="s">
        <v>13</v>
      </c>
    </row>
    <row r="13" spans="1:11" s="1" customFormat="1" x14ac:dyDescent="0.25">
      <c r="A13" s="1" t="s">
        <v>14</v>
      </c>
    </row>
    <row r="14" spans="1:11" s="1" customFormat="1" x14ac:dyDescent="0.25">
      <c r="A14" s="37" t="s">
        <v>4189</v>
      </c>
      <c r="B14" s="1" t="s">
        <v>16</v>
      </c>
      <c r="C14" s="1" t="s">
        <v>17</v>
      </c>
      <c r="D14" s="1" t="s">
        <v>18</v>
      </c>
      <c r="E14" s="1" t="s">
        <v>19</v>
      </c>
    </row>
    <row r="15" spans="1:11" s="1" customFormat="1" x14ac:dyDescent="0.25">
      <c r="A15" s="37" t="s">
        <v>4190</v>
      </c>
      <c r="B15" s="2">
        <v>23</v>
      </c>
      <c r="C15" s="2">
        <v>23</v>
      </c>
      <c r="D15" s="2">
        <v>23</v>
      </c>
      <c r="E15" s="2">
        <v>23</v>
      </c>
      <c r="F15" s="2"/>
      <c r="G15" s="2"/>
      <c r="H15" s="2"/>
      <c r="I15" s="2"/>
      <c r="J15" s="2"/>
      <c r="K15" s="2"/>
    </row>
    <row r="16" spans="1:11" s="1" customFormat="1" x14ac:dyDescent="0.25">
      <c r="A16" s="37" t="s">
        <v>4191</v>
      </c>
      <c r="B16" s="2">
        <v>12</v>
      </c>
      <c r="C16" s="2">
        <v>12</v>
      </c>
      <c r="D16" s="2">
        <v>12</v>
      </c>
      <c r="E16" s="2">
        <v>12</v>
      </c>
      <c r="F16" s="2"/>
      <c r="G16" s="2"/>
      <c r="H16" s="2"/>
      <c r="I16" s="2"/>
      <c r="J16" s="2"/>
      <c r="K16" s="2"/>
    </row>
    <row r="17" spans="1:11" s="1" customFormat="1" x14ac:dyDescent="0.25">
      <c r="A17" s="37" t="s">
        <v>4192</v>
      </c>
      <c r="B17" s="2">
        <v>11530</v>
      </c>
      <c r="C17" s="2">
        <v>11530</v>
      </c>
      <c r="D17" s="2">
        <v>11530</v>
      </c>
      <c r="E17" s="2">
        <v>11530</v>
      </c>
      <c r="F17" s="2"/>
      <c r="G17" s="2"/>
      <c r="H17" s="2"/>
      <c r="I17" s="2"/>
      <c r="J17" s="2"/>
      <c r="K17" s="2"/>
    </row>
    <row r="18" spans="1:11" s="1" customFormat="1" x14ac:dyDescent="0.25">
      <c r="A18" s="37" t="s">
        <v>4193</v>
      </c>
      <c r="B18" s="1" t="s">
        <v>24</v>
      </c>
      <c r="C18" s="1" t="s">
        <v>24</v>
      </c>
      <c r="D18" s="1" t="s">
        <v>24</v>
      </c>
      <c r="E18" s="1" t="s">
        <v>24</v>
      </c>
    </row>
    <row r="19" spans="1:11" s="1" customFormat="1" x14ac:dyDescent="0.25">
      <c r="A19" s="37" t="s">
        <v>4194</v>
      </c>
      <c r="B19" s="1" t="s">
        <v>24</v>
      </c>
      <c r="C19" s="1" t="s">
        <v>24</v>
      </c>
      <c r="D19" s="1" t="s">
        <v>24</v>
      </c>
      <c r="E19" s="1" t="s">
        <v>24</v>
      </c>
    </row>
    <row r="20" spans="1:11" s="1" customFormat="1" x14ac:dyDescent="0.25">
      <c r="A20" s="37" t="s">
        <v>4195</v>
      </c>
      <c r="B20" s="1" t="s">
        <v>255</v>
      </c>
      <c r="C20" s="1" t="s">
        <v>255</v>
      </c>
      <c r="D20" s="1" t="s">
        <v>255</v>
      </c>
      <c r="E20" s="1" t="s">
        <v>255</v>
      </c>
    </row>
    <row r="21" spans="1:11" s="1" customFormat="1" x14ac:dyDescent="0.25">
      <c r="A21" s="37" t="s">
        <v>4196</v>
      </c>
      <c r="B21" s="2">
        <v>8126</v>
      </c>
      <c r="C21" s="2"/>
      <c r="D21" s="2"/>
      <c r="E21" s="2"/>
      <c r="F21" s="2"/>
      <c r="G21" s="2"/>
      <c r="H21" s="2"/>
      <c r="I21" s="2"/>
      <c r="J21" s="2"/>
      <c r="K21" s="2"/>
    </row>
    <row r="22" spans="1:11" s="1" customFormat="1" x14ac:dyDescent="0.25">
      <c r="A22" s="37" t="s">
        <v>4197</v>
      </c>
      <c r="B22" s="2">
        <v>21738421</v>
      </c>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4198</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A10" sqref="A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6" customFormat="1" x14ac:dyDescent="0.25">
      <c r="A11" s="63" t="s">
        <v>4244</v>
      </c>
      <c r="B11" s="64"/>
      <c r="C11" s="64"/>
      <c r="D11" s="64"/>
      <c r="E11" s="64"/>
      <c r="F11" s="64"/>
      <c r="G11" s="64"/>
      <c r="H11" s="64"/>
      <c r="I11" s="64"/>
      <c r="J11" s="64"/>
      <c r="K11" s="65"/>
    </row>
    <row r="12" spans="1:11" s="1" customFormat="1" x14ac:dyDescent="0.25">
      <c r="A12" s="1" t="s">
        <v>4244</v>
      </c>
      <c r="B12" s="1" t="s">
        <v>4241</v>
      </c>
      <c r="C12" s="1" t="s">
        <v>4242</v>
      </c>
      <c r="D12" s="1" t="s">
        <v>4243</v>
      </c>
    </row>
    <row r="13" spans="1:11" s="66" customFormat="1" x14ac:dyDescent="0.25">
      <c r="A13" s="63" t="s">
        <v>3568</v>
      </c>
      <c r="B13" s="64"/>
      <c r="C13" s="64"/>
      <c r="D13" s="64"/>
      <c r="E13" s="64"/>
      <c r="F13" s="64"/>
      <c r="G13" s="64"/>
      <c r="H13" s="64"/>
      <c r="I13" s="64"/>
      <c r="J13" s="64"/>
      <c r="K13" s="65"/>
    </row>
    <row r="14" spans="1:11" s="1" customFormat="1" x14ac:dyDescent="0.25">
      <c r="A14" s="38" t="s">
        <v>4232</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4233</v>
      </c>
      <c r="B15" s="3" t="s">
        <v>68</v>
      </c>
      <c r="C15" s="3" t="s">
        <v>68</v>
      </c>
      <c r="D15" s="3" t="s">
        <v>68</v>
      </c>
      <c r="E15" s="3" t="s">
        <v>68</v>
      </c>
      <c r="F15" s="3"/>
      <c r="G15" s="3"/>
      <c r="H15" s="3"/>
      <c r="I15" s="3"/>
      <c r="J15" s="3"/>
      <c r="K15" s="3"/>
    </row>
    <row r="16" spans="1:11" s="1" customFormat="1" x14ac:dyDescent="0.25">
      <c r="A16" s="37" t="s">
        <v>4234</v>
      </c>
      <c r="B16" s="3" t="s">
        <v>268</v>
      </c>
      <c r="C16" s="3" t="s">
        <v>268</v>
      </c>
      <c r="D16" s="3" t="s">
        <v>268</v>
      </c>
      <c r="E16" s="3" t="s">
        <v>268</v>
      </c>
      <c r="F16" s="3"/>
      <c r="G16" s="3"/>
      <c r="H16" s="3"/>
      <c r="I16" s="3"/>
      <c r="J16" s="3"/>
      <c r="K16" s="3"/>
    </row>
    <row r="17" spans="1:11" s="1" customFormat="1" x14ac:dyDescent="0.25">
      <c r="A17" s="37" t="s">
        <v>4235</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4236</v>
      </c>
      <c r="B20" s="1" t="s">
        <v>38</v>
      </c>
      <c r="C20" s="1" t="s">
        <v>38</v>
      </c>
      <c r="D20" s="1" t="s">
        <v>38</v>
      </c>
      <c r="E20" s="1" t="s">
        <v>38</v>
      </c>
    </row>
    <row r="21" spans="1:11" s="1" customFormat="1" x14ac:dyDescent="0.25">
      <c r="A21" s="38" t="s">
        <v>4237</v>
      </c>
      <c r="B21" s="1" t="str">
        <f>VLOOKUP(B22,Master!$AW:$AX,2,FALSE)</f>
        <v>1111</v>
      </c>
      <c r="C21" s="1" t="e">
        <f>VLOOKUP(C22,Master!$AW:$AX,2,FALSE)</f>
        <v>#N/A</v>
      </c>
      <c r="D21" s="1" t="e">
        <f>VLOOKUP(D22,Master!$AW:$AX,2,FALSE)</f>
        <v>#N/A</v>
      </c>
      <c r="E21" s="1" t="e">
        <f>VLOOKUP(E22,Master!$AW:$AX,2,FALSE)</f>
        <v>#N/A</v>
      </c>
    </row>
    <row r="22" spans="1:11" s="1" customFormat="1" x14ac:dyDescent="0.25">
      <c r="A22" s="37" t="s">
        <v>4238</v>
      </c>
      <c r="B22" s="1" t="s">
        <v>3329</v>
      </c>
      <c r="C22" s="1" t="s">
        <v>4163</v>
      </c>
      <c r="D22" s="1" t="s">
        <v>4164</v>
      </c>
      <c r="E22" s="1" t="s">
        <v>4165</v>
      </c>
    </row>
    <row r="23" spans="1:11" s="1" customFormat="1" x14ac:dyDescent="0.25">
      <c r="A23" s="1" t="s">
        <v>39</v>
      </c>
    </row>
    <row r="24" spans="1:11" s="1" customFormat="1" x14ac:dyDescent="0.25">
      <c r="A24" s="37" t="s">
        <v>4239</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4232</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4233</v>
      </c>
      <c r="B39" s="3" t="s">
        <v>4080</v>
      </c>
      <c r="C39" s="3" t="s">
        <v>4080</v>
      </c>
      <c r="D39" s="3" t="s">
        <v>4080</v>
      </c>
      <c r="E39" s="3" t="s">
        <v>4080</v>
      </c>
    </row>
    <row r="40" spans="1:5" s="1" customFormat="1" x14ac:dyDescent="0.25">
      <c r="A40" s="1" t="s">
        <v>4240</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4189</v>
      </c>
      <c r="B55" s="1" t="s">
        <v>4116</v>
      </c>
      <c r="C55" s="1" t="s">
        <v>4166</v>
      </c>
      <c r="D55" s="1" t="s">
        <v>4167</v>
      </c>
      <c r="E55" s="1" t="s">
        <v>4168</v>
      </c>
    </row>
    <row r="56" spans="1:11" s="1" customFormat="1" x14ac:dyDescent="0.25">
      <c r="A56" s="37" t="s">
        <v>4190</v>
      </c>
      <c r="B56" s="3" t="s">
        <v>62</v>
      </c>
      <c r="C56" s="3" t="s">
        <v>62</v>
      </c>
      <c r="D56" s="3" t="s">
        <v>62</v>
      </c>
      <c r="E56" s="3" t="s">
        <v>62</v>
      </c>
      <c r="F56" s="2"/>
      <c r="G56" s="2"/>
      <c r="H56" s="2"/>
      <c r="I56" s="2"/>
      <c r="J56" s="2"/>
      <c r="K56" s="2"/>
    </row>
    <row r="57" spans="1:11" s="1" customFormat="1" x14ac:dyDescent="0.25">
      <c r="A57" s="37" t="s">
        <v>4191</v>
      </c>
      <c r="B57" s="3" t="s">
        <v>63</v>
      </c>
      <c r="C57" s="3" t="s">
        <v>63</v>
      </c>
      <c r="D57" s="3" t="s">
        <v>63</v>
      </c>
      <c r="E57" s="3" t="s">
        <v>63</v>
      </c>
      <c r="F57" s="2"/>
      <c r="G57" s="2"/>
      <c r="H57" s="2"/>
      <c r="I57" s="2"/>
      <c r="J57" s="2"/>
      <c r="K57" s="2"/>
    </row>
    <row r="58" spans="1:11" s="1" customFormat="1" x14ac:dyDescent="0.25">
      <c r="A58" s="37" t="s">
        <v>4192</v>
      </c>
      <c r="B58" s="1">
        <v>25584</v>
      </c>
      <c r="C58" s="1">
        <v>25585</v>
      </c>
      <c r="D58" s="1">
        <v>25586</v>
      </c>
      <c r="E58" s="1">
        <v>25587</v>
      </c>
      <c r="F58" s="2"/>
      <c r="G58" s="2"/>
      <c r="H58" s="2"/>
      <c r="I58" s="2"/>
      <c r="J58" s="2"/>
      <c r="K58" s="2"/>
    </row>
    <row r="59" spans="1:11" s="1" customFormat="1" x14ac:dyDescent="0.25">
      <c r="A59" s="37" t="s">
        <v>4194</v>
      </c>
      <c r="B59" s="1" t="s">
        <v>4112</v>
      </c>
      <c r="C59" s="1" t="s">
        <v>4112</v>
      </c>
      <c r="D59" s="1" t="s">
        <v>4112</v>
      </c>
      <c r="E59" s="1" t="s">
        <v>4112</v>
      </c>
    </row>
    <row r="60" spans="1:11" s="1" customFormat="1" x14ac:dyDescent="0.25">
      <c r="A60" s="37" t="s">
        <v>4193</v>
      </c>
      <c r="B60" s="1" t="s">
        <v>4111</v>
      </c>
      <c r="C60" s="1" t="s">
        <v>4169</v>
      </c>
      <c r="D60" s="1" t="s">
        <v>4170</v>
      </c>
      <c r="E60" s="1" t="s">
        <v>4171</v>
      </c>
    </row>
    <row r="61" spans="1:11" s="1" customFormat="1" x14ac:dyDescent="0.25">
      <c r="A61" s="37" t="s">
        <v>4195</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4199</v>
      </c>
      <c r="B13" s="4"/>
      <c r="C13" s="4"/>
      <c r="D13" s="4"/>
    </row>
    <row r="14" spans="1:11" s="1" customFormat="1" x14ac:dyDescent="0.25">
      <c r="A14" s="37" t="s">
        <v>4200</v>
      </c>
      <c r="B14" s="1" t="s">
        <v>4118</v>
      </c>
      <c r="C14" s="1" t="s">
        <v>4118</v>
      </c>
      <c r="D14" s="1" t="s">
        <v>4118</v>
      </c>
      <c r="E14" s="1" t="s">
        <v>44</v>
      </c>
      <c r="F14" s="2"/>
      <c r="G14" s="2"/>
      <c r="H14" s="2"/>
      <c r="I14" s="2"/>
      <c r="J14" s="2"/>
      <c r="K14" s="2"/>
    </row>
    <row r="15" spans="1:11" s="1" customFormat="1" x14ac:dyDescent="0.25">
      <c r="A15" s="37" t="s">
        <v>4201</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4202</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4203</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tabSelected="1" workbookViewId="0">
      <selection activeCell="B12" sqref="B12"/>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61" customFormat="1" x14ac:dyDescent="0.25">
      <c r="A12" s="61" t="s">
        <v>4250</v>
      </c>
      <c r="B12" s="61" t="s">
        <v>6</v>
      </c>
      <c r="C12" s="62"/>
    </row>
    <row r="13" spans="1:5" s="1" customFormat="1" x14ac:dyDescent="0.25">
      <c r="A13" s="36" t="s">
        <v>4204</v>
      </c>
      <c r="B13" s="1" t="s">
        <v>4251</v>
      </c>
    </row>
    <row r="14" spans="1:5" s="1" customFormat="1" x14ac:dyDescent="0.25">
      <c r="A14" s="1" t="s">
        <v>61</v>
      </c>
      <c r="B14" s="1" t="s">
        <v>4252</v>
      </c>
    </row>
    <row r="15" spans="1:5" s="1" customFormat="1" x14ac:dyDescent="0.25">
      <c r="A15" s="36" t="s">
        <v>4205</v>
      </c>
      <c r="B15" s="43" t="s">
        <v>4253</v>
      </c>
      <c r="C15" s="43"/>
      <c r="D15" s="43"/>
      <c r="E15" s="43"/>
    </row>
    <row r="16" spans="1:5" s="1" customFormat="1" x14ac:dyDescent="0.25">
      <c r="A16" s="36" t="s">
        <v>4206</v>
      </c>
      <c r="B16" s="2" t="s">
        <v>4254</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5" sqref="B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6" customFormat="1" x14ac:dyDescent="0.25">
      <c r="A11" s="63" t="s">
        <v>3577</v>
      </c>
      <c r="B11" s="64"/>
      <c r="C11" s="64"/>
      <c r="D11" s="64"/>
      <c r="E11" s="65"/>
    </row>
    <row r="12" spans="1:5" s="1" customFormat="1" x14ac:dyDescent="0.25">
      <c r="A12" s="38" t="s">
        <v>4207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4208</v>
      </c>
      <c r="B13" s="13" t="s">
        <v>692</v>
      </c>
      <c r="C13" s="13" t="s">
        <v>692</v>
      </c>
      <c r="D13" s="13" t="s">
        <v>692</v>
      </c>
      <c r="E13" s="13" t="s">
        <v>692</v>
      </c>
    </row>
    <row r="14" spans="1:5" s="1" customFormat="1" x14ac:dyDescent="0.25">
      <c r="A14" s="38" t="s">
        <v>4209</v>
      </c>
      <c r="B14" s="14" t="str">
        <f>VLOOKUP(B15,Master!$P:$Q,2,FALSE)</f>
        <v>4</v>
      </c>
      <c r="C14" s="14" t="str">
        <f>VLOOKUP(C15,Master!$P:$Q,2,FALSE)</f>
        <v>4</v>
      </c>
      <c r="D14" s="14" t="str">
        <f>VLOOKUP(D15,Master!$P:$Q,2,FALSE)</f>
        <v>4</v>
      </c>
      <c r="E14" s="14" t="str">
        <f>VLOOKUP(E15,Master!$P:$Q,2,FALSE)</f>
        <v>4</v>
      </c>
    </row>
    <row r="15" spans="1:5" s="1" customFormat="1" x14ac:dyDescent="0.25">
      <c r="A15" s="37" t="s">
        <v>4210</v>
      </c>
      <c r="B15" s="14" t="s">
        <v>1243</v>
      </c>
      <c r="C15" s="14" t="s">
        <v>1243</v>
      </c>
      <c r="D15" s="14" t="s">
        <v>1243</v>
      </c>
      <c r="E15" s="14" t="s">
        <v>1243</v>
      </c>
    </row>
    <row r="16" spans="1:5" s="1" customFormat="1" x14ac:dyDescent="0.25">
      <c r="A16" s="38" t="s">
        <v>4211</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4213</v>
      </c>
      <c r="B17" s="14" t="s">
        <v>4117</v>
      </c>
      <c r="C17" s="14" t="s">
        <v>4117</v>
      </c>
      <c r="D17" s="14" t="s">
        <v>4117</v>
      </c>
      <c r="E17" s="14" t="s">
        <v>4117</v>
      </c>
    </row>
    <row r="18" spans="1:5" s="1" customFormat="1" x14ac:dyDescent="0.25">
      <c r="A18" s="38" t="s">
        <v>4214</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4212</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4215</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4216</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4217</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4218</v>
      </c>
      <c r="B27" s="14" t="s">
        <v>2972</v>
      </c>
      <c r="C27" s="14" t="s">
        <v>2972</v>
      </c>
      <c r="D27" s="14" t="s">
        <v>2972</v>
      </c>
      <c r="E27" s="14" t="s">
        <v>2972</v>
      </c>
    </row>
    <row r="28" spans="1:5" s="1" customFormat="1" x14ac:dyDescent="0.25">
      <c r="A28" s="38" t="s">
        <v>4219</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4221</v>
      </c>
      <c r="B29" s="14" t="s">
        <v>2004</v>
      </c>
      <c r="C29" s="14" t="s">
        <v>2004</v>
      </c>
      <c r="D29" s="14" t="s">
        <v>2004</v>
      </c>
      <c r="E29" s="14" t="s">
        <v>2004</v>
      </c>
    </row>
    <row r="30" spans="1:5" s="1" customFormat="1" x14ac:dyDescent="0.25">
      <c r="A30" s="40" t="s">
        <v>4220</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4222</v>
      </c>
      <c r="B31" s="15" t="s">
        <v>2974</v>
      </c>
      <c r="C31" s="15" t="s">
        <v>2974</v>
      </c>
      <c r="D31" s="15" t="s">
        <v>2974</v>
      </c>
      <c r="E31" s="15" t="s">
        <v>2974</v>
      </c>
    </row>
    <row r="32" spans="1:5" s="1" customFormat="1" ht="45" x14ac:dyDescent="0.25">
      <c r="A32" s="38" t="s">
        <v>4223</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4225</v>
      </c>
      <c r="B33" s="15" t="s">
        <v>2984</v>
      </c>
      <c r="C33" s="15" t="s">
        <v>2984</v>
      </c>
      <c r="D33" s="15" t="s">
        <v>2984</v>
      </c>
      <c r="E33" s="15" t="s">
        <v>2984</v>
      </c>
    </row>
    <row r="34" spans="1:5" s="1" customFormat="1" x14ac:dyDescent="0.25">
      <c r="A34" s="37" t="s">
        <v>4224</v>
      </c>
      <c r="B34" s="14" t="s">
        <v>4072</v>
      </c>
      <c r="C34" s="14" t="s">
        <v>4072</v>
      </c>
      <c r="D34" s="14" t="s">
        <v>4072</v>
      </c>
      <c r="E34" s="14" t="s">
        <v>4072</v>
      </c>
    </row>
    <row r="35" spans="1:5" s="1" customFormat="1" x14ac:dyDescent="0.25">
      <c r="A35" s="38" t="s">
        <v>4226</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4227</v>
      </c>
      <c r="B37" s="45" t="s">
        <v>4114</v>
      </c>
      <c r="C37" s="45" t="s">
        <v>4174</v>
      </c>
      <c r="D37" s="45" t="s">
        <v>4175</v>
      </c>
      <c r="E37" s="45" t="s">
        <v>4176</v>
      </c>
    </row>
    <row r="38" spans="1:5" s="1" customFormat="1" x14ac:dyDescent="0.25">
      <c r="A38" s="38" t="s">
        <v>4228</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4229</v>
      </c>
      <c r="B39" s="46" t="s">
        <v>2994</v>
      </c>
      <c r="C39" s="46" t="s">
        <v>2994</v>
      </c>
      <c r="D39" s="46" t="s">
        <v>2994</v>
      </c>
      <c r="E39" s="46" t="s">
        <v>2994</v>
      </c>
    </row>
    <row r="40" spans="1:5" s="1" customFormat="1" x14ac:dyDescent="0.25">
      <c r="A40" s="37" t="s">
        <v>4230</v>
      </c>
      <c r="B40" s="45" t="s">
        <v>4114</v>
      </c>
      <c r="C40" s="45" t="s">
        <v>4174</v>
      </c>
      <c r="D40" s="45" t="s">
        <v>4175</v>
      </c>
      <c r="E40" s="45" t="s">
        <v>4176</v>
      </c>
    </row>
    <row r="41" spans="1:5" s="1" customFormat="1" x14ac:dyDescent="0.25">
      <c r="A41" s="38" t="s">
        <v>4231</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2022-09-08T08:11:12Z</dcterms:modified>
</cp:coreProperties>
</file>