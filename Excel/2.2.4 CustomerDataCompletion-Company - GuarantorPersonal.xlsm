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5" l="1" r="B4"/>
  <c i="5" r="C4"/>
  <c i="5" r="C10"/>
  <c i="5" l="1" r="B10"/>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l="1" r="D9"/>
  <c i="7" r="B10"/>
  <c i="6" r="B10"/>
  <c i="4" r="B10"/>
  <c i="3" r="B10"/>
  <c i="5" r="C9"/>
  <c i="2" r="C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<sst xmlns="http://schemas.openxmlformats.org/spreadsheetml/2006/main" count="4753" uniqueCount="4266">
  <si>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</si>
  <si>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</si>
  <si>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</si>
  <si>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</si>
  <si>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</si>
  <si>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</si>
  <si>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</si>
  <si>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</si>
  <si>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</si>
  <si>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</si>
  <si>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</si>
  <si>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</si>
  <si>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</si>
  <si>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</si>
  <si>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</si>
  <si>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</si>
  <si>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</si>
  <si>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</si>
  <si>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</si>
  <si>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</si>
  <si>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</si>
  <si>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</si>
  <si>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</si>
  <si>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</si>
  <si>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</si>
  <si>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</si>
  <si>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</si>
  <si>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</si>
  <si>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</si>
  <si>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</si>
  <si>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</si>
  <si>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</si>
  <si>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</si>
  <si>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</si>
  <si>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</si>
  <si>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</si>
  <si>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</si>
  <si>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</si>
  <si>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</si>
  <si>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</si>
  <si>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</si>
  <si>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</si>
  <si>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</si>
  <si>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</si>
  <si>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</si>
  <si>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</si>
  <si>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</si>
  <si>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</si>
  <si>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</si>
  <si>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</si>
  <si>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</si>
  <si>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</si>
  <si>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</si>
  <si>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</si>
  <si>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</si>
  <si>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</si>
  <si>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</si>
  <si>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</si>
  <si>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</si>
  <si>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</si>
  <si>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</si>
  <si>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</si>
  <si>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</si>
  <si>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</si>
  <si>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</si>
  <si>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</si>
  <si>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</si>
  <si>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</si>
  <si>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</si>
  <si>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</si>
  <si>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</si>
  <si>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</si>
  <si>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</si>
  <si>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</si>
  <si>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</si>
  <si>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</si>
  <si>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</si>
  <si>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</si>
  <si>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</si>
  <si>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</si>
  <si>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</si>
  <si>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</si>
  <si>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</si>
  <si>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</si>
  <si>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</si>
  <si>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</si>
  <si>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</si>
  <si>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</si>
  <si>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</si>
  <si>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</si>
  <si>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</si>
  <si>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</si>
  <si>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</si>
  <si>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</si>
  <si>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</si>
  <si>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</si>
  <si>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</si>
  <si>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</si>
  <si>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</si>
  <si>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</si>
  <si>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</si>
  <si>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</si>
  <si>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</si>
  <si>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</si>
  <si>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</si>
  <si>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</si>
  <si>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</si>
  <si>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</si>
  <si>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</si>
  <si>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</si>
  <si>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</si>
  <si>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</si>
  <si>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</si>
  <si>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</si>
  <si>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</si>
  <si>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</si>
  <si>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</si>
  <si>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</si>
  <si>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</si>
  <si>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</si>
  <si>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</si>
  <si>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</si>
  <si>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</si>
  <si>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</si>
  <si>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</si>
  <si>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</si>
  <si>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</si>
  <si>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</si>
  <si>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</si>
  <si>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</si>
  <si>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</si>
  <si>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</si>
  <si>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</si>
  <si>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</si>
  <si>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</si>
  <si>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</si>
  <si>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</si>
  <si>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</si>
  <si>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</si>
  <si>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</si>
  <si>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</si>
  <si>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</si>
  <si>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</si>
  <si>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</si>
  <si>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</si>
  <si>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</si>
  <si>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</si>
  <si>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</si>
  <si>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</si>
  <si>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</si>
  <si>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</si>
  <si>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</si>
  <si>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</si>
  <si>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</si>
  <si>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</si>
  <si>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</si>
  <si>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</si>
  <si>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</si>
  <si>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</si>
  <si>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</si>
  <si>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</si>
  <si>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</si>
  <si>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</si>
  <si>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</si>
  <si>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</si>
  <si>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</si>
  <si>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</si>
  <si>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</si>
  <si>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</si>
  <si>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</si>
  <si>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</si>
  <si>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</si>
  <si>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</si>
  <si>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</si>
  <si>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</si>
  <si>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</si>
  <si>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</si>
  <si>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</si>
  <si>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</si>
  <si>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</si>
  <si>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</si>
  <si>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</si>
  <si>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</si>
  <si>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</si>
  <si>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</si>
  <si>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</si>
  <si>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</si>
  <si>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</si>
  <si>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</si>
  <si>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</si>
  <si>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</si>
  <si>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</si>
  <si>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</si>
  <si>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</si>
  <si>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</si>
  <si>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</si>
  <si>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</si>
  <si>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</si>
  <si>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</si>
  <si>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</si>
  <si>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</si>
  <si>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</si>
  <si>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</si>
  <si>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</si>
  <si>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</si>
  <si>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</si>
  <si>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</si>
  <si>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</si>
  <si>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</si>
  <si>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</si>
  <si>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</si>
  <si>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</si>
  <si>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</si>
  <si>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</si>
  <si>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</si>
  <si>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</si>
  <si>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</si>
  <si>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</si>
  <si>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</si>
  <si>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</si>
  <si>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</si>
  <si>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</si>
  <si>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</si>
  <si>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</si>
  <si>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</si>
  <si>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</si>
  <si>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</si>
  <si>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</si>
  <si>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</si>
  <si>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</si>
  <si>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</si>
  <si>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</si>
  <si>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</si>
  <si>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</si>
  <si>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</si>
  <si>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</si>
  <si>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</si>
  <si>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</si>
  <si>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</si>
  <si>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</si>
  <si>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</si>
  <si>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</si>
  <si>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</si>
  <si>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</si>
  <si>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</si>
  <si>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</si>
  <si>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</si>
  <si>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</si>
  <si>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</si>
  <si>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</si>
  <si>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</si>
  <si>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</si>
  <si>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</si>
  <si>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</si>
  <si>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</si>
  <si>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</si>
  <si>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</si>
  <si>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</si>
  <si>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</si>
  <si>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</si>
  <si>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</si>
  <si>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</si>
  <si>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</si>
  <si>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</si>
  <si>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</si>
  <si>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</si>
  <si>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</si>
  <si>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</si>
  <si>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</si>
  <si>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</si>
  <si>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</si>
  <si>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</si>
  <si>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</si>
  <si>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</si>
  <si>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</si>
  <si>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</si>
  <si>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</si>
  <si>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</si>
  <si>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</si>
  <si>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</si>
  <si>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</si>
  <si>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</si>
  <si>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</si>
  <si>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</si>
  <si>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</si>
  <si>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</si>
  <si>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</si>
  <si>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</si>
  <si>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</si>
  <si>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</si>
  <si>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</si>
  <si>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</si>
  <si>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</si>
  <si>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</si>
  <si>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</si>
  <si>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</si>
  <si>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</si>
  <si>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</si>
  <si>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</si>
  <si>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</si>
  <si>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</si>
  <si>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</si>
  <si>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</si>
  <si>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</si>
  <si>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</si>
  <si>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</si>
  <si>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</si>
  <si>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</si>
  <si>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</si>
  <si>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</si>
  <si>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</si>
  <si>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</si>
  <si>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</si>
  <si>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</si>
  <si>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</si>
  <si>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</si>
  <si>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</si>
  <si>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</si>
  <si>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</si>
  <si>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</si>
  <si>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</si>
  <si>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</si>
  <si>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</si>
  <si>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</si>
  <si>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</si>
  <si>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</si>
  <si>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</si>
  <si>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</si>
  <si>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</si>
  <si>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</si>
  <si>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</si>
  <si>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</si>
  <si>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</si>
  <si>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</si>
  <si>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</si>
  <si>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</si>
  <si>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</si>
  <si>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</si>
  <si>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</si>
  <si>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</si>
  <si>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</si>
  <si>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</si>
  <si>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</si>
  <si>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</si>
  <si>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</si>
  <si>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</si>
  <si>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</si>
  <si>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</si>
  <si>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</si>
  <si>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</si>
  <si>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</si>
  <si>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</si>
  <si>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</si>
  <si>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</si>
  <si>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</si>
  <si>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</si>
  <si>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</si>
  <si>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</si>
  <si>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</si>
  <si>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</si>
  <si>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</si>
  <si>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</si>
  <si>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</si>
  <si>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</si>
  <si>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</si>
  <si>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</si>
  <si>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</si>
  <si>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</si>
  <si>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</si>
  <si>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</si>
  <si>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</si>
  <si>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</si>
  <si>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</si>
  <si>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</si>
  <si>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</si>
  <si>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</si>
  <si>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</si>
  <si>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</si>
  <si>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</si>
  <si>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</si>
  <si>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</si>
  <si>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</si>
  <si>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</si>
  <si>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</si>
  <si>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</si>
  <si>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</si>
  <si>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</si>
  <si>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</si>
  <si>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</si>
  <si>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</si>
  <si>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</si>
  <si>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</si>
  <si>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</si>
  <si>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</si>
  <si>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</si>
  <si>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</si>
  <si>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</si>
  <si>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</si>
  <si>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</si>
  <si>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</si>
  <si>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</si>
  <si>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</si>
  <si>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</si>
  <si>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</si>
  <si>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</si>
  <si>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</si>
  <si>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</si>
  <si>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</si>
  <si>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</si>
  <si>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</si>
  <si>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</si>
  <si>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</si>
  <si>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</si>
  <si>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</si>
  <si>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</si>
  <si>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</si>
  <si>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</si>
  <si>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</si>
  <si>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</si>
  <si>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</si>
  <si>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</si>
  <si>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</si>
  <si>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</si>
  <si>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</si>
  <si>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</si>
  <si>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</si>
  <si>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</si>
  <si>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</si>
  <si>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</si>
  <si>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</si>
  <si>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</si>
  <si>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</si>
  <si>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</si>
  <si>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</si>
  <si>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</si>
  <si>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</si>
  <si>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</si>
  <si>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</si>
  <si>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</si>
  <si>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</si>
  <si>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</si>
  <si>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</si>
  <si>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</si>
  <si>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</si>
  <si>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</si>
  <si>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</si>
  <si>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</si>
  <si>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</si>
  <si>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</si>
  <si>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</si>
  <si>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</si>
  <si>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</si>
  <si>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</si>
  <si>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</si>
  <si>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</si>
  <si>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</si>
  <si>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</si>
  <si>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</si>
  <si>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</si>
  <si>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</si>
  <si>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</si>
  <si>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</si>
  <si>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</si>
  <si>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</si>
  <si>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</si>
  <si>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</si>
  <si>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</si>
  <si>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</si>
  <si>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</si>
  <si>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</si>
  <si>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</si>
  <si>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</si>
  <si>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</si>
  <si>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</si>
  <si>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</si>
  <si>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</si>
  <si>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</si>
  <si>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</si>
  <si>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</si>
  <si>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</si>
  <si>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</si>
  <si>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</si>
  <si>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</si>
  <si>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</si>
  <si>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</si>
  <si>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</si>
  <si>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</si>
  <si>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</si>
  <si>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</si>
  <si>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</si>
  <si>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</si>
  <si>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</si>
  <si>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</si>
  <si>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</si>
  <si>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</si>
  <si>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</si>
  <si>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</si>
  <si>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</si>
  <si>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</si>
  <si>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</si>
  <si>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</si>
  <si>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</si>
  <si>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</si>
  <si>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</si>
  <si>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</si>
  <si>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</si>
  <si>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</si>
  <si>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</si>
  <si>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</si>
  <si>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</si>
  <si>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</si>
  <si>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</si>
  <si>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</si>
  <si>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</si>
  <si>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</si>
  <si>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</si>
  <si>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</si>
  <si>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</si>
  <si>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</si>
  <si>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</si>
  <si>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</si>
  <si>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</si>
  <si>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</si>
  <si>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</si>
  <si>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</si>
  <si>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</si>
  <si>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</si>
  <si>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</si>
  <si>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</si>
  <si>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</si>
  <si>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</si>
  <si>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</si>
  <si>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</si>
  <si>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</si>
  <si>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</si>
  <si>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</si>
  <si>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</si>
  <si>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</si>
  <si>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</si>
  <si>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</si>
  <si>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</si>
  <si>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</si>
  <si>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</si>
  <si>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</si>
  <si>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</si>
  <si>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</si>
  <si>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</si>
  <si>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</si>
  <si>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</si>
  <si>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</si>
  <si>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</si>
  <si>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</si>
  <si>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</si>
  <si>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</si>
  <si>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</si>
  <si>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</si>
  <si>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</si>
  <si>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</si>
  <si>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</si>
  <si>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</si>
  <si>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</si>
  <si>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</si>
  <si>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</si>
  <si>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</si>
  <si>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</si>
  <si>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</si>
  <si>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</si>
  <si>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</si>
  <si>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</si>
  <si>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</si>
  <si>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</si>
  <si>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</si>
  <si>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</si>
  <si>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</si>
  <si>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</si>
  <si>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</si>
  <si>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</si>
  <si>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</si>
  <si>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</si>
  <si>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</si>
  <si>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</si>
  <si>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</si>
  <si>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</si>
  <si>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</si>
  <si>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</si>
  <si>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</si>
  <si>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</si>
  <si>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</si>
  <si>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</si>
  <si>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</si>
  <si>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</si>
  <si>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</si>
  <si>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</si>
  <si>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</si>
  <si>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</si>
  <si>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</si>
  <si>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</si>
  <si>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</si>
  <si>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</si>
  <si>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</si>
  <si>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</si>
  <si>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</si>
  <si>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</si>
  <si>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</si>
  <si>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</si>
  <si>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</si>
  <si>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</si>
  <si>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</si>
  <si>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</si>
  <si>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</si>
  <si>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</si>
  <si>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</si>
  <si>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</si>
  <si>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</si>
  <si>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</si>
  <si>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</si>
  <si>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</si>
  <si>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</si>
  <si>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</si>
  <si>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</si>
  <si>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</si>
  <si>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</si>
  <si>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</si>
  <si>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</si>
  <si>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</si>
  <si>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</si>
  <si>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</si>
  <si>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</si>
  <si>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</si>
  <si>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</si>
  <si>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</si>
  <si>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</si>
  <si>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</si>
  <si>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</si>
  <si>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</si>
  <si>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</si>
  <si>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</si>
  <si>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</si>
  <si>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</si>
  <si>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</si>
  <si>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</si>
  <si>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</si>
  <si>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</si>
  <si>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</si>
  <si>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</si>
  <si>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</si>
  <si>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</si>
  <si>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</si>
  <si>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</si>
  <si>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</si>
  <si>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</si>
  <si>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</si>
  <si>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</si>
  <si>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</si>
  <si>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</si>
  <si>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</si>
  <si>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</si>
  <si>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</si>
  <si>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</si>
  <si>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</si>
  <si>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</si>
  <si>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</si>
  <si>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</si>
  <si>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</si>
  <si>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</si>
  <si>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</si>
  <si>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</si>
  <si>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</si>
  <si>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</si>
  <si>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</si>
  <si>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</si>
  <si>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</si>
  <si>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</si>
  <si>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</si>
  <si>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</si>
  <si>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</si>
  <si>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</si>
  <si>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</si>
  <si>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</si>
  <si>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</si>
  <si>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</si>
  <si>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</si>
  <si>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</si>
  <si>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</si>
  <si>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</si>
  <si>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</si>
  <si>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</si>
  <si>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</si>
  <si>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</si>
  <si>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</si>
  <si>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</si>
  <si>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</si>
  <si>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</si>
  <si>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</si>
  <si>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</si>
  <si>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</si>
  <si>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</si>
  <si>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</si>
  <si>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</si>
  <si>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</si>
  <si>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</si>
  <si>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</si>
  <si>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</si>
  <si>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</si>
  <si>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</si>
  <si>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</si>
  <si>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</si>
  <si>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</si>
  <si>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</si>
  <si>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</si>
  <si>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</si>
  <si>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</si>
  <si>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</si>
  <si>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</si>
  <si>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</si>
  <si>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</si>
  <si>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</si>
  <si>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</si>
  <si>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</si>
  <si>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</si>
  <si>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</si>
  <si>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</si>
  <si>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</si>
  <si>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</si>
  <si>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</si>
  <si>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</si>
  <si>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</si>
  <si>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</si>
  <si>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</si>
  <si>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</si>
  <si>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</si>
  <si>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</si>
  <si>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</si>
  <si>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</si>
  <si>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</si>
  <si>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</si>
  <si>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</si>
  <si>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</si>
  <si>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</si>
  <si>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</si>
  <si>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</si>
  <si>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</si>
  <si>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</si>
  <si>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</si>
  <si>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</si>
  <si>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</si>
  <si>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</si>
  <si>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</si>
  <si>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</si>
  <si>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</si>
  <si>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</si>
  <si>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</si>
  <si>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</si>
  <si>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</si>
  <si>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</si>
  <si>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</si>
  <si>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</si>
  <si>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</si>
  <si>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</si>
  <si>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</si>
  <si>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</si>
  <si>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</si>
  <si>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</si>
  <si>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</si>
  <si>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</si>
  <si>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</si>
  <si>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</si>
  <si>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</si>
  <si>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</si>
  <si>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</si>
  <si>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</si>
  <si>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</si>
  <si>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</si>
  <si>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</si>
  <si>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</si>
  <si>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</si>
  <si>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</si>
  <si>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</si>
  <si>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</si>
  <si>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</si>
  <si>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</si>
  <si>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</si>
  <si>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</si>
  <si>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</si>
  <si>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</si>
  <si>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</si>
  <si>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</si>
  <si>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</si>
  <si>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</si>
  <si>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</si>
  <si>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</si>
  <si>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</si>
  <si>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</si>
  <si>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</si>
  <si>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</si>
  <si>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</si>
  <si>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</si>
  <si>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</si>
  <si>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</si>
  <si>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</si>
  <si>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</si>
  <si>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</si>
  <si>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</si>
  <si>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</si>
  <si>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</si>
  <si>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</si>
  <si>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</si>
  <si>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</si>
  <si>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</si>
  <si>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</si>
  <si>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</si>
  <si>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</si>
  <si>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</si>
  <si>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</si>
  <si>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</si>
  <si>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</si>
  <si>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</si>
  <si>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</si>
  <si>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</si>
  <si>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</si>
  <si>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</si>
  <si>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</si>
  <si>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</si>
  <si>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</si>
  <si>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</si>
  <si>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</si>
  <si>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</si>
  <si>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</si>
  <si>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</si>
  <si>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</si>
  <si>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</si>
  <si>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</si>
  <si>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</si>
  <si>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</si>
  <si>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</si>
  <si>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</si>
  <si>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</si>
  <si>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</si>
  <si>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</si>
  <si>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</si>
  <si>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</si>
  <si>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</si>
  <si>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</si>
  <si>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</si>
  <si>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</si>
  <si>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</si>
  <si>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</si>
  <si>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</si>
  <si>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</si>
  <si>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</si>
  <si>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</si>
  <si>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</si>
  <si>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</si>
  <si>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</si>
  <si>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</si>
  <si>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</si>
  <si>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</si>
  <si>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</si>
  <si>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</si>
  <si>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</si>
  <si>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</si>
  <si>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</si>
  <si>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</si>
  <si>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</si>
  <si>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</si>
  <si>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</si>
  <si>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</si>
  <si>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</si>
  <si>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</si>
  <si>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</si>
  <si>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</si>
  <si>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</si>
  <si>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</si>
  <si>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</si>
  <si>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</si>
  <si>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</si>
  <si>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</si>
  <si>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</si>
  <si>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</si>
  <si>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</si>
  <si>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</si>
  <si>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</si>
  <si>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</si>
  <si>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</si>
  <si>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</si>
  <si>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</si>
  <si>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</si>
  <si>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</si>
  <si>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</si>
  <si>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</si>
  <si>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</si>
  <si>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</si>
  <si>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</si>
  <si>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</si>
  <si>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</si>
  <si>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</si>
  <si>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</si>
  <si>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</si>
  <si>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</si>
  <si>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</si>
  <si>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</si>
  <si>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</si>
  <si>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</si>
  <si>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</si>
  <si>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</si>
  <si>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</si>
  <si>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</si>
  <si>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</si>
  <si>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</si>
  <si>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</si>
  <si>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</si>
  <si>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</si>
  <si>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</si>
  <si>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</si>
  <si>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</si>
  <si>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</si>
  <si>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</si>
  <si>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</si>
  <si>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</si>
  <si>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</si>
  <si>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</si>
  <si>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</si>
  <si>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</si>
  <si>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</si>
  <si>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</si>
  <si>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</si>
  <si>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</si>
  <si>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</si>
  <si>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</si>
  <si>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</si>
  <si>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</si>
  <si>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</si>
  <si>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</si>
  <si>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</si>
  <si>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</si>
  <si>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</si>
  <si>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</si>
  <si>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</si>
  <si>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</si>
  <si>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</si>
  <si>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</si>
  <si>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</si>
  <si>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</si>
  <si>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</si>
  <si>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</si>
  <si>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</si>
  <si>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</si>
  <si>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</si>
  <si>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</si>
  <si>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</si>
  <si>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</si>
  <si>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</si>
  <si>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</si>
  <si>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</si>
  <si>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</si>
  <si>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</si>
  <si>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</si>
  <si>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</si>
  <si>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</si>
  <si>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</si>
  <si>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</si>
  <si>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</si>
  <si>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</si>
  <si>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</si>
  <si>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</si>
  <si>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</si>
  <si>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</si>
  <si>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</si>
  <si>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</si>
  <si>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</si>
  <si>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</si>
  <si>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</si>
  <si>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</si>
  <si>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</si>
  <si>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</si>
  <si>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</si>
  <si>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</si>
  <si>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</si>
  <si>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</si>
  <si>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</si>
  <si>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</si>
  <si>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</si>
  <si>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</si>
  <si>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</si>
  <si>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</si>
  <si>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</si>
  <si>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</si>
  <si>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</si>
  <si>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</si>
  <si>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</si>
  <si>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</si>
  <si>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</si>
  <si>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</si>
  <si>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</si>
  <si>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</si>
  <si>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</si>
  <si>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</si>
  <si>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</si>
  <si>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</si>
  <si>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</si>
  <si>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</si>
  <si>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</si>
  <si>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</si>
  <si>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</si>
  <si>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</si>
  <si>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</si>
  <si>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</si>
  <si>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</si>
  <si>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</si>
  <si>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</si>
  <si>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</si>
  <si>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</si>
  <si>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</si>
  <si>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</si>
  <si>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</si>
  <si>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</si>
  <si>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</si>
  <si>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</si>
  <si>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</si>
  <si>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</si>
  <si>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</si>
  <si>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</si>
  <si>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</si>
  <si>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</si>
  <si>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</si>
  <si>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</si>
  <si>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</si>
  <si>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</si>
  <si>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</si>
  <si>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</si>
  <si>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</si>
  <si>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</si>
  <si>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</si>
  <si>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</si>
  <si>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</si>
  <si>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</si>
  <si>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</si>
  <si>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</si>
  <si>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</si>
  <si>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</si>
  <si>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</si>
  <si>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</si>
  <si>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</si>
  <si>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</si>
  <si>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</si>
  <si>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</si>
  <si>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</si>
  <si>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</si>
  <si>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</si>
  <si>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</si>
  <si>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</si>
  <si>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</si>
  <si>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</si>
  <si>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</si>
  <si>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</si>
  <si>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</si>
  <si>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</si>
  <si>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</si>
  <si>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</si>
  <si>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</si>
  <si>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</si>
  <si>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</si>
  <si>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</si>
  <si>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</si>
  <si>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</si>
  <si>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</si>
  <si>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</si>
  <si>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</si>
  <si>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</si>
  <si>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</si>
  <si>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</si>
  <si>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</si>
  <si>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</si>
  <si>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</si>
  <si>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</si>
  <si>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</si>
  <si>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</si>
  <si>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</si>
  <si>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</si>
  <si>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</si>
  <si>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</si>
  <si>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</si>
  <si>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</si>
  <si>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</si>
  <si>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</si>
  <si>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</si>
  <si>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</si>
  <si>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</si>
  <si>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</si>
  <si>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</si>
  <si>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</si>
  <si>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</si>
  <si>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</si>
  <si>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</si>
  <si>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</si>
  <si>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</si>
  <si>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</si>
  <si>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</si>
  <si>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</si>
  <si>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</si>
  <si>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</si>
  <si>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</si>
  <si>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</si>
  <si>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</si>
  <si>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</si>
  <si>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</si>
  <si>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</si>
  <si>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</si>
  <si>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</si>
  <si>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</si>
  <si>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</si>
  <si>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</si>
  <si>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</si>
  <si>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</si>
  <si>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</si>
  <si>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</si>
  <si>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</si>
  <si>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</si>
  <si>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</si>
  <si>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</si>
  <si>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</si>
  <si>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</si>
  <si>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</si>
  <si>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</si>
  <si>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</si>
  <si>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</si>
  <si>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</si>
  <si>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</si>
  <si>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</si>
  <si>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</si>
  <si>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</si>
  <si>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</si>
  <si>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</si>
  <si>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</si>
  <si>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</si>
  <si>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</si>
  <si>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</si>
  <si>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</si>
  <si>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</si>
  <si>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</si>
  <si>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</si>
  <si>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</si>
  <si>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</si>
  <si>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</si>
  <si>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</si>
  <si>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</si>
  <si>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</si>
  <si>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</si>
  <si>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</si>
  <si>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</si>
  <si>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</si>
  <si>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</si>
  <si>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</si>
  <si>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</si>
  <si>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</si>
  <si>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</si>
  <si>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</si>
  <si>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</si>
  <si>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</si>
  <si>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</si>
  <si>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</si>
  <si>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</si>
  <si>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</si>
  <si>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</si>
  <si>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</si>
  <si>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</si>
  <si>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</si>
  <si>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</si>
  <si>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</si>
  <si>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</si>
  <si>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</si>
  <si>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</si>
  <si>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</si>
  <si>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</si>
  <si>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</si>
  <si>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</si>
  <si>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</si>
  <si>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</si>
  <si>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</si>
  <si>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</si>
  <si>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</si>
  <si>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</si>
  <si>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</si>
  <si>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</si>
  <si>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</si>
  <si>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</si>
  <si>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</si>
  <si>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</si>
  <si>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</si>
  <si>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</si>
  <si>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</si>
  <si>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</si>
  <si>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</si>
  <si>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</si>
  <si>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</si>
  <si>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</si>
  <si>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</si>
  <si>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</si>
  <si>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</si>
  <si>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</si>
  <si>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</si>
  <si>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</si>
  <si>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</si>
  <si>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</si>
  <si>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</si>
  <si>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</si>
  <si>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</si>
  <si>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</si>
  <si>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</si>
  <si>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</si>
  <si>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</si>
  <si>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</si>
  <si>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</si>
  <si>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</si>
  <si>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</si>
  <si>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</si>
  <si>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</si>
  <si>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</si>
  <si>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</si>
  <si>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</si>
  <si>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</si>
  <si>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</si>
  <si>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</si>
  <si>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</si>
  <si>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</si>
  <si>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</si>
  <si>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</si>
  <si>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</si>
  <si>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</si>
  <si>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</si>
  <si>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</si>
  <si>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</si>
  <si>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</si>
  <si>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</si>
  <si>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</si>
  <si>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</si>
  <si>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</si>
  <si>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</si>
  <si>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</si>
  <si>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</si>
  <si>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</si>
  <si>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</si>
  <si>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</si>
  <si>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</si>
  <si>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</si>
  <si>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</si>
  <si>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</si>
  <si>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</si>
  <si>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</si>
  <si>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</si>
  <si>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</si>
  <si>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</si>
  <si>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</si>
  <si>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</si>
  <si>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</si>
  <si>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</si>
  <si>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</si>
  <si>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</si>
  <si>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</si>
  <si>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</si>
  <si>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</si>
  <si>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</si>
  <si>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</si>
  <si>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</si>
  <si>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</si>
  <si>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</si>
  <si>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</si>
  <si>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</si>
  <si>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</si>
  <si>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</si>
  <si>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</si>
  <si>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</si>
  <si>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</si>
  <si>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</si>
  <si>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</si>
  <si>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</si>
  <si>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</si>
  <si>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</si>
  <si>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</si>
  <si>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</si>
  <si>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</si>
  <si>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</si>
  <si>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</si>
  <si>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</si>
  <si>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</si>
  <si>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</si>
  <si>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</si>
  <si>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</si>
  <si>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</si>
  <si>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</si>
  <si>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</si>
  <si>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</si>
  <si>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</si>
  <si>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</si>
  <si>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</si>
  <si>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</si>
  <si>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</si>
  <si>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</si>
  <si>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</si>
  <si>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</si>
  <si>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</si>
  <si>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</si>
  <si>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</si>
  <si>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</si>
  <si>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</si>
  <si>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</si>
  <si>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</si>
  <si>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</si>
  <si>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</si>
  <si>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</si>
  <si>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</si>
  <si>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</si>
  <si>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</si>
  <si>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</si>
  <si>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</si>
  <si>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</si>
  <si>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</si>
  <si>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</si>
  <si>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</si>
  <si>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</si>
  <si>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</si>
  <si>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</si>
  <si>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</si>
  <si>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</si>
  <si>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</si>
  <si>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</si>
  <si>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</si>
  <si>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</si>
  <si>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</si>
  <si>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</si>
  <si>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</si>
  <si>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</si>
  <si>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</si>
  <si>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</si>
  <si>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</si>
  <si>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</si>
  <si>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</si>
  <si>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</si>
  <si>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</si>
  <si>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</si>
  <si>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</si>
  <si>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</si>
  <si>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</si>
  <si>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</si>
  <si>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</si>
  <si>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</si>
  <si>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</si>
  <si>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</si>
  <si>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</si>
  <si>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</si>
  <si>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</si>
  <si>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</si>
  <si>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</si>
  <si>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</si>
  <si>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</si>
  <si>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</si>
  <si>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</si>
  <si>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</si>
  <si>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</si>
  <si>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</si>
  <si>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</si>
  <si>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</si>
  <si>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</si>
  <si>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</si>
  <si>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</si>
  <si>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</si>
  <si>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</si>
  <si>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</si>
  <si>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</si>
  <si>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</si>
  <si>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</si>
  <si>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</si>
  <si>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</si>
  <si>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</si>
  <si>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</si>
  <si>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</si>
  <si>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</si>
  <si>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</si>
  <si>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</si>
  <si>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</si>
  <si>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</si>
  <si>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</si>
  <si>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</si>
  <si>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</si>
  <si>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</si>
  <si>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</si>
  <si>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</si>
  <si>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</si>
  <si>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</si>
  <si>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</si>
  <si>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</si>
  <si>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</si>
  <si>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</si>
  <si>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</si>
  <si>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</si>
  <si>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</si>
  <si>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</si>
  <si>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</si>
  <si>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</si>
  <si>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</si>
  <si>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</si>
  <si>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</si>
  <si>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</si>
  <si>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</si>
  <si>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</si>
  <si>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</si>
  <si>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</si>
  <si>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</si>
  <si>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</si>
  <si>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</si>
  <si>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</si>
  <si>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</si>
  <si>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</si>
  <si>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</si>
  <si>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</si>
  <si>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</si>
  <si>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</si>
  <si>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</si>
  <si>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</si>
  <si>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</si>
  <si>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</si>
  <si>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</si>
  <si>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</si>
  <si>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</si>
  <si>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</si>
  <si>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</si>
  <si>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</si>
  <si>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</si>
  <si>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</si>
  <si>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</si>
  <si>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</si>
  <si>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</si>
  <si>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</si>
  <si>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</si>
  <si>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</si>
  <si>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</si>
  <si>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</si>
  <si>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</si>
  <si>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</si>
  <si>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</si>
  <si>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</si>
  <si>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</si>
  <si>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</si>
  <si>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</si>
  <si>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</si>
  <si>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</si>
  <si>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</si>
  <si>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</si>
  <si>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</si>
  <si>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</si>
  <si>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</si>
  <si>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</si>
  <si>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</si>
  <si>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</si>
  <si>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</si>
  <si>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</si>
  <si>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</si>
  <si>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</si>
  <si>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</si>
  <si>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</si>
  <si>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</si>
  <si>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</si>
  <si>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</si>
  <si>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</si>
  <si>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</si>
  <si>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</si>
  <si>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</si>
  <si>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</si>
  <si>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</si>
  <si>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</si>
  <si>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</si>
  <si>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</si>
  <si>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</si>
  <si>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</si>
  <si>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</si>
  <si>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</si>
  <si>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</si>
  <si>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</si>
  <si>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</si>
  <si>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</si>
  <si>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</si>
  <si>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</si>
  <si>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</si>
  <si>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</si>
  <si>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</si>
  <si>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</si>
  <si>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</si>
  <si>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</si>
  <si>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</si>
  <si>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</si>
  <si>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</si>
  <si>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</si>
  <si>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</si>
  <si>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</si>
  <si>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</si>
  <si>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</si>
  <si>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</si>
  <si>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</si>
  <si>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</si>
  <si>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</si>
  <si>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</si>
  <si>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</si>
  <si>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</si>
  <si>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</si>
  <si>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</si>
  <si>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</si>
  <si>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</si>
  <si>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</si>
  <si>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</si>
  <si>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</si>
  <si>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</si>
  <si>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</si>
  <si>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</si>
  <si>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</si>
  <si>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</si>
  <si>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</si>
  <si>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</si>
  <si>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</si>
  <si>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</si>
  <si>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</si>
  <si>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</si>
  <si>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</si>
  <si>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</si>
  <si>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</si>
  <si>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</si>
  <si>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</si>
  <si>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</si>
  <si>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</si>
  <si>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</si>
  <si>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</si>
  <si>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</si>
  <si>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</si>
  <si>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</si>
  <si>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</si>
  <si>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</si>
  <si>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</si>
  <si>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</si>
  <si>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</si>
  <si>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</si>
  <si>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</si>
  <si>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</si>
  <si>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</si>
  <si>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</si>
  <si>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</si>
  <si>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</si>
  <si>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</si>
  <si>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</si>
  <si>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</si>
  <si>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</si>
  <si>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</si>
  <si>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</si>
  <si>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</si>
  <si>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</si>
  <si>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</si>
  <si>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</si>
  <si>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</si>
  <si>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</si>
  <si>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</si>
  <si>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</si>
  <si>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</si>
  <si>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</si>
  <si>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</si>
  <si>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</si>
  <si>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</si>
  <si>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</si>
  <si>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</si>
  <si>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</si>
  <si>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</si>
  <si>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</si>
  <si>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</si>
  <si>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</si>
  <si>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</si>
  <si>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</si>
  <si>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</si>
  <si>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</si>
  <si>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</si>
  <si>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</si>
  <si>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</si>
  <si>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</si>
  <si>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</si>
  <si>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</si>
  <si>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</si>
  <si>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</si>
  <si>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</si>
  <si>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</si>
  <si>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</si>
  <si>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</si>
  <si>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</si>
  <si>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</si>
  <si>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</si>
  <si>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</si>
  <si>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</si>
  <si>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</si>
  <si>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</si>
  <si>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</si>
  <si>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</si>
  <si>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</si>
  <si>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</si>
  <si>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</si>
  <si>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</si>
  <si>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</si>
  <si>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</si>
  <si>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</si>
  <si>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</si>
  <si>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</si>
  <si>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</si>
  <si>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</si>
  <si>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</si>
  <si>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</si>
  <si>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</si>
  <si>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</si>
  <si>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</si>
  <si>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</si>
  <si>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</si>
  <si>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</si>
  <si>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</si>
  <si>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</si>
  <si>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</si>
  <si>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</si>
  <si>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</si>
  <si>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</si>
  <si>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</si>
  <si>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</si>
  <si>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</si>
  <si>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</si>
  <si>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</si>
  <si>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</si>
  <si>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</si>
  <si>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</si>
  <si>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</si>
  <si>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</si>
  <si>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</si>
  <si>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</si>
  <si>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</si>
  <si>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</si>
  <si>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</si>
  <si>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</si>
  <si>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</si>
  <si>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</si>
  <si>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</si>
  <si>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</si>
  <si>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</si>
  <si>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</si>
  <si>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</si>
  <si>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</si>
  <si>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</si>
  <si>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</si>
  <si>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</si>
  <si>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</si>
  <si>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</si>
  <si>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</si>
  <si>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</si>
  <si>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</si>
  <si>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</si>
  <si>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</si>
  <si>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</si>
  <si>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</si>
  <si>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</si>
  <si>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</si>
  <si>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</si>
  <si>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</si>
  <si>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</si>
  <si>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</si>
  <si>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</si>
  <si>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</si>
  <si>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</si>
  <si>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</si>
  <si>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</si>
  <si>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</si>
  <si>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</si>
  <si>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</si>
  <si>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</si>
  <si>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</si>
  <si>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</si>
  <si>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</si>
  <si>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</si>
  <si>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</si>
  <si>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</si>
  <si>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</si>
  <si>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</si>
  <si>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</si>
  <si>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</si>
  <si>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</si>
  <si>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</si>
  <si>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</si>
  <si>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</si>
  <si>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</si>
  <si>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</si>
  <si>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</si>
  <si>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</si>
  <si>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</si>
  <si>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</si>
  <si>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</si>
  <si>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</si>
  <si>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</si>
  <si>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</si>
  <si>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</si>
  <si>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</si>
  <si>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</si>
  <si>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</si>
  <si>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</si>
  <si>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</si>
  <si>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</si>
  <si>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</si>
  <si>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</si>
  <si>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</si>
  <si>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</si>
  <si>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</si>
  <si>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</si>
  <si>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</si>
  <si>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</si>
  <si>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</si>
  <si>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</si>
  <si>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</si>
  <si>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</si>
  <si>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</si>
  <si>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</si>
  <si>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</si>
  <si>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</si>
  <si>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</si>
  <si>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</si>
  <si>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</si>
  <si>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</si>
  <si>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</si>
  <si>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</si>
  <si>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</si>
  <si>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</si>
  <si>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</si>
  <si>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</si>
  <si>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</si>
  <si>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</si>
  <si>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</si>
  <si>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</si>
  <si>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</si>
  <si>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</si>
  <si>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</si>
  <si>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</si>
  <si>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</si>
  <si>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</si>
  <si>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</si>
  <si>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</si>
  <si>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</si>
  <si>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</si>
  <si>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</si>
  <si>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</si>
  <si>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</si>
  <si>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</si>
  <si>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</si>
  <si>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</si>
  <si>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</si>
  <si>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</si>
  <si>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</si>
  <si>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</si>
  <si>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</si>
  <si>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</si>
  <si>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</si>
  <si>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</si>
  <si>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</si>
  <si>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</si>
  <si>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</si>
  <si>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</si>
  <si>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</si>
  <si>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</si>
  <si>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</si>
  <si>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</si>
  <si>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</si>
  <si>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</si>
  <si>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</si>
  <si>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</si>
  <si>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</si>
  <si>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</si>
  <si>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</si>
  <si>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</si>
  <si>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</si>
  <si>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</si>
  <si>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</si>
  <si>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</si>
  <si>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</si>
  <si>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</si>
  <si>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</si>
  <si>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</si>
  <si>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</si>
  <si>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</si>
  <si>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</si>
  <si>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</si>
  <si>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</si>
  <si>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</si>
  <si>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</si>
  <si>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</si>
  <si>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</si>
  <si>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</si>
  <si>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</si>
  <si>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</si>
  <si>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</si>
  <si>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</si>
  <si>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</si>
  <si>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</si>
  <si>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</si>
  <si>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</si>
  <si>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</si>
  <si>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</si>
  <si>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</si>
  <si>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</si>
  <si>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</si>
  <si>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</si>
  <si>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</si>
  <si>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</si>
  <si>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</si>
  <si>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</si>
  <si>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</si>
  <si>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</si>
  <si>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</si>
  <si>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</si>
  <si>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</si>
  <si>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</si>
  <si>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</si>
  <si>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</si>
  <si>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</si>
  <si>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</si>
  <si>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</si>
  <si>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</si>
  <si>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</si>
  <si>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</si>
  <si>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</si>
  <si>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</si>
  <si>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</si>
  <si>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</si>
  <si>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</si>
  <si>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</si>
  <si>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</si>
  <si>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</si>
  <si>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</si>
  <si>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</si>
  <si>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</si>
  <si>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</si>
  <si>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</si>
  <si>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</si>
  <si>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</si>
  <si>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</si>
  <si>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</si>
  <si>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</si>
  <si>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</si>
  <si>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</si>
  <si>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</si>
  <si>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</si>
  <si>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</si>
  <si>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</si>
  <si>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</si>
  <si>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</si>
  <si>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</si>
  <si>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</si>
  <si>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</si>
  <si>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</si>
  <si>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</si>
  <si>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</si>
  <si>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</si>
  <si>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</si>
  <si>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</si>
  <si>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</si>
  <si>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</si>
  <si>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</si>
  <si>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</si>
  <si>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</si>
  <si>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</si>
  <si>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</si>
  <si>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</si>
  <si>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</si>
  <si>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</si>
  <si>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</si>
  <si>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</si>
  <si>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</si>
  <si>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</si>
  <si>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</si>
  <si>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</si>
  <si>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</si>
  <si>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</si>
  <si>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</si>
  <si>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</si>
  <si>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</si>
  <si>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</si>
  <si>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</si>
  <si>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</si>
  <si>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</si>
  <si>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</si>
  <si>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</si>
  <si>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</si>
  <si>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</si>
  <si>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</si>
  <si>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</si>
  <si>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</si>
  <si>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</si>
  <si>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</si>
  <si>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</si>
  <si>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</si>
  <si>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</si>
  <si>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</si>
  <si>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</si>
  <si>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</si>
  <si>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</si>
  <si>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</si>
  <si>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</si>
  <si>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</si>
  <si>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</si>
  <si>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</si>
  <si>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</si>
  <si>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</si>
  <si>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</si>
  <si>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</si>
  <si>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</si>
  <si>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</si>
  <si>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</si>
  <si>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</si>
  <si>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</si>
  <si>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</si>
  <si>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</si>
  <si>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</si>
  <si>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</si>
  <si>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</si>
  <si>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</si>
  <si>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</si>
  <si>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</si>
  <si>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</si>
  <si>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</si>
  <si>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</si>
  <si>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</si>
  <si>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</si>
  <si>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</si>
  <si>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</si>
  <si>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</si>
  <si>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</si>
  <si>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</si>
  <si>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</si>
  <si>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</si>
  <si>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</si>
  <si>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</si>
  <si>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</si>
  <si>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</si>
  <si>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</si>
  <si>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</si>
  <si>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</si>
  <si>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</si>
  <si>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</si>
  <si>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</si>
  <si>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</si>
  <si>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</si>
  <si>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</si>
  <si>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</si>
  <si>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</si>
  <si>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</si>
  <si>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</si>
  <si>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</si>
  <si>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</si>
  <si>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</si>
  <si>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</si>
  <si>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</si>
  <si>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</si>
  <si>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</si>
  <si>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</si>
  <si>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</si>
  <si>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</si>
  <si>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</si>
  <si>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</si>
  <si>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</si>
  <si>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</si>
  <si>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</si>
  <si>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</si>
  <si>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</si>
  <si>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</si>
  <si>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</si>
  <si>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</si>
  <si>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</si>
  <si>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</si>
  <si>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</si>
  <si>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</si>
  <si>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</si>
  <si>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</si>
  <si>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</si>
  <si>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</si>
  <si>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</si>
  <si>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</si>
  <si>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</si>
  <si>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</si>
  <si>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</si>
  <si>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</si>
  <si>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</si>
  <si>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</si>
  <si>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</si>
  <si>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</si>
  <si>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</si>
  <si>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</si>
  <si>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</si>
  <si>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</si>
  <si>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</si>
  <si>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</si>
  <si>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</si>
  <si>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</si>
  <si>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</si>
  <si>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</si>
  <si>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</si>
  <si>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</si>
  <si>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</si>
  <si>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</si>
  <si>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</si>
  <si>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</si>
  <si>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</si>
  <si>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</si>
  <si>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</si>
  <si>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</si>
  <si>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</si>
  <si>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</si>
  <si>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</si>
  <si>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</si>
  <si>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</si>
  <si>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</si>
  <si>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</si>
  <si>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</si>
  <si>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</si>
  <si>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</si>
  <si>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</si>
  <si>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</si>
  <si>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</si>
  <si>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</si>
  <si>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</si>
  <si>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</si>
  <si>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</si>
  <si>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</si>
  <si>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</si>
  <si>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</si>
  <si>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</si>
  <si>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</si>
  <si>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</si>
  <si>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</si>
  <si>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</si>
  <si>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</si>
  <si>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</si>
  <si>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</si>
  <si>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</si>
  <si>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</si>
  <si>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</si>
  <si>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</si>
  <si>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</si>
  <si>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</si>
  <si>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</si>
  <si>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</si>
  <si>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</si>
  <si>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</si>
  <si>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</si>
  <si>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</si>
  <si>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</si>
  <si>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</si>
  <si>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</si>
  <si>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</si>
  <si>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</si>
  <si>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</si>
  <si>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</si>
  <si>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</si>
  <si>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</si>
  <si>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</si>
  <si>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</si>
  <si>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</si>
  <si>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</si>
  <si>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</si>
  <si>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</si>
  <si>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</si>
  <si>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</si>
  <si>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</si>
  <si>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</si>
  <si>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</si>
  <si>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</si>
  <si>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</si>
  <si>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</si>
  <si>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</si>
  <si>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</si>
  <si>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</si>
  <si>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</si>
  <si>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</si>
  <si>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</si>
  <si>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</si>
  <si>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</si>
  <si>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</si>
  <si>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</si>
  <si>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</si>
  <si>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</si>
  <si>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</si>
  <si>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</si>
  <si>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</si>
  <si>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</si>
  <si>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</si>
  <si>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</si>
  <si>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</si>
  <si>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</si>
  <si>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</si>
  <si>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</si>
  <si>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</si>
  <si>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</si>
  <si>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</si>
  <si>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</si>
  <si>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</si>
  <si>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</si>
  <si>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</si>
  <si>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</si>
  <si>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</si>
  <si>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</si>
  <si>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</si>
  <si>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</si>
  <si>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</si>
  <si>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</si>
  <si>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</si>
  <si>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</si>
  <si>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</si>
  <si>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</si>
  <si>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</si>
  <si>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</si>
  <si>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</si>
  <si>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</si>
  <si>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</si>
  <si>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</si>
  <si>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</si>
  <si>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</si>
  <si>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</si>
  <si>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</si>
  <si>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</si>
  <si>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</si>
  <si>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</si>
  <si>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</si>
  <si>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</si>
  <si>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</si>
  <si>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</si>
  <si>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</si>
  <si>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</si>
  <si>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</si>
  <si>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</si>
  <si>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</si>
  <si>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</si>
  <si>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</si>
  <si>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</si>
  <si>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</si>
  <si>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</si>
  <si>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</si>
  <si>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</si>
  <si>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</si>
  <si>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</si>
  <si>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</si>
  <si>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</si>
  <si>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</si>
  <si>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</si>
  <si>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</si>
  <si>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</si>
  <si>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</si>
  <si>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</si>
  <si>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</si>
  <si>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</si>
  <si>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</si>
  <si>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</si>
  <si>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</si>
  <si>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</si>
  <si>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</si>
  <si>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</si>
  <si>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</si>
  <si>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</si>
  <si>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</si>
  <si>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</si>
  <si>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</si>
  <si>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</si>
  <si>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</si>
  <si>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</si>
  <si>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</si>
  <si>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</si>
  <si>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</si>
  <si>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</si>
  <si>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</si>
  <si>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</si>
  <si>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</si>
  <si>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</si>
  <si>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</si>
  <si>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</si>
  <si>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</si>
  <si>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</si>
  <si>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</si>
  <si>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</si>
  <si>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</si>
  <si>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</si>
  <si>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</si>
  <si>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</si>
  <si>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</si>
  <si>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</si>
  <si>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</si>
  <si>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</si>
  <si>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</si>
  <si>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</si>
  <si>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</si>
  <si>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</si>
  <si>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</si>
  <si>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</si>
  <si>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</si>
  <si>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</si>
  <si>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</si>
  <si>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</si>
  <si>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</si>
  <si>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</si>
  <si>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</si>
  <si>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</si>
  <si>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</si>
  <si>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</si>
  <si>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</si>
  <si>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</si>
  <si>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</si>
  <si>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</si>
  <si>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</si>
  <si>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</si>
  <si>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</si>
  <si>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</si>
  <si>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</si>
  <si>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</si>
  <si>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</si>
  <si>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</si>
  <si>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</si>
  <si>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</si>
  <si>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</si>
  <si>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</si>
  <si>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</si>
  <si>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</si>
  <si>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</si>
  <si>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</si>
  <si>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</si>
  <si>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</si>
  <si>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</si>
  <si>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</si>
  <si>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</si>
  <si>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</si>
  <si>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</si>
  <si>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</si>
  <si>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</si>
  <si>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</si>
  <si>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</si>
  <si>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</si>
  <si>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</si>
  <si>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</si>
  <si>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</si>
  <si>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</si>
  <si>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</si>
  <si>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</si>
  <si>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</si>
  <si>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</si>
  <si>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</si>
  <si>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</si>
  <si>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</si>
  <si>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</si>
  <si>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</si>
  <si>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</si>
  <si>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</si>
  <si>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</si>
  <si>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</si>
  <si>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</si>
  <si>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</si>
  <si>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</si>
  <si>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</si>
  <si>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</si>
  <si>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</si>
  <si>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</si>
  <si>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</si>
  <si>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</si>
  <si>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</si>
  <si>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</si>
  <si>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</si>
  <si>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</si>
  <si>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</si>
  <si>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</si>
  <si>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</si>
  <si>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</si>
  <si>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</si>
  <si>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</si>
  <si>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</si>
  <si>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</si>
  <si>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</si>
  <si>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</si>
  <si>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</si>
  <si>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</si>
  <si>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</si>
  <si>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</si>
  <si>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</si>
  <si>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</si>
  <si>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</si>
  <si>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</si>
  <si>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</si>
  <si>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</si>
  <si>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</si>
  <si>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</si>
  <si>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</si>
  <si>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</si>
  <si>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</si>
  <si>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</si>
  <si>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</si>
  <si>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</si>
  <si>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</si>
  <si>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</si>
  <si>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</si>
  <si>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</si>
  <si>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</si>
  <si>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</si>
  <si>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</si>
  <si>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</si>
  <si>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</si>
  <si>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</si>
  <si>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</si>
  <si>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</si>
  <si>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</si>
  <si>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</si>
  <si>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</si>
  <si>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</si>
  <si>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</si>
  <si>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</si>
  <si>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</si>
  <si>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</si>
  <si>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</si>
  <si>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</si>
  <si>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</si>
  <si>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</si>
  <si>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</si>
  <si>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</si>
  <si>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</si>
  <si>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</si>
  <si>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</si>
  <si>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</si>
  <si>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</si>
  <si>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</si>
  <si>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</si>
  <si>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</si>
  <si>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</si>
  <si>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</si>
  <si>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</si>
  <si>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</si>
  <si>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</si>
  <si>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</si>
  <si>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</si>
  <si>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</si>
  <si>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</si>
  <si>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</si>
  <si>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</si>
  <si>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</si>
  <si>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</si>
  <si>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</si>
  <si>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</si>
  <si>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</si>
  <si>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</si>
  <si>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</si>
  <si>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</si>
  <si>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</si>
  <si>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</si>
  <si>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</si>
  <si>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</si>
  <si>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</si>
  <si>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</si>
  <si>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</si>
  <si>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</si>
  <si>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</si>
  <si>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</si>
  <si>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</si>
  <si>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</si>
  <si>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</si>
  <si>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</si>
  <si>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</si>
  <si>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</si>
  <si>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</si>
  <si>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</si>
  <si>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</si>
  <si>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</si>
  <si>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</si>
  <si>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</si>
  <si>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</si>
  <si>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</si>
  <si>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</si>
  <si>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</si>
  <si>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</si>
  <si>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</si>
  <si>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</si>
  <si>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</si>
  <si>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</si>
  <si>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</si>
  <si>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</si>
  <si>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</si>
  <si>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</si>
  <si>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</si>
  <si>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</si>
  <si>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</si>
  <si>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</si>
  <si>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</si>
  <si>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</si>
  <si>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</si>
  <si>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</si>
  <si>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</si>
  <si>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</si>
  <si>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</si>
  <si>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</si>
  <si>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</si>
  <si>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</si>
  <si>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</si>
  <si>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</si>
  <si>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</si>
  <si>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</si>
  <si>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</si>
  <si>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</si>
  <si>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</si>
  <si>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</si>
  <si>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</si>
  <si>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</si>
  <si>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</si>
  <si>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</si>
  <si>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</si>
  <si>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</si>
  <si>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</si>
  <si>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</si>
  <si>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</si>
  <si>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</si>
  <si>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</si>
  <si>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</si>
  <si>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</si>
  <si>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</si>
  <si>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</si>
  <si>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</si>
  <si>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</si>
  <si>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</si>
  <si>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</si>
  <si>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</si>
  <si>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</si>
  <si>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</si>
  <si>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</si>
  <si>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</si>
  <si>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</si>
  <si>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</si>
  <si>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</si>
  <si>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</si>
  <si>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</si>
  <si>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</si>
  <si>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</si>
  <si>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</si>
  <si>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</si>
  <si>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</si>
  <si>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</si>
  <si>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</si>
  <si>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</si>
  <si>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</si>
  <si>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</si>
  <si>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</si>
  <si>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</si>
  <si>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</si>
  <si>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</si>
  <si>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</si>
  <si>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</si>
  <si>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</si>
  <si>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</si>
  <si>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</si>
  <si>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</si>
  <si>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</si>
  <si>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</si>
  <si>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</si>
  <si>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</si>
  <si>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</si>
  <si>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</si>
  <si>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</si>
  <si>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</si>
  <si>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</si>
  <si>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</si>
  <si>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</si>
  <si>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</si>
  <si>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</si>
  <si>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</si>
  <si>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</si>
  <si>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</si>
  <si>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</si>
  <si>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</si>
  <si>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</si>
  <si>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</si>
  <si>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</si>
  <si>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</si>
  <si>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</si>
  <si>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</si>
  <si>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</si>
  <si>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</si>
  <si>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</si>
  <si>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</si>
  <si>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</si>
  <si>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</si>
  <si>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</si>
  <si>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</si>
  <si>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</si>
  <si>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</si>
  <si>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</si>
  <si>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</si>
  <si>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</si>
  <si>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</si>
  <si>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</si>
  <si>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</si>
  <si>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</si>
  <si>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</si>
  <si>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</si>
  <si>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</si>
  <si>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</si>
  <si>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</si>
  <si>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</si>
  <si>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</si>
  <si>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</si>
  <si>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</si>
  <si>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</si>
  <si>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</si>
  <si>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</si>
  <si>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</si>
  <si>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</si>
  <si>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</si>
  <si>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</si>
  <si>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</si>
  <si>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</si>
  <si>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</si>
  <si>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</si>
  <si>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</si>
  <si>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</si>
  <si>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</si>
  <si>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</si>
  <si>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</si>
  <si>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</si>
  <si>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</si>
  <si>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</si>
  <si>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</si>
  <si>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</si>
  <si>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</si>
  <si>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</si>
  <si>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</si>
  <si>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</si>
  <si>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</si>
  <si>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</si>
  <si>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</si>
  <si>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</si>
  <si>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</si>
  <si>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</si>
  <si>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</si>
  <si>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</si>
  <si>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</si>
  <si>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</si>
  <si>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</si>
  <si>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</si>
  <si>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</si>
  <si>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</si>
  <si>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</si>
  <si>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</si>
  <si>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</si>
  <si>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</si>
  <si>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</si>
  <si>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</si>
  <si>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</si>
  <si>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</si>
  <si>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</si>
  <si>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</si>
  <si>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</si>
  <si>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</si>
  <si>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</si>
  <si>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</si>
  <si>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</si>
  <si>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</si>
  <si>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</si>
  <si>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</si>
  <si>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</si>
  <si>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</si>
  <si>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</si>
  <si>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</si>
  <si>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</si>
  <si>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</si>
  <si>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</si>
  <si>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</si>
  <si>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</si>
  <si>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</si>
  <si>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</si>
  <si>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</si>
  <si>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</si>
  <si>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</si>
  <si>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</si>
  <si>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</si>
  <si>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</si>
  <si>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</si>
  <si>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</si>
  <si>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</si>
  <si>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</si>
  <si>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</si>
  <si>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</si>
  <si>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</si>
  <si>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</si>
  <si>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</si>
  <si>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</si>
  <si>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</si>
  <si>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</si>
  <si>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</si>
  <si>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</si>
  <si>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</si>
  <si>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</si>
  <si>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</si>
  <si>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</si>
  <si>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</si>
  <si>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</si>
  <si>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</si>
  <si>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</si>
  <si>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</si>
  <si>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</si>
  <si>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</si>
  <si>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</si>
  <si>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</si>
  <si>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</si>
  <si>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</si>
  <si>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</si>
  <si>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</si>
  <si>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</si>
  <si>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</si>
  <si>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</si>
  <si>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</si>
  <si>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</si>
  <si>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</si>
  <si>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</si>
  <si>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</si>
  <si>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</si>
  <si>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</si>
  <si>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</si>
  <si>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</si>
  <si>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</si>
  <si>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</si>
  <si>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</si>
  <si>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</si>
  <si>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</si>
  <si>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</si>
  <si>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</si>
  <si>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</si>
  <si>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</si>
  <si>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</si>
  <si>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</si>
  <si>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</si>
  <si>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</si>
  <si>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</si>
  <si>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</si>
  <si>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</si>
  <si>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</si>
  <si>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</si>
  <si>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</si>
  <si>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</si>
  <si>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</si>
  <si>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</si>
  <si>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</si>
  <si>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</si>
  <si>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</si>
  <si>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</si>
  <si>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</si>
  <si>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</si>
  <si>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</si>
  <si>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</si>
  <si>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</si>
  <si>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</si>
  <si>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</si>
  <si>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</si>
  <si>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</si>
  <si>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</si>
  <si>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</si>
  <si>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</si>
  <si>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</si>
  <si>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</si>
  <si>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</si>
  <si>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</si>
  <si>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</si>
  <si>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</si>
  <si>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</si>
  <si>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</si>
  <si>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</si>
  <si>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</si>
  <si>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</si>
  <si>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</si>
  <si>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</si>
  <si>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</si>
  <si>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</si>
  <si>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</si>
  <si>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</si>
  <si>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</si>
  <si>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</si>
  <si>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</si>
  <si>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</si>
  <si>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</si>
  <si>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</si>
  <si>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</si>
  <si>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</si>
  <si>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</si>
  <si>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</si>
  <si>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</si>
  <si>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</si>
  <si>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</si>
  <si>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</si>
  <si>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</si>
  <si>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</si>
  <si>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</si>
  <si>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</si>
  <si>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</si>
  <si>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</si>
  <si>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</si>
  <si>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</si>
  <si>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</si>
  <si>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</si>
  <si>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</si>
  <si>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</si>
  <si>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</si>
  <si>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</si>
  <si>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</si>
  <si>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</si>
  <si>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</si>
  <si>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</si>
  <si>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</si>
  <si>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</si>
  <si>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</si>
  <si>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</si>
  <si>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</si>
  <si>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</si>
  <si>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</si>
  <si>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</si>
  <si>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</si>
  <si>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</si>
  <si>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</si>
  <si>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</si>
  <si>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</si>
  <si>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</si>
  <si>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</si>
  <si>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</si>
  <si>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</si>
  <si>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</si>
  <si>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</si>
  <si>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</si>
  <si>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</si>
  <si>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</si>
  <si>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</si>
  <si>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</si>
  <si>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</si>
  <si>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</si>
  <si>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</si>
  <si>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</si>
  <si>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</si>
  <si>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</si>
  <si>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</si>
  <si>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</si>
  <si>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</si>
  <si>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</si>
  <si>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</si>
  <si>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</si>
  <si>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</si>
  <si>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</si>
  <si>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</si>
  <si>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</si>
  <si>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</si>
  <si>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</si>
  <si>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</si>
  <si>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</si>
  <si>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</si>
  <si>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</si>
  <si>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</si>
  <si>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</si>
  <si>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</si>
  <si>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</si>
  <si>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</si>
  <si>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</si>
  <si>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</si>
  <si>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</si>
  <si>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</si>
  <si>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</si>
  <si>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</si>
  <si>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</si>
  <si>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</si>
  <si>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</si>
  <si>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</si>
  <si>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</si>
  <si>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</si>
  <si>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</si>
  <si>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</si>
  <si>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</si>
  <si>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</si>
  <si>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</si>
  <si>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</si>
  <si>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</si>
  <si>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</si>
  <si>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</si>
  <si>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</si>
  <si>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</si>
  <si>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</si>
  <si>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</si>
  <si>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</si>
  <si>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</si>
  <si>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</si>
  <si>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</si>
  <si>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</si>
  <si>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</si>
  <si>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</si>
  <si>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</si>
  <si>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</si>
  <si>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</si>
  <si>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</si>
  <si>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</si>
  <si>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</si>
  <si>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</si>
  <si>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</si>
  <si>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</si>
  <si>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</si>
  <si>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</si>
  <si>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</si>
  <si>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</si>
  <si>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</si>
  <si>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</si>
  <si>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</si>
  <si>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</si>
  <si>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</si>
  <si>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</si>
  <si>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</si>
  <si>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</si>
  <si>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</si>
  <si>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</si>
  <si>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</si>
  <si>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</si>
  <si>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</si>
  <si>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</si>
  <si>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</si>
  <si>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</si>
  <si>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</si>
  <si>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</si>
  <si>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</si>
  <si>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</si>
  <si>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</si>
  <si>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</si>
  <si>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</si>
  <si>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</si>
  <si>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</si>
  <si>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</si>
  <si>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</si>
  <si>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</si>
  <si>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</si>
  <si>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</si>
  <si>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</si>
  <si>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</si>
  <si>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</si>
  <si>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</si>
  <si>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</si>
  <si>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</si>
  <si>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</si>
  <si>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</si>
  <si>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</si>
  <si>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</si>
  <si>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</si>
  <si>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</si>
  <si>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</si>
  <si>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</si>
  <si>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</si>
  <si>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</si>
  <si>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</si>
  <si>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</si>
  <si>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</si>
  <si>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</si>
  <si>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</si>
  <si>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</si>
  <si>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</si>
  <si>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</si>
  <si>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</si>
  <si>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</si>
  <si>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</si>
  <si>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</si>
  <si>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</si>
  <si>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</si>
  <si>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</si>
  <si>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</si>
  <si>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</si>
  <si>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</si>
  <si>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</si>
  <si>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</si>
  <si>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</si>
  <si>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</si>
  <si>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</si>
  <si>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</si>
  <si>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</si>
  <si>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</si>
  <si>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</si>
  <si>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</si>
  <si>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</si>
  <si>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</si>
  <si>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</si>
  <si>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</si>
  <si>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</si>
  <si>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</si>
  <si>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</si>
  <si>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</si>
  <si>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</si>
  <si>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</si>
  <si>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</si>
  <si>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</si>
  <si>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</si>
  <si>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</si>
  <si>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</si>
  <si>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</si>
  <si>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</si>
  <si>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</si>
  <si>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</si>
  <si>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</si>
  <si>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</si>
  <si>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</si>
  <si>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</si>
  <si>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</si>
  <si>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</si>
  <si>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</si>
  <si>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</si>
  <si>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</si>
  <si>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</si>
  <si>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</si>
  <si>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</si>
  <si>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</si>
  <si>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</si>
  <si>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</si>
  <si>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</si>
  <si>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</si>
  <si>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</si>
  <si>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</si>
  <si>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</si>
  <si>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</si>
  <si>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</si>
  <si>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</si>
  <si>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</si>
  <si>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</si>
  <si>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</si>
  <si>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</si>
  <si>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</si>
  <si>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</si>
  <si>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</si>
  <si>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</si>
  <si>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</si>
  <si>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</si>
  <si>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</si>
  <si>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</si>
  <si>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</si>
  <si>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</si>
  <si>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</si>
  <si>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</si>
  <si>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</si>
  <si>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</si>
  <si>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</si>
  <si>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</si>
  <si>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</si>
  <si>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</si>
  <si>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</si>
  <si>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</si>
  <si>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</si>
  <si>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</si>
  <si>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</si>
  <si>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</si>
  <si>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</si>
  <si>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</si>
  <si>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</si>
  <si>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</si>
  <si>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</si>
  <si>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</si>
  <si>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</si>
  <si>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</si>
  <si>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</si>
  <si>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</si>
  <si>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</si>
  <si>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</si>
  <si>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</si>
  <si>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</si>
  <si>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</si>
  <si>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</si>
  <si>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</si>
  <si>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</si>
  <si>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</si>
  <si>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</si>
  <si>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</si>
  <si>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</si>
  <si>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</si>
  <si>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</si>
  <si>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</si>
  <si>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</si>
  <si>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</si>
  <si>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</si>
  <si>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</si>
  <si>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</si>
  <si>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</si>
  <si>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</si>
  <si>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</si>
  <si>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</si>
  <si>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</si>
  <si>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</si>
  <si>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</si>
  <si>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</si>
  <si>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</si>
  <si>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</si>
  <si>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</si>
  <si>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</si>
  <si>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</si>
  <si>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</si>
  <si>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</si>
  <si>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</si>
  <si>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</si>
  <si>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</si>
  <si>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</si>
  <si>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</si>
  <si>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</si>
  <si>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</si>
  <si>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</si>
  <si>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</si>
  <si>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</si>
  <si>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</si>
  <si>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</si>
  <si>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</si>
  <si>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</si>
  <si>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</si>
  <si>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</si>
  <si>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</si>
  <si>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</si>
  <si>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</si>
  <si>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</si>
  <si>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</si>
  <si>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</si>
  <si>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</si>
  <si>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</si>
  <si>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</si>
  <si>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</si>
  <si>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</si>
  <si>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</si>
  <si>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</si>
  <si>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</si>
  <si>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</si>
  <si>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</si>
  <si>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</si>
  <si>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</si>
  <si>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</si>
  <si>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</si>
  <si>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</si>
  <si>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</si>
  <si>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</si>
  <si>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</si>
  <si>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</si>
  <si>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</si>
  <si>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</si>
  <si>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</si>
  <si>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</si>
  <si>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</si>
  <si>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</si>
  <si>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</si>
  <si>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</si>
  <si>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</si>
  <si>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</si>
  <si>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</si>
  <si>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</si>
  <si>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</si>
  <si>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</si>
  <si>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</si>
  <si>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</si>
  <si>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</si>
  <si>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</si>
  <si>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</si>
  <si>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</si>
  <si>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</si>
  <si>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</si>
  <si>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</si>
  <si>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</si>
  <si>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</si>
  <si>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</si>
  <si>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</si>
  <si>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</si>
  <si>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</si>
  <si>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</si>
  <si>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</si>
  <si>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</si>
  <si>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</si>
  <si>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</si>
  <si>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</si>
  <si>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</si>
  <si>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</si>
  <si>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</si>
  <si>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</si>
  <si>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</si>
  <si>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</si>
  <si>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</si>
  <si>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</si>
  <si>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</si>
  <si>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</si>
  <si>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</si>
  <si>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</si>
  <si>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</si>
  <si>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</si>
  <si>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</si>
  <si>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</si>
  <si>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</si>
  <si>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</si>
  <si>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</si>
  <si>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</si>
  <si>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</si>
  <si>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</si>
  <si>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</si>
  <si>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</si>
  <si>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</si>
  <si>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</si>
  <si>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</si>
  <si>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</si>
  <si>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</si>
  <si>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</si>
  <si>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</si>
  <si>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</si>
  <si>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</si>
  <si>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</si>
  <si>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</si>
  <si>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</si>
  <si>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</si>
  <si>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</si>
  <si>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</si>
  <si>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</si>
  <si>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</si>
  <si>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</si>
  <si>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</si>
  <si>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</si>
  <si>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</si>
  <si>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</si>
  <si>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</si>
  <si>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</si>
  <si>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</si>
  <si>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</si>
  <si>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</si>
  <si>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</si>
  <si>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</si>
  <si>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</si>
  <si>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</si>
  <si>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</si>
  <si>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</si>
  <si>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</si>
  <si>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</si>
  <si>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</si>
  <si>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</si>
  <si>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</si>
  <si>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</si>
  <si>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</si>
  <si>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</si>
  <si>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</si>
  <si>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</si>
  <si>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</si>
  <si>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</si>
  <si>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</si>
  <si>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</si>
  <si>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</si>
  <si>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</si>
  <si>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</si>
  <si>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</si>
  <si>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</si>
  <si>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</si>
  <si>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</si>
  <si>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</si>
  <si>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</si>
  <si>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</si>
  <si>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</si>
  <si>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</si>
  <si>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</si>
  <si>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</si>
  <si>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</si>
  <si>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</si>
  <si>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</si>
  <si>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</si>
  <si>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</si>
  <si>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</si>
  <si>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</si>
  <si>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</si>
  <si>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</si>
  <si>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</si>
  <si>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</si>
  <si>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</si>
  <si>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</si>
  <si>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</si>
  <si>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</si>
  <si>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</si>
  <si>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</si>
  <si>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</si>
  <si>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</si>
  <si>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</si>
  <si>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</si>
  <si>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</si>
  <si>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</si>
  <si>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</si>
  <si>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</si>
  <si>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</si>
  <si>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</si>
  <si>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</si>
  <si>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</si>
  <si>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</si>
  <si>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</si>
  <si>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</si>
  <si>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</si>
  <si>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</si>
  <si>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</si>
  <si>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</si>
  <si>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</si>
  <si>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</si>
  <si>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</si>
  <si>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</si>
  <si>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</si>
  <si>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</si>
  <si>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</si>
  <si>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</si>
  <si>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</si>
  <si>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</si>
  <si>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</si>
  <si>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</si>
  <si>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</si>
  <si>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</si>
  <si>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</si>
  <si>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</si>
  <si>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</si>
  <si>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</si>
  <si>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</si>
  <si>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</si>
  <si>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</si>
  <si>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</si>
  <si>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</si>
  <si>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</si>
  <si>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</si>
  <si>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</si>
  <si>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</si>
  <si>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</si>
  <si>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</si>
  <si>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</si>
  <si>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</si>
  <si>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</si>
  <si>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</si>
  <si>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</si>
  <si>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</si>
  <si>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</si>
  <si>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</si>
  <si>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</si>
  <si>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</si>
  <si>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</si>
  <si>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</si>
  <si>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</si>
  <si>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</si>
  <si>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</si>
  <si>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</si>
  <si>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</si>
  <si>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</si>
  <si>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</si>
  <si>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</si>
  <si>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</si>
  <si>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</si>
  <si>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</si>
  <si>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</si>
  <si>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</si>
  <si>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</si>
  <si>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</si>
  <si>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</si>
  <si>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</si>
  <si>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</si>
  <si>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</si>
  <si>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</si>
  <si>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</si>
  <si>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</si>
  <si>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</si>
  <si>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</si>
  <si>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</si>
  <si>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</si>
  <si>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</si>
  <si>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</si>
  <si>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</si>
  <si>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</si>
  <si>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</si>
  <si>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</si>
  <si>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</si>
  <si>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</si>
  <si>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</si>
  <si>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</si>
  <si>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</si>
  <si>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</si>
  <si>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</si>
  <si>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</si>
  <si>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</si>
  <si>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</si>
  <si>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</si>
  <si>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</si>
  <si>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</si>
  <si>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</si>
  <si>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</si>
  <si>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</si>
  <si>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</si>
  <si>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</si>
  <si>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</si>
  <si>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</si>
  <si>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</si>
  <si>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</si>
  <si>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</si>
  <si>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</si>
  <si>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</si>
  <si>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</si>
  <si>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</si>
  <si>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</si>
  <si>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</si>
  <si>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</si>
  <si>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</si>
  <si>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</si>
  <si>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</si>
  <si>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</si>
  <si>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</si>
  <si>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</si>
  <si>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</si>
  <si>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</si>
  <si>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</si>
  <si>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</si>
  <si>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</si>
  <si>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</si>
  <si>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</si>
  <si>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</si>
  <si>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</si>
  <si>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</si>
  <si>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</si>
  <si>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</si>
  <si>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</si>
  <si>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</si>
  <si>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</si>
  <si>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</si>
  <si>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</si>
  <si>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</si>
  <si>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</si>
  <si>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</si>
  <si>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</si>
  <si>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</si>
  <si>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</si>
  <si>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</si>
  <si>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</si>
  <si>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</si>
  <si>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</si>
  <si>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</si>
  <si>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</si>
  <si>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</si>
  <si>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</si>
  <si>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</si>
  <si>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</si>
  <si>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</si>
  <si>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</si>
  <si>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</si>
  <si>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</si>
  <si>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</si>
  <si>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</si>
  <si>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</si>
  <si>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</si>
  <si>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</si>
  <si>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</si>
  <si>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</si>
  <si>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</si>
  <si>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</si>
  <si>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</si>
  <si>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</si>
  <si>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</si>
  <si>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</si>
  <si>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</si>
  <si>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</si>
  <si>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</si>
  <si>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</si>
  <si>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</si>
  <si>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</si>
  <si>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</si>
  <si>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</si>
  <si>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</si>
  <si>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</si>
  <si>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</si>
  <si>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</si>
  <si>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</si>
  <si>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</si>
  <si>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</si>
  <si>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</si>
  <si>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</si>
  <si>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</si>
  <si>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</si>
  <si>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</si>
  <si>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</si>
  <si>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</si>
  <si>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</si>
  <si>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</si>
  <si>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</si>
  <si>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</si>
  <si>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</si>
  <si>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</si>
  <si>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</si>
  <si>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</si>
  <si>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</si>
  <si>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</si>
  <si>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</si>
  <si>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</si>
  <si>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</si>
  <si>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</si>
  <si>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</si>
  <si>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</si>
  <si>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</si>
  <si>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</si>
  <si>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</si>
  <si>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</si>
  <si>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</si>
  <si>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</si>
  <si>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</si>
  <si>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</si>
  <si>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</si>
  <si>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</si>
  <si>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</si>
  <si>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</si>
  <si>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</si>
  <si>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</si>
  <si>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</si>
  <si>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</si>
  <si>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</si>
  <si>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</si>
  <si>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</si>
  <si>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</si>
  <si>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</si>
  <si>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</si>
  <si>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</si>
  <si>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</si>
  <si>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</si>
  <si>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</si>
  <si>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</si>
  <si>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</si>
  <si>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</si>
  <si>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</si>
  <si>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</si>
  <si>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</si>
  <si>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</si>
  <si>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</si>
  <si>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</si>
  <si>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</si>
  <si>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</si>
  <si>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</si>
  <si>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</si>
  <si>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</si>
  <si>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</si>
  <si>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</si>
  <si>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</si>
  <si>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</si>
  <si>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</si>
  <si>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</si>
  <si>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</si>
  <si>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</si>
  <si>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</si>
  <si>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</si>
  <si>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</si>
  <si>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</si>
  <si>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</si>
  <si>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</si>
  <si>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</si>
  <si>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</si>
  <si>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</si>
  <si>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</si>
  <si>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</si>
  <si>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</si>
  <si>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</si>
  <si>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</si>
  <si>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</si>
  <si>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</si>
  <si>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</si>
  <si>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</si>
  <si>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</si>
  <si>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</si>
  <si>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</si>
  <si>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</si>
  <si>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</si>
  <si>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</si>
  <si>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</si>
  <si>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</si>
  <si>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</si>
  <si>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</si>
  <si>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</si>
  <si>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</si>
  <si>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</si>
  <si>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</si>
  <si>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</si>
  <si>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</si>
  <si>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</si>
  <si>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</si>
  <si>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</si>
  <si>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</si>
  <si>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</si>
  <si>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</si>
  <si>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</si>
  <si>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</si>
  <si>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</si>
  <si>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</si>
  <si>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</si>
  <si>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</si>
  <si>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</si>
  <si>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</si>
  <si>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</si>
  <si>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</si>
  <si>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</si>
  <si>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</si>
  <si>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</si>
  <si>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</si>
  <si>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</si>
  <si>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</si>
  <si>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</si>
  <si>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</si>
  <si>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</si>
  <si>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</si>
  <si>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</si>
  <si>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</si>
  <si>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</si>
  <si>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</si>
  <si>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</si>
  <si>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</si>
  <si>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</si>
  <si>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</si>
  <si>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</si>
  <si>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</si>
  <si>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</si>
  <si>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</si>
  <si>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</si>
  <si>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</si>
  <si>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</si>
  <si>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</si>
  <si>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</si>
  <si>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</si>
  <si>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</si>
  <si>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</si>
  <si>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</si>
  <si>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</si>
  <si>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</si>
  <si>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</si>
  <si>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</si>
  <si>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</si>
  <si>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</si>
  <si>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</si>
  <si>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</si>
  <si>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</si>
  <si>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</si>
  <si>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</si>
  <si>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</si>
  <si>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</si>
  <si>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</si>
  <si>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</si>
  <si>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</si>
  <si>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</si>
  <si>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</si>
  <si>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</si>
  <si>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</si>
  <si>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</si>
  <si>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</si>
  <si>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</si>
  <si>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</si>
  <si>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</si>
  <si>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</si>
  <si>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</si>
  <si>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</si>
  <si>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</si>
  <si>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</si>
  <si>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</si>
  <si>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</si>
  <si>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</si>
  <si>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</si>
  <si>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</si>
  <si>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</si>
  <si>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</si>
  <si>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</si>
  <si>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</si>
  <si>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</si>
  <si>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</si>
  <si>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</si>
  <si>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</si>
  <si>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</si>
  <si>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</si>
  <si>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</si>
  <si>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</si>
  <si>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</si>
  <si>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</si>
  <si>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</si>
  <si>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</si>
  <si>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</si>
  <si>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</si>
  <si>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</si>
  <si>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</si>
  <si>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</si>
  <si>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</si>
  <si>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</si>
  <si>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</si>
  <si>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</si>
  <si>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</si>
  <si>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</si>
  <si>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</si>
  <si>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</si>
  <si>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</si>
  <si>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</si>
  <si>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</si>
  <si>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</si>
  <si>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</si>
  <si>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</si>
  <si>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</si>
  <si>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</si>
  <si>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</si>
  <si>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</si>
  <si>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</si>
  <si>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</si>
  <si>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</si>
  <si>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</si>
  <si>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</si>
  <si>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</si>
  <si>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</si>
  <si>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</si>
  <si>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</si>
  <si>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</si>
  <si>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</si>
  <si>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</si>
  <si>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</si>
  <si>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</si>
  <si>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</si>
  <si>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</si>
  <si>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</si>
  <si>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</si>
  <si>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</si>
  <si>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</si>
  <si>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</si>
  <si>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</si>
  <si>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</si>
  <si>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</si>
  <si>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</si>
  <si>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</si>
  <si>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</si>
  <si>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</si>
  <si>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</si>
  <si>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</si>
  <si>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</si>
  <si>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</si>
  <si>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</si>
  <si>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</si>
  <si>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</si>
  <si>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</si>
  <si>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</si>
  <si>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</si>
  <si>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</si>
  <si>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</si>
  <si>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</si>
  <si>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</si>
  <si>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</si>
  <si>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</si>
  <si>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</si>
  <si>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</si>
  <si>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</si>
  <si>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</si>
  <si>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</si>
  <si>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</si>
  <si>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</si>
  <si>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</si>
  <si>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</si>
  <si>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</si>
  <si>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</si>
  <si>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</si>
  <si>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</si>
  <si>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</si>
  <si>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</si>
  <si>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</si>
  <si>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</si>
  <si>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</si>
  <si>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</si>
  <si>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</si>
  <si>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</si>
  <si>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</si>
  <si>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</si>
  <si>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</si>
  <si>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</si>
  <si>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</si>
  <si>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</si>
  <si>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</si>
  <si>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</si>
  <si>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</si>
  <si>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</si>
  <si>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</si>
  <si>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</si>
  <si>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</si>
  <si>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</si>
  <si>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</si>
  <si>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</si>
  <si>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</si>
  <si>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</si>
  <si>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</si>
  <si>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</si>
  <si>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</si>
  <si>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</si>
  <si>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</si>
  <si>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</si>
  <si>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</si>
  <si>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</si>
  <si>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</si>
  <si>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</si>
  <si>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</si>
  <si>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</si>
  <si>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</si>
  <si>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</si>
  <si>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</si>
  <si>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</si>
  <si>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</si>
  <si>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</si>
  <si>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</si>
  <si>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</si>
  <si>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</si>
  <si>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</si>
  <si>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</si>
  <si>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</si>
  <si>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</si>
  <si>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</si>
  <si>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</si>
  <si>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</si>
  <si>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</si>
  <si>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</si>
  <si>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</si>
  <si>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</si>
  <si>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</si>
  <si>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</si>
  <si>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</si>
  <si>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</si>
  <si>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</si>
  <si>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</si>
  <si>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</si>
  <si>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</si>
  <si>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</si>
  <si>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</si>
  <si>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</si>
  <si>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</si>
  <si>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</si>
  <si>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</si>
  <si>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</si>
  <si>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</si>
  <si>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</si>
  <si>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</si>
  <si>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</si>
  <si>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</si>
  <si>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</si>
  <si>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</si>
  <si>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</si>
  <si>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</si>
  <si>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</si>
  <si>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</si>
  <si>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</si>
  <si>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</si>
  <si>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</si>
  <si>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</si>
  <si>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</si>
  <si>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</si>
  <si>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</si>
  <si>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</si>
  <si>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</si>
  <si>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</si>
  <si>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</si>
  <si>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</si>
  <si>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</si>
  <si>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</si>
  <si>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</si>
  <si>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</si>
  <si>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</si>
  <si>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</si>
  <si>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</si>
  <si>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</si>
  <si>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</si>
  <si>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</si>
  <si>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</si>
  <si>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</si>
  <si>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</si>
  <si>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</si>
  <si>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</si>
  <si>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</si>
  <si>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</si>
  <si>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</si>
  <si>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</si>
  <si>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</si>
  <si>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</si>
  <si>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</si>
  <si>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</si>
  <si>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</si>
  <si>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</si>
  <si>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</si>
  <si>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</si>
  <si>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</si>
  <si>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</si>
  <si>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</si>
  <si>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</si>
  <si>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</si>
  <si>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</si>
  <si>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</si>
  <si>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</si>
  <si>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</si>
  <si>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</si>
  <si>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</si>
  <si>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</si>
  <si>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</si>
  <si>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</si>
  <si>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</si>
  <si>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</si>
  <si>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</si>
  <si>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</si>
  <si>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</si>
  <si>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</si>
  <si>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</si>
  <si>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</si>
  <si>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</si>
  <si>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</si>
  <si>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</si>
  <si>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</si>
  <si>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</si>
  <si>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</si>
  <si>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</si>
  <si>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</si>
  <si>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</si>
  <si>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</si>
  <si>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</si>
  <si>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</si>
  <si>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</si>
  <si>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</si>
  <si>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</si>
  <si>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</si>
  <si>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</si>
  <si>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</si>
  <si>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</si>
  <si>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</si>
  <si>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</si>
  <si>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</si>
  <si>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</si>
  <si>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</si>
  <si>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</si>
  <si>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</si>
  <si>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</si>
  <si>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</si>
  <si>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</si>
  <si>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</si>
  <si>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</si>
  <si>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</si>
  <si>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</si>
  <si>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</si>
  <si>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</si>
  <si>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</si>
  <si>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</si>
  <si>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</si>
  <si>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</si>
  <si>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</si>
  <si>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</si>
  <si>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</si>
  <si>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</si>
  <si>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</si>
  <si>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</si>
  <si>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</si>
  <si>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</si>
  <si>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</si>
  <si>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</si>
  <si>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</si>
  <si>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</si>
  <si>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</si>
  <si>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</si>
  <si>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</si>
  <si>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</si>
  <si>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</si>
  <si>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</si>
  <si>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</si>
  <si>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</si>
  <si>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</si>
  <si>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</si>
  <si>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</si>
  <si>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</si>
  <si>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</si>
  <si>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</si>
  <si>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</si>
  <si>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</si>
  <si>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</si>
  <si>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</si>
  <si>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</si>
  <si>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</si>
  <si>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</si>
  <si>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</si>
  <si>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</si>
  <si>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</si>
  <si>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</si>
  <si>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</si>
  <si>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</si>
  <si>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</si>
  <si>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</si>
  <si>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</si>
  <si>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</si>
  <si>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</si>
  <si>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</si>
  <si>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</si>
  <si>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</si>
  <si>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</si>
  <si>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</si>
  <si>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</si>
  <si>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</si>
  <si>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</si>
  <si>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</si>
  <si>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</si>
  <si>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</si>
  <si>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</si>
  <si>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</si>
  <si>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</si>
  <si>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</si>
  <si>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</si>
  <si>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</si>
  <si>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</si>
  <si>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</si>
  <si>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</si>
  <si>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</si>
  <si>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</si>
  <si>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</si>
  <si>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</si>
  <si>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</si>
  <si>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</si>
  <si>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</si>
  <si>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</si>
  <si>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</si>
  <si>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</si>
  <si>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</si>
  <si>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</si>
  <si>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</si>
  <si>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</si>
  <si>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</si>
  <si>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</si>
  <si>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</si>
  <si>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</si>
  <si>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</si>
  <si>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</si>
  <si>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</si>
  <si>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</si>
  <si>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</si>
  <si>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</si>
  <si>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</si>
  <si>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</si>
  <si>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</si>
  <si>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</si>
  <si>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</si>
  <si>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</si>
  <si>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</si>
  <si>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</si>
  <si>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</si>
  <si>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</si>
  <si>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</si>
  <si>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</si>
  <si>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</si>
  <si>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</si>
  <si>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</si>
  <si>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</si>
  <si>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</si>
  <si>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</si>
  <si>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</si>
  <si>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</si>
  <si>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</si>
  <si>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</si>
  <si>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</si>
  <si>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</si>
  <si>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</si>
  <si>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</si>
  <si>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</si>
  <si>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</si>
  <si>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</si>
  <si>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</si>
  <si>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</si>
  <si>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</si>
  <si>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</si>
  <si>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</si>
  <si>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</si>
  <si>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</si>
  <si>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</si>
  <si>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</si>
  <si>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</si>
  <si>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</si>
  <si>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</si>
  <si>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</si>
  <si>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</si>
  <si>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</si>
  <si>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</si>
  <si>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</si>
  <si>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</si>
  <si>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</si>
  <si>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</si>
  <si>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</si>
  <si>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</si>
  <si>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</si>
  <si>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</si>
  <si>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</si>
  <si>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</si>
  <si>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</si>
  <si>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</si>
  <si>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</si>
  <si>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</si>
  <si>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</si>
  <si>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</si>
  <si>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</si>
  <si>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</si>
  <si>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</si>
  <si>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</si>
  <si>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</si>
  <si>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</si>
  <si>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</si>
  <si>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</si>
  <si>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</si>
  <si>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</si>
  <si>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</si>
  <si>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</si>
  <si>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</si>
  <si>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</si>
  <si>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</si>
  <si>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</si>
  <si>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</si>
  <si>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</si>
  <si>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</si>
  <si>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</si>
  <si>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</si>
  <si>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</si>
  <si>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</si>
  <si>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</si>
  <si>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</si>
  <si>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</si>
  <si>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</si>
  <si>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</si>
  <si>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</si>
  <si>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</si>
  <si>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</si>
  <si>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</si>
  <si>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</si>
  <si>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</si>
  <si>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</si>
  <si>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</si>
  <si>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</si>
  <si>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</si>
  <si>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</si>
  <si>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</si>
  <si>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</si>
  <si>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</si>
  <si>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</si>
  <si>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</si>
  <si>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</si>
  <si>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</si>
  <si>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</si>
  <si>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</si>
  <si>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</si>
  <si>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</si>
  <si>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</si>
  <si>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</si>
  <si>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</si>
  <si>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</si>
  <si>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</si>
  <si>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</si>
  <si>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</si>
  <si>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</si>
  <si>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</si>
  <si>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</si>
  <si>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</si>
  <si>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</si>
  <si>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</si>
  <si>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</si>
  <si>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</si>
  <si>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</si>
  <si>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</si>
  <si>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</si>
  <si>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</si>
  <si>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</si>
  <si>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</si>
  <si>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</si>
  <si>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</si>
  <si>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</si>
  <si>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</si>
  <si>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</si>
  <si>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</si>
  <si>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</si>
  <si>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</si>
  <si>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</si>
  <si>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</si>
  <si>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</si>
  <si>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</si>
  <si>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</si>
  <si>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</si>
  <si>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</si>
  <si>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</si>
  <si>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</si>
  <si>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</si>
  <si>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</si>
  <si>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</si>
  <si>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</si>
  <si>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</si>
  <si>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</si>
  <si>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</si>
  <si>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</si>
  <si>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</si>
  <si>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</si>
  <si>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</si>
  <si>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</si>
  <si>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</si>
  <si>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</si>
  <si>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</si>
  <si>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</si>
  <si>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</si>
  <si>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</si>
  <si>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</si>
  <si>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</si>
  <si>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</si>
  <si>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</si>
  <si>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</si>
  <si>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</si>
  <si>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</si>
  <si>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</si>
  <si>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</si>
  <si>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</si>
  <si>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</si>
  <si>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</si>
  <si>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</si>
  <si>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</si>
  <si>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</si>
  <si>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</si>
  <si>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</si>
  <si>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</si>
  <si>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</si>
  <si>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</si>
  <si>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</si>
  <si>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</si>
  <si>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</si>
  <si>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</si>
  <si>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</si>
  <si>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</si>
  <si>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</si>
  <si>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</si>
  <si>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</si>
  <si>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</si>
  <si>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</si>
  <si>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</si>
  <si>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</si>
  <si>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</si>
  <si>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</si>
  <si>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</si>
  <si>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</si>
  <si>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</si>
  <si>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</si>
  <si>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</si>
  <si>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</si>
  <si>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</si>
  <si>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</si>
  <si>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</si>
  <si>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</si>
  <si>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</si>
  <si>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</si>
  <si>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</si>
  <si>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</si>
  <si>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</si>
  <si>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</si>
  <si>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</si>
  <si>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</si>
  <si>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</si>
  <si>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</si>
  <si>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</si>
  <si>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</si>
  <si>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</si>
  <si>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</si>
  <si>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</si>
  <si>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</si>
  <si>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</si>
  <si>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</si>
  <si>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</si>
  <si>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</si>
  <si>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</si>
  <si>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</si>
  <si>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</si>
  <si>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</si>
  <si>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</si>
  <si>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</si>
  <si>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</si>
  <si>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</si>
  <si>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</si>
  <si>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</si>
  <si>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</si>
  <si>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</si>
  <si>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</si>
  <si>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</si>
  <si>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</si>
  <si>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</si>
  <si>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</si>
  <si>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</si>
  <si>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</si>
  <si>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</si>
  <si>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</si>
  <si>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</si>
  <si>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</si>
  <si>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</si>
  <si>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</si>
  <si>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</si>
  <si>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</si>
  <si>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</si>
  <si>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</si>
  <si>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</si>
  <si>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</si>
  <si>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</si>
  <si>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</si>
  <si>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</si>
  <si>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</si>
  <si>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</si>
  <si>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</si>
  <si>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</si>
  <si>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</si>
  <si>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</si>
  <si>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</si>
  <si>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</si>
  <si>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</si>
  <si>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</si>
  <si>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</si>
  <si>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</si>
  <si>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</si>
  <si>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</si>
  <si>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</si>
  <si>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</si>
  <si>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</si>
  <si>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</si>
  <si>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</si>
  <si>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</si>
  <si>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</si>
  <si>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</si>
  <si>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</si>
  <si>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</si>
  <si>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</si>
  <si>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</si>
  <si>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</si>
  <si>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</si>
  <si>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</si>
  <si>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</si>
  <si>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</si>
  <si>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</si>
  <si>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</si>
  <si>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</si>
  <si>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</si>
  <si>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</si>
  <si>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</si>
  <si>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</si>
  <si>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</si>
  <si>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</si>
  <si>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</si>
  <si>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</si>
  <si>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</si>
  <si>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</si>
  <si>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</si>
  <si>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</si>
  <si>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</si>
  <si>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</si>
  <si>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</si>
  <si>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</si>
  <si>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</si>
  <si>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Non Professional</t>
  </si>
  <si>
    <t>Customer Model</t>
  </si>
  <si>
    <t>Customer Name</t>
  </si>
  <si>
    <t>Add Asset</t>
  </si>
  <si>
    <t>;</t>
  </si>
  <si>
    <t>Appno</t>
  </si>
  <si>
    <t>branch 1</t>
  </si>
  <si>
    <t>name 1</t>
  </si>
  <si>
    <t>2138712937</t>
  </si>
  <si>
    <t>branch 2</t>
  </si>
  <si>
    <t>name 2</t>
  </si>
  <si>
    <t>213812639</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</si>
  <si>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</si>
  <si>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</si>
  <si>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</si>
  <si>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</si>
  <si>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</si>
  <si>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</si>
  <si>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</si>
  <si>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</si>
  <si>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</si>
  <si>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</si>
  <si>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</si>
  <si>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</si>
  <si>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</si>
  <si>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</si>
  <si>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</si>
  <si>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</si>
  <si>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</si>
  <si>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SURYA</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</si>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</sst>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0002APP20211205214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3286</v>
      </c>
      <c r="C1" s="1" t="s">
        <v>3286</v>
      </c>
      <c r="D1" s="1" t="s">
        <v>3286</v>
      </c>
      <c r="E1" s="1" t="s">
        <v>3286</v>
      </c>
      <c r="F1" s="1" t="s">
        <v>3286</v>
      </c>
    </row>
    <row customFormat="1" r="2" s="1" spans="1:11" x14ac:dyDescent="0.25">
      <c r="A2" s="1" t="s">
        <v>4151</v>
      </c>
      <c r="B2" s="1" t="s">
        <v>4263</v>
      </c>
      <c r="C2" s="1" t="s">
        <v>4263</v>
      </c>
      <c r="D2" s="1" t="s">
        <v>4263</v>
      </c>
      <c r="E2" s="1" t="s">
        <v>4263</v>
      </c>
      <c r="F2" s="1" t="s">
        <v>4263</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0002APP20211205214</v>
      </c>
      <c r="C12" s="1" t="str">
        <f>'[1]1.TabCustomerMainData'!$B$13</f>
        <v>0002APP20211205214</v>
      </c>
      <c r="D12" s="1" t="str">
        <f>'[1]1.TabCustomerMainData'!$B$13</f>
        <v>0002APP20211205214</v>
      </c>
      <c r="E12" s="1" t="str">
        <f>'[1]1.TabCustomerMainData'!$B$13</f>
        <v>0002APP20211205214</v>
      </c>
    </row>
    <row customFormat="1" r="13" s="1" spans="1:11" x14ac:dyDescent="0.25">
      <c r="A13" s="47" t="s">
        <v>0</v>
      </c>
      <c r="B13" t="s">
        <v>4265</v>
      </c>
      <c r="C13" t="s">
        <v>4264</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A9" sqref="A9"/>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3286</v>
      </c>
      <c r="D1" t="s">
        <v>3286</v>
      </c>
      <c r="E1" s="1" t="s">
        <v>3286</v>
      </c>
      <c r="F1" s="1" t="s">
        <v>3286</v>
      </c>
    </row>
    <row customFormat="1" r="2" s="1" spans="1:11" x14ac:dyDescent="0.25">
      <c r="A2" s="1" t="s">
        <v>4151</v>
      </c>
      <c r="B2" s="1" t="s">
        <v>4263</v>
      </c>
      <c r="C2" s="1" t="s">
        <v>4263</v>
      </c>
      <c r="D2" s="1" t="s">
        <v>4263</v>
      </c>
      <c r="E2" s="1" t="s">
        <v>4263</v>
      </c>
      <c r="F2" s="1" t="s">
        <v>4263</v>
      </c>
    </row>
    <row customFormat="1" r="3" s="1" spans="1:11" x14ac:dyDescent="0.25">
      <c r="A3" s="1" t="s">
        <v>4152</v>
      </c>
    </row>
    <row customFormat="1" r="4" s="1" spans="1:11" x14ac:dyDescent="0.25">
      <c r="A4" s="1" t="s">
        <v>4177</v>
      </c>
      <c r="B4" s="1">
        <f>IF(B13="",COUNTIFS($A$12:$A$32, "*$*",B12:B32,""),0)</f>
        <v>2</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0002APP20211205214</v>
      </c>
      <c r="D9" s="1" t="str">
        <f>'1.CustomerDetail'!B12</f>
        <v>0002APP20211205214</v>
      </c>
    </row>
    <row customFormat="1" r="10" s="1" spans="1:11" x14ac:dyDescent="0.25">
      <c r="A10" s="1" t="s">
        <v>4237</v>
      </c>
      <c r="C10" s="1" t="str">
        <f>'1.CustomerDetail'!B13</f>
        <v>JASON</v>
      </c>
      <c r="D10" s="1" t="str">
        <f>'1.CustomerDetail'!B13</f>
        <v>JASON</v>
      </c>
    </row>
    <row customFormat="1" r="11" s="53" spans="1:11" x14ac:dyDescent="0.25">
      <c r="B11" s="54"/>
      <c r="C11" s="54"/>
    </row>
    <row customFormat="1" r="12" s="1" spans="1:11" x14ac:dyDescent="0.25">
      <c r="A12" s="37" t="s">
        <v>4181</v>
      </c>
      <c r="B12" s="1" t="s">
        <v>13</v>
      </c>
      <c r="C12" s="1" t="s">
        <v>13</v>
      </c>
      <c r="D12" s="1" t="s">
        <v>4060</v>
      </c>
      <c r="E12" s="1" t="s">
        <v>13</v>
      </c>
    </row>
    <row customFormat="1" r="13" s="1" spans="1:11" x14ac:dyDescent="0.25">
      <c r="A13" s="1" t="s">
        <v>14</v>
      </c>
    </row>
    <row customFormat="1" r="14" s="1" spans="1:11" x14ac:dyDescent="0.25">
      <c r="A14" s="37" t="s">
        <v>4182</v>
      </c>
      <c r="B14" s="1" t="s">
        <v>16</v>
      </c>
      <c r="C14" s="1" t="s">
        <v>17</v>
      </c>
      <c r="D14" s="1" t="s">
        <v>4261</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c r="C21" s="2">
        <v>123</v>
      </c>
      <c r="D21" s="2">
        <v>321</v>
      </c>
      <c r="E21" s="2"/>
      <c r="F21" s="2"/>
      <c r="G21" s="2"/>
      <c r="H21" s="2"/>
      <c r="I21" s="2"/>
      <c r="J21" s="2"/>
      <c r="K21" s="2"/>
    </row>
    <row customFormat="1" r="22" s="1" spans="1:11" x14ac:dyDescent="0.25">
      <c r="A22" s="37" t="s">
        <v>4190</v>
      </c>
      <c r="B22" s="2"/>
      <c r="C22" s="2">
        <v>4124</v>
      </c>
      <c r="D22" s="2">
        <v>6484</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A10:B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3286</v>
      </c>
      <c r="C1" s="1" t="s">
        <v>3286</v>
      </c>
      <c r="D1" s="1" t="s">
        <v>3286</v>
      </c>
      <c r="E1" s="1" t="s">
        <v>3286</v>
      </c>
      <c r="F1" s="1" t="s">
        <v>3286</v>
      </c>
    </row>
    <row customFormat="1" r="2" s="1" spans="1:11" x14ac:dyDescent="0.25">
      <c r="A2" s="1" t="s">
        <v>4151</v>
      </c>
      <c r="B2" s="1" t="s">
        <v>4263</v>
      </c>
      <c r="C2" s="1" t="s">
        <v>4263</v>
      </c>
      <c r="D2" s="1" t="s">
        <v>4263</v>
      </c>
      <c r="E2" s="1" t="s">
        <v>4263</v>
      </c>
      <c r="F2" s="1" t="s">
        <v>4263</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3561</v>
      </c>
      <c r="B10" s="1" t="str">
        <f>'1.CustomerDetail'!B$12</f>
        <v>0002APP20211205214</v>
      </c>
    </row>
    <row customFormat="1" r="11" s="65" spans="1:11" x14ac:dyDescent="0.25">
      <c r="A11" s="62" t="s">
        <v>4236</v>
      </c>
      <c r="B11" s="63"/>
      <c r="C11" s="63"/>
      <c r="D11" s="63"/>
      <c r="E11" s="63"/>
      <c r="F11" s="63"/>
      <c r="G11" s="63"/>
      <c r="H11" s="63"/>
      <c r="I11" s="63"/>
      <c r="J11" s="63"/>
      <c r="K11" s="64"/>
    </row>
    <row customFormat="1" r="12" s="1" spans="1:11" x14ac:dyDescent="0.25">
      <c r="A12" s="1" t="s">
        <v>4236</v>
      </c>
      <c r="B12" s="1" t="s">
        <v>4235</v>
      </c>
      <c r="C12" s="1" t="s">
        <v>4234</v>
      </c>
      <c r="D12" s="1" t="s">
        <v>4235</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7" workbookViewId="0">
      <selection activeCell="A10" sqref="A10:B10"/>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3286</v>
      </c>
      <c r="C1" s="1" t="s">
        <v>3286</v>
      </c>
      <c r="D1" s="1" t="s">
        <v>3286</v>
      </c>
      <c r="E1" s="1" t="s">
        <v>3286</v>
      </c>
      <c r="F1" s="1" t="s">
        <v>3286</v>
      </c>
    </row>
    <row customFormat="1" r="2" s="1" spans="1:11" x14ac:dyDescent="0.25">
      <c r="A2" s="1" t="s">
        <v>4151</v>
      </c>
      <c r="B2" s="1" t="s">
        <v>4263</v>
      </c>
      <c r="C2" s="1" t="s">
        <v>4263</v>
      </c>
      <c r="D2" s="1" t="s">
        <v>4263</v>
      </c>
      <c r="E2" s="1" t="s">
        <v>4263</v>
      </c>
      <c r="F2" s="1" t="s">
        <v>4263</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3561</v>
      </c>
      <c r="B10" s="1" t="str">
        <f>'1.CustomerDetail'!B$12</f>
        <v>0002APP20211205214</v>
      </c>
    </row>
    <row customFormat="1" r="11" s="53" spans="1:11" x14ac:dyDescent="0.25">
      <c r="B11" s="54"/>
      <c r="C11" s="54"/>
      <c r="D11" s="55"/>
      <c r="E11" s="55"/>
    </row>
    <row customFormat="1" r="12" s="1" spans="1:11" x14ac:dyDescent="0.25">
      <c r="A12" s="1" t="s">
        <v>4112</v>
      </c>
      <c r="B12" s="50" t="s">
        <v>4113</v>
      </c>
      <c r="C12" s="50" t="s">
        <v>4113</v>
      </c>
      <c r="D12" s="50" t="s">
        <v>4113</v>
      </c>
      <c r="E12" s="50" t="s">
        <v>4113</v>
      </c>
    </row>
    <row customFormat="1" r="13" s="1" spans="1:11" x14ac:dyDescent="0.25">
      <c r="A13" s="37" t="s">
        <v>4192</v>
      </c>
      <c r="B13" s="4"/>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B1" sqref="B1:E2"/>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3286</v>
      </c>
      <c r="C1" t="s">
        <v>3286</v>
      </c>
      <c r="D1" s="1" t="s">
        <v>3286</v>
      </c>
      <c r="E1" s="1" t="s">
        <v>3286</v>
      </c>
      <c r="F1" s="1" t="s">
        <v>3286</v>
      </c>
    </row>
    <row customFormat="1" r="2" s="1" spans="1:11" x14ac:dyDescent="0.25">
      <c r="A2" s="1" t="s">
        <v>4151</v>
      </c>
      <c r="B2" t="s">
        <v>4263</v>
      </c>
      <c r="C2" s="1" t="s">
        <v>4263</v>
      </c>
      <c r="D2" s="1" t="s">
        <v>4263</v>
      </c>
      <c r="E2" s="1" t="s">
        <v>4263</v>
      </c>
      <c r="F2" s="1" t="s">
        <v>4263</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4240</v>
      </c>
      <c r="B9" s="1" t="str">
        <f>'1.CustomerDetail'!B12</f>
        <v>0002APP20211205214</v>
      </c>
      <c r="C9" s="1" t="str">
        <f>'1.CustomerDetail'!B12</f>
        <v>0002APP20211205214</v>
      </c>
    </row>
    <row customFormat="1" r="10" s="1" spans="1:11" x14ac:dyDescent="0.25">
      <c r="A10" s="1" t="s">
        <v>4237</v>
      </c>
      <c r="B10" s="1" t="str">
        <f>'1.CustomerDetail'!B13</f>
        <v>hendry</v>
      </c>
      <c r="C10" s="1" t="str">
        <f>'1.CustomerDetail'!B13</f>
        <v>hendry</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c r="D12" s="44">
        <v>5000000000</v>
      </c>
      <c r="E12" s="44">
        <v>5000000000</v>
      </c>
      <c r="F12" s="8"/>
      <c r="G12" s="8"/>
      <c r="H12" s="8"/>
      <c r="I12" s="8"/>
      <c r="J12" s="8"/>
      <c r="K12" s="8"/>
    </row>
    <row customFormat="1" r="13" s="1" spans="1:11" x14ac:dyDescent="0.25">
      <c r="A13" s="1" t="s">
        <v>47</v>
      </c>
      <c r="B13" s="44">
        <v>5000000000</v>
      </c>
      <c r="C13" s="44"/>
      <c r="D13" s="44">
        <v>5000000000</v>
      </c>
      <c r="E13" s="44">
        <v>5000000000</v>
      </c>
      <c r="F13" s="8"/>
      <c r="G13" s="8"/>
      <c r="H13" s="8"/>
      <c r="I13" s="8"/>
      <c r="J13" s="8"/>
      <c r="K13" s="8"/>
    </row>
    <row customFormat="1" r="14" s="1" spans="1:11" x14ac:dyDescent="0.25">
      <c r="A14" s="1" t="s">
        <v>48</v>
      </c>
      <c r="B14" s="2" t="s">
        <v>49</v>
      </c>
      <c r="C14" s="2"/>
      <c r="D14" s="2" t="s">
        <v>49</v>
      </c>
      <c r="E14" s="2" t="s">
        <v>49</v>
      </c>
      <c r="F14" s="2"/>
      <c r="G14" s="2"/>
      <c r="H14" s="2"/>
      <c r="I14" s="2"/>
      <c r="J14" s="2"/>
      <c r="K14" s="2"/>
    </row>
    <row customFormat="1" r="15" s="1" spans="1:11" x14ac:dyDescent="0.25">
      <c r="A15" s="1" t="s">
        <v>50</v>
      </c>
      <c r="B15" s="43">
        <v>15000000</v>
      </c>
      <c r="C15" s="43"/>
      <c r="D15" s="43">
        <v>15000000</v>
      </c>
      <c r="E15" s="43">
        <v>15000000</v>
      </c>
      <c r="F15" s="2"/>
      <c r="G15" s="2"/>
      <c r="H15" s="2"/>
      <c r="I15" s="2"/>
      <c r="J15" s="2"/>
      <c r="K15" s="2"/>
    </row>
    <row customFormat="1" r="16" s="1" spans="1:11" x14ac:dyDescent="0.25">
      <c r="A16" s="1" t="s">
        <v>51</v>
      </c>
      <c r="B16" s="43">
        <v>15000000</v>
      </c>
      <c r="C16" s="43"/>
      <c r="D16" s="43">
        <v>15000000</v>
      </c>
      <c r="E16" s="43">
        <v>15000000</v>
      </c>
      <c r="F16" s="2"/>
      <c r="G16" s="2"/>
      <c r="H16" s="2"/>
      <c r="I16" s="2"/>
      <c r="J16" s="2"/>
      <c r="K16" s="2"/>
    </row>
    <row customFormat="1" r="17" s="1" spans="1:11" x14ac:dyDescent="0.25">
      <c r="A17" s="37" t="s">
        <v>4196</v>
      </c>
      <c r="B17" s="41" t="s">
        <v>4107</v>
      </c>
      <c r="C17" s="41"/>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v>100000000002</v>
      </c>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4247</v>
      </c>
      <c r="B24" s="3" t="s">
        <v>343</v>
      </c>
      <c r="C24" s="3" t="s">
        <v>350</v>
      </c>
      <c r="D24" s="3"/>
      <c r="E24" s="3"/>
      <c r="F24" s="3"/>
      <c r="G24" s="3"/>
      <c r="H24" s="3"/>
      <c r="I24" s="3"/>
      <c r="J24" s="3"/>
      <c r="K24" s="3"/>
    </row>
    <row customFormat="1" r="25" s="1" spans="1:11" x14ac:dyDescent="0.25">
      <c r="A25" s="36" t="s">
        <v>4248</v>
      </c>
      <c r="B25" s="1" t="s">
        <v>4241</v>
      </c>
      <c r="C25" s="1" t="s">
        <v>4244</v>
      </c>
    </row>
    <row customFormat="1" r="26" s="1" spans="1:11" x14ac:dyDescent="0.25">
      <c r="A26" s="36" t="s">
        <v>4249</v>
      </c>
      <c r="B26" s="1" t="s">
        <v>4242</v>
      </c>
      <c r="C26" s="1" t="s">
        <v>4245</v>
      </c>
    </row>
    <row customFormat="1" r="27" s="1" spans="1:11" x14ac:dyDescent="0.25">
      <c r="A27" s="36" t="s">
        <v>4250</v>
      </c>
      <c r="B27" s="8" t="s">
        <v>4243</v>
      </c>
      <c r="C27" s="8" t="s">
        <v>4246</v>
      </c>
      <c r="D27" s="8"/>
      <c r="E27" s="8"/>
      <c r="F27" s="8"/>
      <c r="G27" s="8"/>
      <c r="H27" s="8"/>
      <c r="I27" s="8"/>
      <c r="J27" s="8"/>
      <c r="K27" s="8"/>
    </row>
    <row customFormat="1" r="28" s="1" spans="1:11" x14ac:dyDescent="0.25">
      <c r="A28" s="1" t="s">
        <v>55</v>
      </c>
      <c r="B28" s="1" t="s">
        <v>6</v>
      </c>
      <c r="C28" s="1" t="s">
        <v>5</v>
      </c>
    </row>
    <row customFormat="1" r="29" s="1" spans="1:11" x14ac:dyDescent="0.25">
      <c r="A29" s="1" t="s">
        <v>56</v>
      </c>
      <c r="B29" s="1" t="s">
        <v>6</v>
      </c>
      <c r="C29" s="1" t="s">
        <v>6</v>
      </c>
    </row>
    <row customFormat="1" r="30" s="1" spans="1:11" x14ac:dyDescent="0.25">
      <c r="A30" s="36" t="s">
        <v>4251</v>
      </c>
      <c r="B30" s="16">
        <v>2500000</v>
      </c>
      <c r="C30" s="16">
        <v>2000000</v>
      </c>
      <c r="D30" s="16"/>
      <c r="E30" s="16"/>
    </row>
    <row customFormat="1" r="31" s="1" spans="1:11" x14ac:dyDescent="0.25">
      <c r="A31" s="36" t="s">
        <v>4252</v>
      </c>
      <c r="B31" s="1" t="s">
        <v>4253</v>
      </c>
    </row>
    <row customFormat="1" r="32" s="1" spans="1:11" x14ac:dyDescent="0.25">
      <c r="A32" s="36" t="s">
        <v>4254</v>
      </c>
      <c r="B32" s="1" t="s">
        <v>4255</v>
      </c>
    </row>
    <row customFormat="1" r="33" s="1" spans="1:2" x14ac:dyDescent="0.25">
      <c r="A33" s="36" t="s">
        <v>4256</v>
      </c>
      <c r="B33" s="1" t="s">
        <v>4239</v>
      </c>
    </row>
    <row customFormat="1" r="34" s="1" spans="1:2" x14ac:dyDescent="0.25">
      <c r="A34" s="36" t="s">
        <v>4257</v>
      </c>
      <c r="B34" s="1" t="s">
        <v>4239</v>
      </c>
    </row>
    <row customFormat="1" r="35" s="1" spans="1:2" x14ac:dyDescent="0.25">
      <c r="A35" s="36" t="s">
        <v>4258</v>
      </c>
      <c r="B35" s="1" t="s">
        <v>4239</v>
      </c>
    </row>
    <row customFormat="1" r="36" s="1" spans="1:2" x14ac:dyDescent="0.25">
      <c r="A36" s="36" t="s">
        <v>4259</v>
      </c>
      <c r="B36" s="1" t="s">
        <v>4260</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A10" sqref="A10:B10"/>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3286</v>
      </c>
      <c r="C1" s="1" t="s">
        <v>3286</v>
      </c>
      <c r="D1" s="1" t="s">
        <v>3286</v>
      </c>
      <c r="E1" s="1" t="s">
        <v>3286</v>
      </c>
      <c r="F1" s="1" t="s">
        <v>3286</v>
      </c>
    </row>
    <row customFormat="1" r="2" s="1" spans="1:6" x14ac:dyDescent="0.25">
      <c r="A2" s="1" t="s">
        <v>4151</v>
      </c>
      <c r="B2" t="s">
        <v>4263</v>
      </c>
      <c r="C2" s="1" t="s">
        <v>4263</v>
      </c>
      <c r="D2" s="1" t="s">
        <v>4263</v>
      </c>
      <c r="E2" s="1" t="s">
        <v>4263</v>
      </c>
      <c r="F2" s="1" t="s">
        <v>4263</v>
      </c>
    </row>
    <row customFormat="1" r="3" s="1" spans="1:6" x14ac:dyDescent="0.25">
      <c r="A3" s="1" t="s">
        <v>4152</v>
      </c>
    </row>
    <row customFormat="1" r="4" s="1" spans="1:6" x14ac:dyDescent="0.25">
      <c r="A4" s="1" t="s">
        <v>4177</v>
      </c>
      <c r="B4" s="1">
        <f>IF(B12="Yes",COUNTIFS($A$13:$A$16,"*$*",B13:B16,""),0)</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3561</v>
      </c>
      <c r="B10" s="1" t="str">
        <f>'1.CustomerDetail'!B$12</f>
        <v>0002APP20211205214</v>
      </c>
    </row>
    <row customFormat="1" r="11" s="61" spans="1:6" x14ac:dyDescent="0.25">
      <c r="B11" s="54"/>
      <c r="C11" s="54"/>
    </row>
    <row customFormat="1" r="12" s="2" spans="1:6" x14ac:dyDescent="0.25">
      <c r="A12" s="2" t="s">
        <v>4238</v>
      </c>
      <c r="B12" s="2" t="s">
        <v>6</v>
      </c>
    </row>
    <row customFormat="1" r="13" s="1" spans="1:6" x14ac:dyDescent="0.25">
      <c r="A13" s="36" t="s">
        <v>4197</v>
      </c>
      <c r="B13" s="1" t="s">
        <v>4262</v>
      </c>
    </row>
    <row customFormat="1" r="14" s="1" spans="1:6" x14ac:dyDescent="0.25">
      <c r="A14" s="1" t="s">
        <v>57</v>
      </c>
    </row>
    <row customFormat="1" r="15" s="1" spans="1:6" x14ac:dyDescent="0.25">
      <c r="A15" s="36" t="s">
        <v>4198</v>
      </c>
      <c r="B15" s="43">
        <v>500000000</v>
      </c>
      <c r="C15" s="43"/>
      <c r="D15" s="43"/>
      <c r="E15" s="43"/>
    </row>
    <row customFormat="1" r="16" s="1" spans="1:6" x14ac:dyDescent="0.25">
      <c r="A16" s="36" t="s">
        <v>4199</v>
      </c>
      <c r="B16" s="2">
        <v>1</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workbookViewId="0">
      <selection activeCell="B10" sqref="B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3286</v>
      </c>
      <c r="C1" s="1" t="s">
        <v>3286</v>
      </c>
      <c r="D1" s="1" t="s">
        <v>3286</v>
      </c>
      <c r="E1" s="1" t="s">
        <v>3286</v>
      </c>
      <c r="F1" s="1" t="s">
        <v>3286</v>
      </c>
    </row>
    <row customFormat="1" r="2" s="1" spans="1:6" x14ac:dyDescent="0.25">
      <c r="A2" s="1" t="s">
        <v>4151</v>
      </c>
      <c r="B2" s="1" t="s">
        <v>4263</v>
      </c>
      <c r="C2" s="1" t="s">
        <v>4263</v>
      </c>
      <c r="D2" s="1" t="s">
        <v>4263</v>
      </c>
      <c r="E2" s="1" t="s">
        <v>4263</v>
      </c>
      <c r="F2" s="1" t="s">
        <v>4263</v>
      </c>
    </row>
    <row customFormat="1" r="3" s="1" spans="1:6" x14ac:dyDescent="0.25">
      <c r="A3" s="1" t="s">
        <v>4152</v>
      </c>
    </row>
    <row customFormat="1" r="4" s="1" spans="1:6" x14ac:dyDescent="0.25">
      <c r="A4" s="1" t="s">
        <v>4177</v>
      </c>
      <c r="B4" s="1">
        <f>COUNTIFS($A$12:$A$42,"*$*",B12:B42,"")</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3561</v>
      </c>
      <c r="B10" s="1" t="str">
        <f>'1.CustomerDetail'!B$12</f>
        <v>0002APP20211205214</v>
      </c>
    </row>
    <row customFormat="1" r="11" s="65" spans="1:6" x14ac:dyDescent="0.25">
      <c r="A11" s="62" t="s">
        <v>3571</v>
      </c>
      <c r="B11" s="63"/>
      <c r="C11" s="63"/>
      <c r="D11" s="63"/>
      <c r="E11" s="64"/>
    </row>
    <row customFormat="1" r="12" s="1" spans="1:6"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6" x14ac:dyDescent="0.25">
      <c r="A13" s="37" t="s">
        <v>4201</v>
      </c>
      <c r="B13" s="13" t="s">
        <v>686</v>
      </c>
      <c r="C13" s="13" t="s">
        <v>686</v>
      </c>
      <c r="D13" s="13" t="s">
        <v>686</v>
      </c>
      <c r="E13" s="13" t="s">
        <v>686</v>
      </c>
    </row>
    <row customFormat="1" r="14" s="1" spans="1:6" x14ac:dyDescent="0.25">
      <c r="A14" s="38" t="s">
        <v>4202</v>
      </c>
      <c r="B14" s="14" t="str">
        <f>VLOOKUP(B15,Master!$P:$Q,2,FALSE)</f>
        <v>4</v>
      </c>
      <c r="C14" s="14" t="str">
        <f>VLOOKUP(C15,Master!$P:$Q,2,FALSE)</f>
        <v>4</v>
      </c>
      <c r="D14" s="14" t="str">
        <f>VLOOKUP(D15,Master!$P:$Q,2,FALSE)</f>
        <v>4</v>
      </c>
      <c r="E14" s="14" t="str">
        <f>VLOOKUP(E15,Master!$P:$Q,2,FALSE)</f>
        <v>4</v>
      </c>
    </row>
    <row customFormat="1" r="15" s="1" spans="1:6" x14ac:dyDescent="0.25">
      <c r="A15" s="37" t="s">
        <v>4203</v>
      </c>
      <c r="B15" s="14" t="s">
        <v>1237</v>
      </c>
      <c r="C15" s="14" t="s">
        <v>1237</v>
      </c>
      <c r="D15" s="14" t="s">
        <v>1237</v>
      </c>
      <c r="E15" s="14" t="s">
        <v>1237</v>
      </c>
    </row>
    <row customFormat="1" r="16" s="1" spans="1:6"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2" workbookViewId="0">
      <selection activeCell="BK12" sqref="BK1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2022-12-14T02:42:08Z</dcterms:modified>
</cp:coreProperties>
</file>